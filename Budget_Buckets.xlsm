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8A3B98CB-E7D9-40D4-B62D-0F1B5C82048C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S35" i="4" l="1"/>
  <c r="DS34" i="4"/>
  <c r="DS33" i="4"/>
  <c r="DS32" i="4"/>
  <c r="DS31" i="4"/>
  <c r="DS30" i="4"/>
  <c r="DS29" i="4"/>
  <c r="DS28" i="4"/>
  <c r="DS27" i="4"/>
  <c r="DS26" i="4"/>
  <c r="DS25" i="4"/>
  <c r="DS24" i="4"/>
  <c r="DS23" i="4"/>
  <c r="DS22" i="4"/>
  <c r="DS21" i="4"/>
  <c r="DS20" i="4"/>
  <c r="DS19" i="4"/>
  <c r="DS18" i="4"/>
  <c r="DS17" i="4"/>
  <c r="DS16" i="4"/>
  <c r="DS15" i="4"/>
  <c r="DS14" i="4"/>
  <c r="DS13" i="4"/>
  <c r="DS12" i="4"/>
  <c r="DS11" i="4"/>
  <c r="DS10" i="4"/>
  <c r="DS9" i="4"/>
  <c r="DS8" i="4"/>
  <c r="DS7" i="4"/>
  <c r="DS6" i="4"/>
  <c r="DS5" i="4"/>
  <c r="DS4" i="4"/>
  <c r="CO35" i="4"/>
  <c r="CO34" i="4"/>
  <c r="CO33" i="4"/>
  <c r="CO32" i="4"/>
  <c r="CO31" i="4"/>
  <c r="CO30" i="4"/>
  <c r="CO29" i="4"/>
  <c r="CO28" i="4"/>
  <c r="CO27" i="4"/>
  <c r="CO26" i="4"/>
  <c r="CO25" i="4"/>
  <c r="CO24" i="4"/>
  <c r="CO23" i="4"/>
  <c r="CO22" i="4"/>
  <c r="CO21" i="4"/>
  <c r="CO20" i="4"/>
  <c r="CO19" i="4"/>
  <c r="CO18" i="4"/>
  <c r="CO17" i="4"/>
  <c r="CO16" i="4"/>
  <c r="CO15" i="4"/>
  <c r="CO14" i="4"/>
  <c r="CO13" i="4"/>
  <c r="CO12" i="4"/>
  <c r="CO11" i="4"/>
  <c r="CO10" i="4"/>
  <c r="CO9" i="4"/>
  <c r="CO8" i="4"/>
  <c r="CO7" i="4"/>
  <c r="CO6" i="4"/>
  <c r="CO5" i="4"/>
  <c r="CO4" i="4"/>
  <c r="BK35" i="4"/>
  <c r="BK34" i="4"/>
  <c r="BK33" i="4"/>
  <c r="BK32" i="4"/>
  <c r="BK31" i="4"/>
  <c r="BK30" i="4"/>
  <c r="BK29" i="4"/>
  <c r="BK28" i="4"/>
  <c r="BK27" i="4"/>
  <c r="BK26" i="4"/>
  <c r="BK25" i="4"/>
  <c r="BK24" i="4"/>
  <c r="BK23" i="4"/>
  <c r="BK22" i="4"/>
  <c r="BK21" i="4"/>
  <c r="BK20" i="4"/>
  <c r="BK19" i="4"/>
  <c r="BK18" i="4"/>
  <c r="BK17" i="4"/>
  <c r="BK16" i="4"/>
  <c r="BK15" i="4"/>
  <c r="BK14" i="4"/>
  <c r="BK13" i="4"/>
  <c r="BK12" i="4"/>
  <c r="BK11" i="4"/>
  <c r="BK10" i="4"/>
  <c r="BK9" i="4"/>
  <c r="BK8" i="4"/>
  <c r="BK7" i="4"/>
  <c r="BK6" i="4"/>
  <c r="BK5" i="4"/>
  <c r="BK4" i="4"/>
  <c r="BI35" i="4"/>
  <c r="BI34" i="4"/>
  <c r="BI33" i="4"/>
  <c r="BI32" i="4"/>
  <c r="BI31" i="4"/>
  <c r="BI30" i="4"/>
  <c r="BI29" i="4"/>
  <c r="BI28" i="4"/>
  <c r="BI27" i="4"/>
  <c r="BI26" i="4"/>
  <c r="BI25" i="4"/>
  <c r="BI24" i="4"/>
  <c r="BI23" i="4"/>
  <c r="BI22" i="4"/>
  <c r="BI21" i="4"/>
  <c r="BI20" i="4"/>
  <c r="BI19" i="4"/>
  <c r="BI18" i="4"/>
  <c r="BI17" i="4"/>
  <c r="BI16" i="4"/>
  <c r="BI15" i="4"/>
  <c r="BI14" i="4"/>
  <c r="BI13" i="4"/>
  <c r="BI12" i="4"/>
  <c r="BI11" i="4"/>
  <c r="BI10" i="4"/>
  <c r="BI9" i="4"/>
  <c r="BI8" i="4"/>
  <c r="BI7" i="4"/>
  <c r="BI6" i="4"/>
  <c r="BI5" i="4"/>
  <c r="BI4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E35" i="4"/>
  <c r="AE34" i="4"/>
  <c r="AE33" i="4"/>
  <c r="AE32" i="4"/>
  <c r="AE31" i="4"/>
  <c r="AE30" i="4"/>
  <c r="AE29" i="4"/>
  <c r="AE28" i="4"/>
  <c r="AE27" i="4"/>
  <c r="AE26" i="4"/>
  <c r="AE25" i="4"/>
  <c r="AE24" i="4"/>
  <c r="AE23" i="4"/>
  <c r="AE22" i="4"/>
  <c r="AE21" i="4"/>
  <c r="AE20" i="4"/>
  <c r="AE19" i="4"/>
  <c r="AE18" i="4"/>
  <c r="AE17" i="4"/>
  <c r="AE16" i="4"/>
  <c r="AE15" i="4"/>
  <c r="AE14" i="4"/>
  <c r="AE13" i="4"/>
  <c r="AE12" i="4"/>
  <c r="AE11" i="4"/>
  <c r="AE10" i="4"/>
  <c r="AE9" i="4"/>
  <c r="AE8" i="4"/>
  <c r="AE7" i="4"/>
  <c r="AE6" i="4"/>
  <c r="AE5" i="4"/>
  <c r="AE4" i="4"/>
  <c r="IG36" i="4"/>
  <c r="HC36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FY36" i="4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A25" i="4"/>
  <c r="FG25" i="4" s="1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L35" i="4" s="1"/>
  <c r="BH35" i="4" s="1"/>
  <c r="AD34" i="4"/>
  <c r="AD33" i="4"/>
  <c r="AD32" i="4"/>
  <c r="AL32" i="4" s="1"/>
  <c r="BH32" i="4" s="1"/>
  <c r="AD31" i="4"/>
  <c r="AL31" i="4" s="1"/>
  <c r="BH31" i="4" s="1"/>
  <c r="AD30" i="4"/>
  <c r="AL30" i="4" s="1"/>
  <c r="BH30" i="4" s="1"/>
  <c r="AD29" i="4"/>
  <c r="AL29" i="4" s="1"/>
  <c r="BH29" i="4" s="1"/>
  <c r="AD28" i="4"/>
  <c r="AL28" i="4" s="1"/>
  <c r="BH28" i="4" s="1"/>
  <c r="AD27" i="4"/>
  <c r="AL27" i="4" s="1"/>
  <c r="BH27" i="4" s="1"/>
  <c r="AD26" i="4"/>
  <c r="AD25" i="4"/>
  <c r="AL25" i="4" s="1"/>
  <c r="BH25" i="4" s="1"/>
  <c r="AD24" i="4"/>
  <c r="AL24" i="4" s="1"/>
  <c r="BH24" i="4" s="1"/>
  <c r="AD23" i="4"/>
  <c r="AL23" i="4" s="1"/>
  <c r="BH23" i="4" s="1"/>
  <c r="AD22" i="4"/>
  <c r="AL22" i="4" s="1"/>
  <c r="BH22" i="4" s="1"/>
  <c r="AD21" i="4"/>
  <c r="AL21" i="4" s="1"/>
  <c r="BH21" i="4" s="1"/>
  <c r="AD20" i="4"/>
  <c r="AL20" i="4" s="1"/>
  <c r="BH20" i="4" s="1"/>
  <c r="AD19" i="4"/>
  <c r="AL19" i="4" s="1"/>
  <c r="BH19" i="4" s="1"/>
  <c r="AD18" i="4"/>
  <c r="AD17" i="4"/>
  <c r="AL17" i="4" s="1"/>
  <c r="BH17" i="4" s="1"/>
  <c r="AD16" i="4"/>
  <c r="AL16" i="4" s="1"/>
  <c r="BH16" i="4" s="1"/>
  <c r="AD15" i="4"/>
  <c r="AL15" i="4" s="1"/>
  <c r="BH15" i="4" s="1"/>
  <c r="AD14" i="4"/>
  <c r="AL14" i="4" s="1"/>
  <c r="BH14" i="4" s="1"/>
  <c r="AD13" i="4"/>
  <c r="AL13" i="4" s="1"/>
  <c r="BH13" i="4" s="1"/>
  <c r="AD12" i="4"/>
  <c r="AL12" i="4" s="1"/>
  <c r="BH12" i="4" s="1"/>
  <c r="AD11" i="4"/>
  <c r="AL11" i="4" s="1"/>
  <c r="BH11" i="4" s="1"/>
  <c r="AD10" i="4"/>
  <c r="AD9" i="4"/>
  <c r="AL9" i="4" s="1"/>
  <c r="BH9" i="4" s="1"/>
  <c r="AD8" i="4"/>
  <c r="AL8" i="4" s="1"/>
  <c r="BH8" i="4" s="1"/>
  <c r="AD7" i="4"/>
  <c r="AL7" i="4" s="1"/>
  <c r="BH7" i="4" s="1"/>
  <c r="AD6" i="4"/>
  <c r="AL6" i="4" s="1"/>
  <c r="BH6" i="4" s="1"/>
  <c r="AD5" i="4"/>
  <c r="AL5" i="4" s="1"/>
  <c r="BH5" i="4" s="1"/>
  <c r="AD4" i="4"/>
  <c r="AL4" i="4" s="1"/>
  <c r="BH4" i="4" s="1"/>
  <c r="EU36" i="4"/>
  <c r="B6" i="6"/>
  <c r="A6" i="6"/>
  <c r="C6" i="6" s="1"/>
  <c r="B5" i="6"/>
  <c r="A5" i="6"/>
  <c r="F5" i="6" s="1"/>
  <c r="B4" i="6"/>
  <c r="A4" i="6"/>
  <c r="F4" i="6" s="1"/>
  <c r="B3" i="6"/>
  <c r="A3" i="6"/>
  <c r="M3" i="6" s="1"/>
  <c r="DQ36" i="4"/>
  <c r="CM36" i="4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S11" i="4"/>
  <c r="CY11" i="4" s="1"/>
  <c r="DO11" i="4" s="1"/>
  <c r="DW11" i="4" s="1"/>
  <c r="EC11" i="4" s="1"/>
  <c r="ES11" i="4" s="1"/>
  <c r="FA11" i="4" s="1"/>
  <c r="FG11" i="4" s="1"/>
  <c r="CS10" i="4"/>
  <c r="CY10" i="4" s="1"/>
  <c r="DO10" i="4" s="1"/>
  <c r="DW10" i="4" s="1"/>
  <c r="EC10" i="4" s="1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C35" i="4"/>
  <c r="AC34" i="4"/>
  <c r="AC33" i="4"/>
  <c r="AC32" i="4"/>
  <c r="AC31" i="4"/>
  <c r="AC30" i="4"/>
  <c r="AC29" i="4"/>
  <c r="AC28" i="4"/>
  <c r="AC27" i="4"/>
  <c r="AC26" i="4"/>
  <c r="AC25" i="4"/>
  <c r="AH25" i="4" s="1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F36" i="4"/>
  <c r="G36" i="4"/>
  <c r="AL34" i="4"/>
  <c r="BH34" i="4" s="1"/>
  <c r="AL33" i="4"/>
  <c r="BH33" i="4" s="1"/>
  <c r="AL26" i="4"/>
  <c r="BH26" i="4" s="1"/>
  <c r="AL18" i="4"/>
  <c r="BH18" i="4" s="1"/>
  <c r="AL10" i="4"/>
  <c r="BH10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M29" i="4"/>
  <c r="M28" i="4"/>
  <c r="M27" i="4"/>
  <c r="M26" i="4"/>
  <c r="M25" i="4"/>
  <c r="M24" i="4"/>
  <c r="M23" i="4"/>
  <c r="Z23" i="4" s="1"/>
  <c r="M22" i="4"/>
  <c r="Z22" i="4" s="1"/>
  <c r="M21" i="4"/>
  <c r="AK21" i="4" s="1"/>
  <c r="AQ21" i="4" s="1"/>
  <c r="BG21" i="4" s="1"/>
  <c r="M20" i="4"/>
  <c r="M19" i="4"/>
  <c r="M18" i="4"/>
  <c r="M17" i="4"/>
  <c r="M16" i="4"/>
  <c r="M15" i="4"/>
  <c r="AK15" i="4" s="1"/>
  <c r="AQ15" i="4" s="1"/>
  <c r="BG15" i="4" s="1"/>
  <c r="M14" i="4"/>
  <c r="AK14" i="4" s="1"/>
  <c r="AQ14" i="4" s="1"/>
  <c r="BG14" i="4" s="1"/>
  <c r="M13" i="4"/>
  <c r="M12" i="4"/>
  <c r="M11" i="4"/>
  <c r="M10" i="4"/>
  <c r="M9" i="4"/>
  <c r="M8" i="4"/>
  <c r="M7" i="4"/>
  <c r="M6" i="4"/>
  <c r="AK6" i="4" s="1"/>
  <c r="AQ6" i="4" s="1"/>
  <c r="BG6" i="4" s="1"/>
  <c r="M5" i="4"/>
  <c r="M4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EA14" i="4"/>
  <c r="FE7" i="4"/>
  <c r="HM4" i="4"/>
  <c r="GI7" i="4"/>
  <c r="AK26" i="4" l="1"/>
  <c r="AQ26" i="4" s="1"/>
  <c r="BG26" i="4" s="1"/>
  <c r="AK18" i="4"/>
  <c r="AQ18" i="4" s="1"/>
  <c r="BG18" i="4" s="1"/>
  <c r="AK10" i="4"/>
  <c r="AQ10" i="4" s="1"/>
  <c r="BG10" i="4" s="1"/>
  <c r="AK30" i="4"/>
  <c r="AQ30" i="4" s="1"/>
  <c r="BG30" i="4" s="1"/>
  <c r="AK11" i="4"/>
  <c r="AQ11" i="4" s="1"/>
  <c r="BG11" i="4" s="1"/>
  <c r="AK19" i="4"/>
  <c r="AQ19" i="4" s="1"/>
  <c r="BG19" i="4" s="1"/>
  <c r="AK27" i="4"/>
  <c r="AQ27" i="4" s="1"/>
  <c r="BG27" i="4" s="1"/>
  <c r="AK4" i="4"/>
  <c r="AQ4" i="4" s="1"/>
  <c r="BG4" i="4" s="1"/>
  <c r="BO4" i="4" s="1"/>
  <c r="BU4" i="4" s="1"/>
  <c r="CK4" i="4" s="1"/>
  <c r="AK7" i="4"/>
  <c r="AQ7" i="4" s="1"/>
  <c r="BG7" i="4" s="1"/>
  <c r="AK5" i="4"/>
  <c r="AQ5" i="4" s="1"/>
  <c r="BG5" i="4" s="1"/>
  <c r="BO5" i="4" s="1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AK13" i="4"/>
  <c r="AQ13" i="4" s="1"/>
  <c r="BG13" i="4" s="1"/>
  <c r="BO13" i="4" s="1"/>
  <c r="BU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FW11" i="4"/>
  <c r="GE11" i="4" s="1"/>
  <c r="GK11" i="4" s="1"/>
  <c r="HA11" i="4" s="1"/>
  <c r="HI11" i="4" s="1"/>
  <c r="HO11" i="4" s="1"/>
  <c r="IE11" i="4" s="1"/>
  <c r="IM11" i="4" s="1"/>
  <c r="GE4" i="4"/>
  <c r="GK4" i="4" s="1"/>
  <c r="HA4" i="4" s="1"/>
  <c r="FW25" i="4"/>
  <c r="GE25" i="4" s="1"/>
  <c r="GK25" i="4" s="1"/>
  <c r="HA25" i="4" s="1"/>
  <c r="HI25" i="4" s="1"/>
  <c r="HO25" i="4" s="1"/>
  <c r="IE25" i="4" s="1"/>
  <c r="IM25" i="4" s="1"/>
  <c r="AD5" i="6"/>
  <c r="AD4" i="6"/>
  <c r="AD3" i="6"/>
  <c r="AE4" i="6"/>
  <c r="AK9" i="4"/>
  <c r="AQ9" i="4" s="1"/>
  <c r="BG9" i="4" s="1"/>
  <c r="BO9" i="4" s="1"/>
  <c r="BU9" i="4" s="1"/>
  <c r="CK9" i="4" s="1"/>
  <c r="AK17" i="4"/>
  <c r="AQ17" i="4" s="1"/>
  <c r="BO26" i="4"/>
  <c r="BU26" i="4" s="1"/>
  <c r="BO18" i="4"/>
  <c r="BU18" i="4" s="1"/>
  <c r="CK18" i="4" s="1"/>
  <c r="BO21" i="4"/>
  <c r="BU21" i="4" s="1"/>
  <c r="AK29" i="4"/>
  <c r="AQ29" i="4" s="1"/>
  <c r="BO14" i="4"/>
  <c r="BU14" i="4" s="1"/>
  <c r="CK14" i="4" s="1"/>
  <c r="CP14" i="4" s="1"/>
  <c r="CS14" i="4" s="1"/>
  <c r="CY14" i="4" s="1"/>
  <c r="DO14" i="4" s="1"/>
  <c r="BO30" i="4"/>
  <c r="BU30" i="4" s="1"/>
  <c r="DX15" i="4"/>
  <c r="ET15" i="4" s="1"/>
  <c r="FB15" i="4" s="1"/>
  <c r="FX15" i="4" s="1"/>
  <c r="GF15" i="4" s="1"/>
  <c r="HB15" i="4" s="1"/>
  <c r="HJ15" i="4" s="1"/>
  <c r="IF15" i="4" s="1"/>
  <c r="IN15" i="4" s="1"/>
  <c r="BO15" i="4"/>
  <c r="BU15" i="4" s="1"/>
  <c r="CK15" i="4" s="1"/>
  <c r="CS15" i="4" s="1"/>
  <c r="CY15" i="4" s="1"/>
  <c r="DO15" i="4" s="1"/>
  <c r="DW15" i="4" s="1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S17" i="4"/>
  <c r="CY17" i="4" s="1"/>
  <c r="DO17" i="4" s="1"/>
  <c r="DW17" i="4" s="1"/>
  <c r="EC17" i="4" s="1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BO19" i="4"/>
  <c r="BU19" i="4" s="1"/>
  <c r="CK19" i="4" s="1"/>
  <c r="BO27" i="4"/>
  <c r="BU27" i="4" s="1"/>
  <c r="CK27" i="4" s="1"/>
  <c r="CS27" i="4" s="1"/>
  <c r="CY27" i="4" s="1"/>
  <c r="DO27" i="4" s="1"/>
  <c r="AK8" i="4"/>
  <c r="AQ8" i="4" s="1"/>
  <c r="BG8" i="4" s="1"/>
  <c r="BO8" i="4" s="1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AK16" i="4"/>
  <c r="AQ16" i="4" s="1"/>
  <c r="AK25" i="4"/>
  <c r="AQ25" i="4" s="1"/>
  <c r="BG25" i="4" s="1"/>
  <c r="CS9" i="4"/>
  <c r="CY9" i="4" s="1"/>
  <c r="DO9" i="4" s="1"/>
  <c r="DW9" i="4" s="1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J36" i="4"/>
  <c r="J45" i="4" s="1"/>
  <c r="CS18" i="4"/>
  <c r="CY18" i="4" s="1"/>
  <c r="DO18" i="4" s="1"/>
  <c r="DW18" i="4" s="1"/>
  <c r="EC18" i="4" s="1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AK12" i="4"/>
  <c r="AQ12" i="4" s="1"/>
  <c r="AK20" i="4"/>
  <c r="AQ20" i="4" s="1"/>
  <c r="AK28" i="4"/>
  <c r="AQ28" i="4" s="1"/>
  <c r="AK24" i="4"/>
  <c r="AQ24" i="4" s="1"/>
  <c r="BO6" i="4"/>
  <c r="BU6" i="4" s="1"/>
  <c r="CK6" i="4" s="1"/>
  <c r="CS6" i="4" s="1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BO10" i="4"/>
  <c r="BU10" i="4" s="1"/>
  <c r="CK10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BO11" i="4"/>
  <c r="BU11" i="4" s="1"/>
  <c r="CK11" i="4" s="1"/>
  <c r="M36" i="4"/>
  <c r="Z24" i="4"/>
  <c r="AK22" i="4"/>
  <c r="AQ22" i="4" s="1"/>
  <c r="BG22" i="4" s="1"/>
  <c r="AK23" i="4"/>
  <c r="AQ23" i="4" s="1"/>
  <c r="BG23" i="4" s="1"/>
  <c r="AK31" i="4"/>
  <c r="AQ31" i="4" s="1"/>
  <c r="BG31" i="4" s="1"/>
  <c r="AK32" i="4"/>
  <c r="AQ32" i="4" s="1"/>
  <c r="BG32" i="4" s="1"/>
  <c r="AK33" i="4"/>
  <c r="AQ33" i="4" s="1"/>
  <c r="AK34" i="4"/>
  <c r="AQ34" i="4" s="1"/>
  <c r="BG34" i="4" s="1"/>
  <c r="AK35" i="4"/>
  <c r="AQ35" i="4" s="1"/>
  <c r="GI25" i="4"/>
  <c r="EA25" i="4"/>
  <c r="GI17" i="4"/>
  <c r="EA24" i="4"/>
  <c r="FE33" i="4"/>
  <c r="HM18" i="4"/>
  <c r="HM26" i="4"/>
  <c r="GI32" i="4"/>
  <c r="FE12" i="4"/>
  <c r="GI31" i="4"/>
  <c r="EA15" i="4"/>
  <c r="HM35" i="4"/>
  <c r="FE28" i="4"/>
  <c r="GI6" i="4"/>
  <c r="GI26" i="4"/>
  <c r="EA18" i="4"/>
  <c r="HM28" i="4"/>
  <c r="FE20" i="4"/>
  <c r="GI18" i="4"/>
  <c r="GI35" i="4"/>
  <c r="HM5" i="4"/>
  <c r="FE13" i="4"/>
  <c r="GI16" i="4"/>
  <c r="FE4" i="4"/>
  <c r="HM16" i="4"/>
  <c r="FE23" i="4"/>
  <c r="GI22" i="4"/>
  <c r="GI30" i="4"/>
  <c r="FE11" i="4"/>
  <c r="GI11" i="4"/>
  <c r="FE6" i="4"/>
  <c r="HM10" i="4"/>
  <c r="EA35" i="4"/>
  <c r="FE25" i="4"/>
  <c r="FE9" i="4"/>
  <c r="GI14" i="4"/>
  <c r="HM22" i="4"/>
  <c r="HM7" i="4"/>
  <c r="HM29" i="4"/>
  <c r="FE5" i="4"/>
  <c r="HM19" i="4"/>
  <c r="FE19" i="4"/>
  <c r="HM25" i="4"/>
  <c r="EA23" i="4"/>
  <c r="EA31" i="4"/>
  <c r="EA28" i="4"/>
  <c r="HM21" i="4"/>
  <c r="HM12" i="4"/>
  <c r="EA16" i="4"/>
  <c r="HM34" i="4"/>
  <c r="EA4" i="4"/>
  <c r="EA30" i="4"/>
  <c r="GI34" i="4"/>
  <c r="EA8" i="4"/>
  <c r="FE24" i="4"/>
  <c r="FE16" i="4"/>
  <c r="EA5" i="4"/>
  <c r="HM6" i="4"/>
  <c r="FE15" i="4"/>
  <c r="GI15" i="4"/>
  <c r="EA17" i="4"/>
  <c r="GI5" i="4"/>
  <c r="EA34" i="4"/>
  <c r="GI10" i="4"/>
  <c r="FE22" i="4"/>
  <c r="EA29" i="4"/>
  <c r="HM15" i="4"/>
  <c r="FE31" i="4"/>
  <c r="HM23" i="4"/>
  <c r="FE8" i="4"/>
  <c r="HM24" i="4"/>
  <c r="EA20" i="4"/>
  <c r="EA32" i="4"/>
  <c r="HM13" i="4"/>
  <c r="EA12" i="4"/>
  <c r="GI29" i="4"/>
  <c r="EA9" i="4"/>
  <c r="HM27" i="4"/>
  <c r="EA13" i="4"/>
  <c r="GI21" i="4"/>
  <c r="EA7" i="4"/>
  <c r="EA27" i="4"/>
  <c r="GI4" i="4"/>
  <c r="FE29" i="4"/>
  <c r="HM8" i="4"/>
  <c r="EA26" i="4"/>
  <c r="HM30" i="4"/>
  <c r="FE14" i="4"/>
  <c r="GI12" i="4"/>
  <c r="HM32" i="4"/>
  <c r="EA33" i="4"/>
  <c r="GI24" i="4"/>
  <c r="FE26" i="4"/>
  <c r="GI9" i="4"/>
  <c r="FE17" i="4"/>
  <c r="HM17" i="4"/>
  <c r="EA10" i="4"/>
  <c r="GI27" i="4"/>
  <c r="FE10" i="4"/>
  <c r="EA22" i="4"/>
  <c r="FE35" i="4"/>
  <c r="GI23" i="4"/>
  <c r="GI19" i="4"/>
  <c r="FE30" i="4"/>
  <c r="HM31" i="4"/>
  <c r="EA6" i="4"/>
  <c r="FE18" i="4"/>
  <c r="HM33" i="4"/>
  <c r="GI8" i="4"/>
  <c r="GI33" i="4"/>
  <c r="FE32" i="4"/>
  <c r="GI28" i="4"/>
  <c r="FE34" i="4"/>
  <c r="HM9" i="4"/>
  <c r="EA19" i="4"/>
  <c r="GI13" i="4"/>
  <c r="FE21" i="4"/>
  <c r="HM14" i="4"/>
  <c r="HM11" i="4"/>
  <c r="EA11" i="4"/>
  <c r="HM20" i="4"/>
  <c r="FE27" i="4"/>
  <c r="GI20" i="4"/>
  <c r="EA21" i="4"/>
  <c r="DT14" i="4" l="1"/>
  <c r="DW14" i="4" s="1"/>
  <c r="EC14" i="4" s="1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GX4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D24" i="4"/>
  <c r="BG24" i="4"/>
  <c r="BO24" i="4" s="1"/>
  <c r="BU24" i="4" s="1"/>
  <c r="CK24" i="4" s="1"/>
  <c r="BG29" i="4"/>
  <c r="BO29" i="4" s="1"/>
  <c r="BU29" i="4" s="1"/>
  <c r="CS21" i="4"/>
  <c r="CY21" i="4" s="1"/>
  <c r="DO21" i="4" s="1"/>
  <c r="DW21" i="4" s="1"/>
  <c r="EC21" i="4" s="1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CK21" i="4"/>
  <c r="BG20" i="4"/>
  <c r="BO20" i="4" s="1"/>
  <c r="BU20" i="4" s="1"/>
  <c r="CK20" i="4" s="1"/>
  <c r="CK13" i="4"/>
  <c r="CS13" i="4" s="1"/>
  <c r="CY13" i="4" s="1"/>
  <c r="DO13" i="4" s="1"/>
  <c r="DW13" i="4" s="1"/>
  <c r="EC13" i="4" s="1"/>
  <c r="ES13" i="4" s="1"/>
  <c r="FA13" i="4" s="1"/>
  <c r="FG13" i="4" s="1"/>
  <c r="FW13" i="4" s="1"/>
  <c r="GE13" i="4" s="1"/>
  <c r="GK13" i="4" s="1"/>
  <c r="HA13" i="4" s="1"/>
  <c r="HI13" i="4" s="1"/>
  <c r="HO13" i="4" s="1"/>
  <c r="IE13" i="4" s="1"/>
  <c r="IM13" i="4" s="1"/>
  <c r="ET6" i="4"/>
  <c r="FB6" i="4" s="1"/>
  <c r="FX6" i="4" s="1"/>
  <c r="GF6" i="4" s="1"/>
  <c r="HB6" i="4" s="1"/>
  <c r="HJ6" i="4" s="1"/>
  <c r="IF6" i="4" s="1"/>
  <c r="IN6" i="4" s="1"/>
  <c r="CK26" i="4"/>
  <c r="CS26" i="4" s="1"/>
  <c r="CY26" i="4" s="1"/>
  <c r="DO26" i="4" s="1"/>
  <c r="DW26" i="4" s="1"/>
  <c r="EC26" i="4" s="1"/>
  <c r="ES26" i="4" s="1"/>
  <c r="FA26" i="4" s="1"/>
  <c r="FG26" i="4" s="1"/>
  <c r="FW26" i="4" s="1"/>
  <c r="GE26" i="4" s="1"/>
  <c r="GK26" i="4" s="1"/>
  <c r="HA26" i="4" s="1"/>
  <c r="HI26" i="4" s="1"/>
  <c r="HO26" i="4" s="1"/>
  <c r="IE26" i="4" s="1"/>
  <c r="IM26" i="4" s="1"/>
  <c r="BG28" i="4"/>
  <c r="BO28" i="4" s="1"/>
  <c r="BU28" i="4" s="1"/>
  <c r="CK28" i="4" s="1"/>
  <c r="CS28" i="4" s="1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BG33" i="4"/>
  <c r="BO33" i="4" s="1"/>
  <c r="BU33" i="4" s="1"/>
  <c r="BG12" i="4"/>
  <c r="BO12" i="4" s="1"/>
  <c r="BU12" i="4" s="1"/>
  <c r="CK12" i="4" s="1"/>
  <c r="BG16" i="4"/>
  <c r="BO16" i="4" s="1"/>
  <c r="BU16" i="4" s="1"/>
  <c r="CK16" i="4" s="1"/>
  <c r="CS16" i="4" s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BG17" i="4"/>
  <c r="BO17" i="4" s="1"/>
  <c r="BU17" i="4" s="1"/>
  <c r="CK17" i="4" s="1"/>
  <c r="CK30" i="4"/>
  <c r="CS30" i="4" s="1"/>
  <c r="CY30" i="4" s="1"/>
  <c r="DO30" i="4" s="1"/>
  <c r="DW30" i="4" s="1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AE7" i="6"/>
  <c r="EA36" i="4"/>
  <c r="EA45" i="4"/>
  <c r="AC7" i="6"/>
  <c r="O7" i="6"/>
  <c r="CS12" i="4"/>
  <c r="CY12" i="4" s="1"/>
  <c r="DO12" i="4" s="1"/>
  <c r="CS20" i="4"/>
  <c r="CY20" i="4" s="1"/>
  <c r="DO20" i="4" s="1"/>
  <c r="DW20" i="4"/>
  <c r="EC20" i="4" s="1"/>
  <c r="ES20" i="4" s="1"/>
  <c r="FA20" i="4" s="1"/>
  <c r="FG20" i="4" s="1"/>
  <c r="FW20" i="4" s="1"/>
  <c r="GE20" i="4" s="1"/>
  <c r="GK20" i="4" s="1"/>
  <c r="HA20" i="4" s="1"/>
  <c r="HI20" i="4" s="1"/>
  <c r="HO20" i="4" s="1"/>
  <c r="IE20" i="4" s="1"/>
  <c r="IM20" i="4" s="1"/>
  <c r="DW27" i="4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CS19" i="4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AQ36" i="4"/>
  <c r="CS4" i="4"/>
  <c r="BL25" i="4"/>
  <c r="BO25" i="4" s="1"/>
  <c r="BU25" i="4" s="1"/>
  <c r="CK25" i="4" s="1"/>
  <c r="BD33" i="4"/>
  <c r="BD32" i="4"/>
  <c r="BO32" i="4"/>
  <c r="BU32" i="4" s="1"/>
  <c r="BD31" i="4"/>
  <c r="BO31" i="4"/>
  <c r="BU31" i="4" s="1"/>
  <c r="CK31" i="4" s="1"/>
  <c r="BO34" i="4"/>
  <c r="BU34" i="4" s="1"/>
  <c r="BD34" i="4"/>
  <c r="BO23" i="4"/>
  <c r="BU23" i="4" s="1"/>
  <c r="CK23" i="4" s="1"/>
  <c r="BD23" i="4"/>
  <c r="BD22" i="4"/>
  <c r="BO22" i="4"/>
  <c r="BU22" i="4" s="1"/>
  <c r="CK22" i="4" s="1"/>
  <c r="BD35" i="4"/>
  <c r="BG35" i="4"/>
  <c r="BO35" i="4" s="1"/>
  <c r="BU35" i="4" s="1"/>
  <c r="HO4" i="4" l="1"/>
  <c r="CH33" i="4"/>
  <c r="CK33" i="4"/>
  <c r="CS33" i="4" s="1"/>
  <c r="CY33" i="4" s="1"/>
  <c r="DO33" i="4" s="1"/>
  <c r="DW33" i="4" s="1"/>
  <c r="EC33" i="4" s="1"/>
  <c r="CK29" i="4"/>
  <c r="CS29" i="4" s="1"/>
  <c r="CY29" i="4" s="1"/>
  <c r="DO29" i="4" s="1"/>
  <c r="DW29" i="4" s="1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W12" i="4"/>
  <c r="AI7" i="6"/>
  <c r="CP25" i="4"/>
  <c r="CS25" i="4" s="1"/>
  <c r="CY25" i="4" s="1"/>
  <c r="DO25" i="4" s="1"/>
  <c r="BU36" i="4"/>
  <c r="CH23" i="4"/>
  <c r="CS23" i="4"/>
  <c r="CY23" i="4" s="1"/>
  <c r="DO23" i="4" s="1"/>
  <c r="DW23" i="4" s="1"/>
  <c r="EC23" i="4" s="1"/>
  <c r="CH31" i="4"/>
  <c r="CS31" i="4"/>
  <c r="CY31" i="4" s="1"/>
  <c r="DO31" i="4" s="1"/>
  <c r="DW31" i="4" s="1"/>
  <c r="EC31" i="4" s="1"/>
  <c r="CH24" i="4"/>
  <c r="CS24" i="4"/>
  <c r="CY24" i="4" s="1"/>
  <c r="DO24" i="4" s="1"/>
  <c r="DW24" i="4" s="1"/>
  <c r="EC24" i="4" s="1"/>
  <c r="CK34" i="4"/>
  <c r="CS34" i="4" s="1"/>
  <c r="CY34" i="4" s="1"/>
  <c r="DO34" i="4" s="1"/>
  <c r="DW34" i="4" s="1"/>
  <c r="EC34" i="4" s="1"/>
  <c r="CH34" i="4"/>
  <c r="CH35" i="4"/>
  <c r="CK35" i="4"/>
  <c r="CS35" i="4" s="1"/>
  <c r="CY35" i="4" s="1"/>
  <c r="DO35" i="4" s="1"/>
  <c r="DW35" i="4" s="1"/>
  <c r="EC35" i="4" s="1"/>
  <c r="CY4" i="4"/>
  <c r="DO4" i="4" s="1"/>
  <c r="DW4" i="4" s="1"/>
  <c r="EC4" i="4" s="1"/>
  <c r="ES4" i="4" s="1"/>
  <c r="CH22" i="4"/>
  <c r="CH32" i="4"/>
  <c r="CK32" i="4"/>
  <c r="CS32" i="4" s="1"/>
  <c r="CY32" i="4" s="1"/>
  <c r="DO32" i="4" s="1"/>
  <c r="DW32" i="4" s="1"/>
  <c r="EC32" i="4" s="1"/>
  <c r="DL33" i="4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DW25" i="4" l="1"/>
  <c r="EC25" i="4" s="1"/>
  <c r="ES25" i="4" s="1"/>
  <c r="DT25" i="4"/>
  <c r="IE4" i="4"/>
  <c r="IB4" i="4"/>
  <c r="EP35" i="4"/>
  <c r="ES35" i="4"/>
  <c r="FA35" i="4" s="1"/>
  <c r="FG35" i="4" s="1"/>
  <c r="EP32" i="4"/>
  <c r="ES32" i="4"/>
  <c r="FA32" i="4" s="1"/>
  <c r="FG32" i="4" s="1"/>
  <c r="EP24" i="4"/>
  <c r="ES24" i="4"/>
  <c r="FA24" i="4" s="1"/>
  <c r="FG24" i="4" s="1"/>
  <c r="EP34" i="4"/>
  <c r="ES34" i="4"/>
  <c r="FA34" i="4" s="1"/>
  <c r="FG34" i="4" s="1"/>
  <c r="EP23" i="4"/>
  <c r="ES23" i="4"/>
  <c r="FA23" i="4" s="1"/>
  <c r="FG23" i="4" s="1"/>
  <c r="EP31" i="4"/>
  <c r="ES31" i="4"/>
  <c r="FA31" i="4" s="1"/>
  <c r="FG31" i="4" s="1"/>
  <c r="EP33" i="4"/>
  <c r="ES33" i="4"/>
  <c r="FA33" i="4" s="1"/>
  <c r="FG33" i="4" s="1"/>
  <c r="EC12" i="4"/>
  <c r="CS22" i="4"/>
  <c r="CK36" i="4"/>
  <c r="DL31" i="4"/>
  <c r="DL24" i="4"/>
  <c r="DL35" i="4"/>
  <c r="DL23" i="4"/>
  <c r="DL32" i="4"/>
  <c r="DL34" i="4"/>
  <c r="U27" i="4"/>
  <c r="U19" i="4"/>
  <c r="U18" i="4"/>
  <c r="U17" i="4"/>
  <c r="U7" i="4"/>
  <c r="U5" i="4"/>
  <c r="U4" i="4"/>
  <c r="FT31" i="4" l="1"/>
  <c r="FW31" i="4"/>
  <c r="GE31" i="4" s="1"/>
  <c r="GK31" i="4" s="1"/>
  <c r="FT32" i="4"/>
  <c r="FW32" i="4"/>
  <c r="GE32" i="4" s="1"/>
  <c r="GK32" i="4" s="1"/>
  <c r="FT35" i="4"/>
  <c r="FW35" i="4"/>
  <c r="GE35" i="4" s="1"/>
  <c r="GK35" i="4" s="1"/>
  <c r="FW34" i="4"/>
  <c r="GE34" i="4" s="1"/>
  <c r="GK34" i="4" s="1"/>
  <c r="FT34" i="4"/>
  <c r="FT23" i="4"/>
  <c r="FW23" i="4"/>
  <c r="GE23" i="4" s="1"/>
  <c r="GK23" i="4" s="1"/>
  <c r="FT33" i="4"/>
  <c r="FW33" i="4"/>
  <c r="GE33" i="4" s="1"/>
  <c r="GK33" i="4" s="1"/>
  <c r="FW24" i="4"/>
  <c r="GE24" i="4" s="1"/>
  <c r="GK24" i="4" s="1"/>
  <c r="FT24" i="4"/>
  <c r="IM4" i="4"/>
  <c r="ES12" i="4"/>
  <c r="FA12" i="4" s="1"/>
  <c r="FG12" i="4" s="1"/>
  <c r="CY22" i="4"/>
  <c r="DO22" i="4" s="1"/>
  <c r="CS36" i="4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GX35" i="4" l="1"/>
  <c r="HA35" i="4"/>
  <c r="HI35" i="4" s="1"/>
  <c r="HO35" i="4" s="1"/>
  <c r="HA24" i="4"/>
  <c r="HI24" i="4" s="1"/>
  <c r="HO24" i="4" s="1"/>
  <c r="GX24" i="4"/>
  <c r="GX33" i="4"/>
  <c r="HA33" i="4"/>
  <c r="HI33" i="4" s="1"/>
  <c r="HO33" i="4" s="1"/>
  <c r="GX32" i="4"/>
  <c r="HA32" i="4"/>
  <c r="HI32" i="4" s="1"/>
  <c r="HO32" i="4" s="1"/>
  <c r="GX23" i="4"/>
  <c r="HA23" i="4"/>
  <c r="HI23" i="4" s="1"/>
  <c r="HO23" i="4" s="1"/>
  <c r="GX31" i="4"/>
  <c r="HA31" i="4"/>
  <c r="HI31" i="4" s="1"/>
  <c r="HO31" i="4" s="1"/>
  <c r="HA34" i="4"/>
  <c r="HI34" i="4" s="1"/>
  <c r="HO34" i="4" s="1"/>
  <c r="GX34" i="4"/>
  <c r="FW12" i="4"/>
  <c r="DW22" i="4"/>
  <c r="DO36" i="4"/>
  <c r="DL22" i="4"/>
  <c r="CY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O19" i="4"/>
  <c r="AO30" i="4"/>
  <c r="BS18" i="4"/>
  <c r="CW10" i="4"/>
  <c r="AO8" i="4"/>
  <c r="CW9" i="4"/>
  <c r="BS7" i="4"/>
  <c r="CW32" i="4"/>
  <c r="K18" i="4"/>
  <c r="BS8" i="4"/>
  <c r="AO20" i="4"/>
  <c r="K8" i="4"/>
  <c r="CW18" i="4"/>
  <c r="AO4" i="4"/>
  <c r="AO34" i="4"/>
  <c r="BS33" i="4"/>
  <c r="CW14" i="4"/>
  <c r="CW20" i="4"/>
  <c r="CW7" i="4"/>
  <c r="K22" i="4"/>
  <c r="AO23" i="4"/>
  <c r="BS21" i="4"/>
  <c r="AO31" i="4"/>
  <c r="AO10" i="4"/>
  <c r="CW11" i="4"/>
  <c r="K7" i="4"/>
  <c r="K33" i="4"/>
  <c r="K25" i="4"/>
  <c r="K31" i="4"/>
  <c r="CW35" i="4"/>
  <c r="CW21" i="4"/>
  <c r="CW31" i="4"/>
  <c r="BS5" i="4"/>
  <c r="K4" i="4"/>
  <c r="CW28" i="4"/>
  <c r="K13" i="4"/>
  <c r="K29" i="4"/>
  <c r="K24" i="4"/>
  <c r="BS23" i="4"/>
  <c r="K15" i="4"/>
  <c r="BS6" i="4"/>
  <c r="CW23" i="4"/>
  <c r="K30" i="4"/>
  <c r="CW24" i="4"/>
  <c r="K32" i="4"/>
  <c r="AO27" i="4"/>
  <c r="K12" i="4"/>
  <c r="AO6" i="4"/>
  <c r="AO35" i="4"/>
  <c r="BS16" i="4"/>
  <c r="BS25" i="4"/>
  <c r="BS24" i="4"/>
  <c r="AO9" i="4"/>
  <c r="AO12" i="4"/>
  <c r="BS22" i="4"/>
  <c r="BS12" i="4"/>
  <c r="CW27" i="4"/>
  <c r="BS13" i="4"/>
  <c r="BS26" i="4"/>
  <c r="K10" i="4"/>
  <c r="BS15" i="4"/>
  <c r="BS29" i="4"/>
  <c r="CW22" i="4"/>
  <c r="CW34" i="4"/>
  <c r="K28" i="4"/>
  <c r="BS31" i="4"/>
  <c r="AO14" i="4"/>
  <c r="K20" i="4"/>
  <c r="AO11" i="4"/>
  <c r="K14" i="4"/>
  <c r="BS17" i="4"/>
  <c r="CW15" i="4"/>
  <c r="AO28" i="4"/>
  <c r="K27" i="4"/>
  <c r="CW16" i="4"/>
  <c r="K9" i="4"/>
  <c r="AO29" i="4"/>
  <c r="AO16" i="4"/>
  <c r="K34" i="4"/>
  <c r="K5" i="4"/>
  <c r="K23" i="4"/>
  <c r="CW25" i="4"/>
  <c r="BS4" i="4"/>
  <c r="K19" i="4"/>
  <c r="K17" i="4"/>
  <c r="CW33" i="4"/>
  <c r="BS14" i="4"/>
  <c r="BS9" i="4"/>
  <c r="CW30" i="4"/>
  <c r="CW8" i="4"/>
  <c r="AO5" i="4"/>
  <c r="K11" i="4"/>
  <c r="K21" i="4"/>
  <c r="K16" i="4"/>
  <c r="BS35" i="4"/>
  <c r="BS19" i="4"/>
  <c r="CW13" i="4"/>
  <c r="K6" i="4"/>
  <c r="CW6" i="4"/>
  <c r="CW5" i="4"/>
  <c r="BS30" i="4"/>
  <c r="BS20" i="4"/>
  <c r="BS10" i="4"/>
  <c r="BS11" i="4"/>
  <c r="CW19" i="4"/>
  <c r="BS28" i="4"/>
  <c r="CW4" i="4"/>
  <c r="K26" i="4"/>
  <c r="CW29" i="4"/>
  <c r="AO33" i="4"/>
  <c r="AO24" i="4"/>
  <c r="BS27" i="4"/>
  <c r="AO18" i="4"/>
  <c r="AO22" i="4"/>
  <c r="AO17" i="4"/>
  <c r="AO25" i="4"/>
  <c r="BS34" i="4"/>
  <c r="CW17" i="4"/>
  <c r="K35" i="4"/>
  <c r="AO32" i="4"/>
  <c r="CW26" i="4"/>
  <c r="AO21" i="4"/>
  <c r="AO13" i="4"/>
  <c r="BS32" i="4"/>
  <c r="AO15" i="4"/>
  <c r="AO7" i="4"/>
  <c r="AO26" i="4"/>
  <c r="CW12" i="4"/>
  <c r="IE32" i="4" l="1"/>
  <c r="IM32" i="4" s="1"/>
  <c r="IB32" i="4"/>
  <c r="GE12" i="4"/>
  <c r="IE33" i="4"/>
  <c r="IM33" i="4" s="1"/>
  <c r="IB33" i="4"/>
  <c r="IE31" i="4"/>
  <c r="IM31" i="4" s="1"/>
  <c r="IB31" i="4"/>
  <c r="IE34" i="4"/>
  <c r="IM34" i="4" s="1"/>
  <c r="IB34" i="4"/>
  <c r="IB23" i="4"/>
  <c r="IE23" i="4"/>
  <c r="IM23" i="4" s="1"/>
  <c r="IE24" i="4"/>
  <c r="IM24" i="4" s="1"/>
  <c r="IB24" i="4"/>
  <c r="IB35" i="4"/>
  <c r="IE35" i="4"/>
  <c r="IM35" i="4" s="1"/>
  <c r="EC22" i="4"/>
  <c r="DW36" i="4"/>
  <c r="AO45" i="4"/>
  <c r="BS45" i="4"/>
  <c r="K45" i="4"/>
  <c r="CW36" i="4"/>
  <c r="CW45" i="4"/>
  <c r="L33" i="4"/>
  <c r="L8" i="4"/>
  <c r="L7" i="4"/>
  <c r="L6" i="4"/>
  <c r="L31" i="4"/>
  <c r="L30" i="4"/>
  <c r="L4" i="4"/>
  <c r="K36" i="4"/>
  <c r="BS36" i="4"/>
  <c r="L13" i="4"/>
  <c r="L26" i="4"/>
  <c r="L28" i="4"/>
  <c r="L9" i="4"/>
  <c r="L18" i="4"/>
  <c r="L20" i="4"/>
  <c r="L15" i="4"/>
  <c r="L10" i="4"/>
  <c r="L12" i="4"/>
  <c r="L11" i="4"/>
  <c r="AO36" i="4"/>
  <c r="L5" i="4"/>
  <c r="L35" i="4"/>
  <c r="L16" i="4"/>
  <c r="L32" i="4"/>
  <c r="L29" i="4"/>
  <c r="L34" i="4"/>
  <c r="L27" i="4"/>
  <c r="L25" i="4"/>
  <c r="L14" i="4"/>
  <c r="L23" i="4"/>
  <c r="L22" i="4"/>
  <c r="L21" i="4"/>
  <c r="L24" i="4"/>
  <c r="L19" i="4"/>
  <c r="L17" i="4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GK12" i="4" l="1"/>
  <c r="EP22" i="4"/>
  <c r="ES22" i="4"/>
  <c r="FA22" i="4" s="1"/>
  <c r="FG22" i="4" s="1"/>
  <c r="EC36" i="4"/>
  <c r="N25" i="4"/>
  <c r="O25" i="4" s="1"/>
  <c r="P25" i="4" s="1"/>
  <c r="N19" i="4"/>
  <c r="O19" i="4" s="1"/>
  <c r="P19" i="4" s="1"/>
  <c r="Q19" i="4" s="1"/>
  <c r="S19" i="4" s="1"/>
  <c r="T19" i="4" s="1"/>
  <c r="N12" i="4"/>
  <c r="O12" i="4" s="1"/>
  <c r="P12" i="4" s="1"/>
  <c r="N13" i="4"/>
  <c r="O13" i="4" s="1"/>
  <c r="P13" i="4" s="1"/>
  <c r="N24" i="4"/>
  <c r="O24" i="4" s="1"/>
  <c r="P24" i="4" s="1"/>
  <c r="N10" i="4"/>
  <c r="O10" i="4" s="1"/>
  <c r="P10" i="4" s="1"/>
  <c r="N21" i="4"/>
  <c r="O21" i="4" s="1"/>
  <c r="P21" i="4" s="1"/>
  <c r="N32" i="4"/>
  <c r="O32" i="4" s="1"/>
  <c r="P32" i="4" s="1"/>
  <c r="N15" i="4"/>
  <c r="O15" i="4" s="1"/>
  <c r="P15" i="4" s="1"/>
  <c r="N34" i="4"/>
  <c r="O34" i="4" s="1"/>
  <c r="P34" i="4" s="1"/>
  <c r="N8" i="4"/>
  <c r="O8" i="4" s="1"/>
  <c r="P8" i="4" s="1"/>
  <c r="O29" i="4"/>
  <c r="P29" i="4" s="1"/>
  <c r="N29" i="4"/>
  <c r="N22" i="4"/>
  <c r="O22" i="4" s="1"/>
  <c r="P22" i="4" s="1"/>
  <c r="N16" i="4"/>
  <c r="O16" i="4" s="1"/>
  <c r="P16" i="4" s="1"/>
  <c r="N20" i="4"/>
  <c r="O20" i="4"/>
  <c r="P20" i="4" s="1"/>
  <c r="Q20" i="4" s="1"/>
  <c r="U20" i="4" s="1"/>
  <c r="N4" i="4"/>
  <c r="O4" i="4" s="1"/>
  <c r="L36" i="4"/>
  <c r="N23" i="4"/>
  <c r="O23" i="4" s="1"/>
  <c r="P23" i="4" s="1"/>
  <c r="N35" i="4"/>
  <c r="O35" i="4" s="1"/>
  <c r="P35" i="4" s="1"/>
  <c r="N18" i="4"/>
  <c r="O18" i="4" s="1"/>
  <c r="P18" i="4" s="1"/>
  <c r="Q18" i="4" s="1"/>
  <c r="S18" i="4" s="1"/>
  <c r="T18" i="4" s="1"/>
  <c r="N30" i="4"/>
  <c r="O30" i="4" s="1"/>
  <c r="P30" i="4" s="1"/>
  <c r="N14" i="4"/>
  <c r="O14" i="4"/>
  <c r="P14" i="4" s="1"/>
  <c r="N5" i="4"/>
  <c r="O5" i="4" s="1"/>
  <c r="P5" i="4" s="1"/>
  <c r="Q5" i="4" s="1"/>
  <c r="S5" i="4" s="1"/>
  <c r="T5" i="4" s="1"/>
  <c r="N9" i="4"/>
  <c r="O9" i="4" s="1"/>
  <c r="P9" i="4" s="1"/>
  <c r="N31" i="4"/>
  <c r="O31" i="4" s="1"/>
  <c r="P31" i="4" s="1"/>
  <c r="N28" i="4"/>
  <c r="O28" i="4" s="1"/>
  <c r="P28" i="4" s="1"/>
  <c r="N6" i="4"/>
  <c r="O6" i="4" s="1"/>
  <c r="P6" i="4" s="1"/>
  <c r="N17" i="4"/>
  <c r="O17" i="4"/>
  <c r="P17" i="4" s="1"/>
  <c r="Q17" i="4" s="1"/>
  <c r="S17" i="4" s="1"/>
  <c r="T17" i="4" s="1"/>
  <c r="N27" i="4"/>
  <c r="O27" i="4" s="1"/>
  <c r="P27" i="4" s="1"/>
  <c r="N11" i="4"/>
  <c r="O11" i="4" s="1"/>
  <c r="P11" i="4" s="1"/>
  <c r="N26" i="4"/>
  <c r="O26" i="4" s="1"/>
  <c r="P26" i="4" s="1"/>
  <c r="N7" i="4"/>
  <c r="O7" i="4" s="1"/>
  <c r="P7" i="4" s="1"/>
  <c r="Q7" i="4" s="1"/>
  <c r="S7" i="4" s="1"/>
  <c r="T7" i="4" s="1"/>
  <c r="N33" i="4"/>
  <c r="O33" i="4" s="1"/>
  <c r="P33" i="4" s="1"/>
  <c r="S20" i="4"/>
  <c r="AI7" i="3"/>
  <c r="FW22" i="4" l="1"/>
  <c r="FT22" i="4"/>
  <c r="FG36" i="4"/>
  <c r="HA12" i="4"/>
  <c r="FA36" i="4"/>
  <c r="ES36" i="4"/>
  <c r="Q11" i="4"/>
  <c r="U11" i="4" s="1"/>
  <c r="T11" i="4"/>
  <c r="T20" i="4"/>
  <c r="Q9" i="4"/>
  <c r="U9" i="4" s="1"/>
  <c r="T9" i="4"/>
  <c r="T25" i="4"/>
  <c r="Q25" i="4"/>
  <c r="U25" i="4" s="1"/>
  <c r="Q27" i="4"/>
  <c r="S27" i="4" s="1"/>
  <c r="T27" i="4" s="1"/>
  <c r="Q29" i="4"/>
  <c r="U29" i="4" s="1"/>
  <c r="T29" i="4"/>
  <c r="Q26" i="4"/>
  <c r="U26" i="4" s="1"/>
  <c r="T26" i="4"/>
  <c r="P4" i="4"/>
  <c r="Q4" i="4" s="1"/>
  <c r="S4" i="4" s="1"/>
  <c r="O36" i="4"/>
  <c r="O45" i="4" s="1"/>
  <c r="Q8" i="4"/>
  <c r="U8" i="4" s="1"/>
  <c r="T8" i="4"/>
  <c r="Q31" i="4"/>
  <c r="U31" i="4" s="1"/>
  <c r="T31" i="4"/>
  <c r="T23" i="4"/>
  <c r="Q23" i="4"/>
  <c r="U23" i="4" s="1"/>
  <c r="T21" i="4"/>
  <c r="Q21" i="4"/>
  <c r="U21" i="4" s="1"/>
  <c r="T12" i="4"/>
  <c r="Q12" i="4"/>
  <c r="U12" i="4" s="1"/>
  <c r="Q30" i="4"/>
  <c r="U30" i="4" s="1"/>
  <c r="T30" i="4"/>
  <c r="Q10" i="4"/>
  <c r="U10" i="4" s="1"/>
  <c r="T10" i="4"/>
  <c r="T28" i="4"/>
  <c r="Q28" i="4"/>
  <c r="U28" i="4" s="1"/>
  <c r="T15" i="4"/>
  <c r="Q15" i="4"/>
  <c r="U15" i="4" s="1"/>
  <c r="Q33" i="4"/>
  <c r="U33" i="4" s="1"/>
  <c r="T33" i="4"/>
  <c r="Q14" i="4"/>
  <c r="U14" i="4" s="1"/>
  <c r="T14" i="4"/>
  <c r="Q35" i="4"/>
  <c r="U35" i="4" s="1"/>
  <c r="T35" i="4"/>
  <c r="Q22" i="4"/>
  <c r="U22" i="4" s="1"/>
  <c r="T22" i="4"/>
  <c r="N36" i="4"/>
  <c r="Q32" i="4"/>
  <c r="U32" i="4" s="1"/>
  <c r="T32" i="4"/>
  <c r="T6" i="4"/>
  <c r="Q6" i="4"/>
  <c r="U6" i="4" s="1"/>
  <c r="Q34" i="4"/>
  <c r="U34" i="4" s="1"/>
  <c r="T34" i="4"/>
  <c r="T24" i="4"/>
  <c r="Q24" i="4"/>
  <c r="U24" i="4" s="1"/>
  <c r="Q13" i="4"/>
  <c r="U13" i="4" s="1"/>
  <c r="T13" i="4"/>
  <c r="T16" i="4"/>
  <c r="Q16" i="4"/>
  <c r="U16" i="4" s="1"/>
  <c r="HI12" i="4" l="1"/>
  <c r="GE22" i="4"/>
  <c r="FW36" i="4"/>
  <c r="T4" i="4"/>
  <c r="S36" i="4"/>
  <c r="S45" i="4" s="1"/>
  <c r="U36" i="4"/>
  <c r="GK22" i="4" l="1"/>
  <c r="GE36" i="4"/>
  <c r="HO12" i="4"/>
  <c r="T41" i="4"/>
  <c r="V12" i="4" s="1"/>
  <c r="W12" i="4" s="1"/>
  <c r="X12" i="4" s="1"/>
  <c r="AB12" i="4" s="1"/>
  <c r="AJ12" i="4" s="1"/>
  <c r="AN12" i="4" s="1"/>
  <c r="AP12" i="4" s="1"/>
  <c r="AV12" i="4" s="1"/>
  <c r="BP12" i="4" s="1"/>
  <c r="Z21" i="4"/>
  <c r="IE12" i="4" l="1"/>
  <c r="HA22" i="4"/>
  <c r="GX22" i="4"/>
  <c r="GK36" i="4"/>
  <c r="CL12" i="4"/>
  <c r="CT12" i="4" s="1"/>
  <c r="V22" i="4"/>
  <c r="W22" i="4" s="1"/>
  <c r="X22" i="4" s="1"/>
  <c r="Y22" i="4" s="1"/>
  <c r="V28" i="4"/>
  <c r="W28" i="4" s="1"/>
  <c r="X28" i="4" s="1"/>
  <c r="AB28" i="4" s="1"/>
  <c r="AJ28" i="4" s="1"/>
  <c r="AN28" i="4" s="1"/>
  <c r="AP28" i="4" s="1"/>
  <c r="AR28" i="4" s="1"/>
  <c r="AS28" i="4" s="1"/>
  <c r="AT28" i="4" s="1"/>
  <c r="AU28" i="4" s="1"/>
  <c r="V30" i="4"/>
  <c r="W30" i="4" s="1"/>
  <c r="X30" i="4" s="1"/>
  <c r="AB30" i="4" s="1"/>
  <c r="AJ30" i="4" s="1"/>
  <c r="AN30" i="4" s="1"/>
  <c r="AP30" i="4" s="1"/>
  <c r="AV30" i="4" s="1"/>
  <c r="V19" i="4"/>
  <c r="W19" i="4" s="1"/>
  <c r="X19" i="4" s="1"/>
  <c r="AB19" i="4" s="1"/>
  <c r="AJ19" i="4" s="1"/>
  <c r="AN19" i="4" s="1"/>
  <c r="AP19" i="4" s="1"/>
  <c r="AR19" i="4" s="1"/>
  <c r="AS19" i="4" s="1"/>
  <c r="AT19" i="4" s="1"/>
  <c r="AU19" i="4" s="1"/>
  <c r="Y12" i="4"/>
  <c r="V35" i="4"/>
  <c r="W35" i="4" s="1"/>
  <c r="X35" i="4" s="1"/>
  <c r="Y35" i="4" s="1"/>
  <c r="AR12" i="4"/>
  <c r="AS12" i="4" s="1"/>
  <c r="AT12" i="4" s="1"/>
  <c r="AU12" i="4" s="1"/>
  <c r="AY12" i="4" s="1"/>
  <c r="V4" i="4"/>
  <c r="W4" i="4" s="1"/>
  <c r="X4" i="4" s="1"/>
  <c r="V17" i="4"/>
  <c r="W17" i="4" s="1"/>
  <c r="X17" i="4" s="1"/>
  <c r="AB17" i="4" s="1"/>
  <c r="AJ17" i="4" s="1"/>
  <c r="AN17" i="4" s="1"/>
  <c r="AP17" i="4" s="1"/>
  <c r="AV17" i="4" s="1"/>
  <c r="V20" i="4"/>
  <c r="W20" i="4" s="1"/>
  <c r="X20" i="4" s="1"/>
  <c r="AB20" i="4" s="1"/>
  <c r="AJ20" i="4" s="1"/>
  <c r="AN20" i="4" s="1"/>
  <c r="AP20" i="4" s="1"/>
  <c r="AV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J21" i="4" s="1"/>
  <c r="AN21" i="4" s="1"/>
  <c r="AP21" i="4" s="1"/>
  <c r="AR21" i="4" s="1"/>
  <c r="AS21" i="4" s="1"/>
  <c r="AT21" i="4" s="1"/>
  <c r="AU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J14" i="4" s="1"/>
  <c r="AN14" i="4" s="1"/>
  <c r="AP14" i="4" s="1"/>
  <c r="AR14" i="4" s="1"/>
  <c r="AS14" i="4" s="1"/>
  <c r="AT14" i="4" s="1"/>
  <c r="AU14" i="4" s="1"/>
  <c r="V13" i="4"/>
  <c r="W13" i="4" s="1"/>
  <c r="X13" i="4" s="1"/>
  <c r="AB13" i="4" s="1"/>
  <c r="AJ13" i="4" s="1"/>
  <c r="AN13" i="4" s="1"/>
  <c r="AP13" i="4" s="1"/>
  <c r="AV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J27" i="4" s="1"/>
  <c r="AN27" i="4" s="1"/>
  <c r="AP27" i="4" s="1"/>
  <c r="AV27" i="4" s="1"/>
  <c r="V5" i="4"/>
  <c r="W5" i="4" s="1"/>
  <c r="X5" i="4" s="1"/>
  <c r="V16" i="4"/>
  <c r="W16" i="4" s="1"/>
  <c r="X16" i="4" s="1"/>
  <c r="AB16" i="4" s="1"/>
  <c r="AJ16" i="4" s="1"/>
  <c r="AN16" i="4" s="1"/>
  <c r="AP16" i="4" s="1"/>
  <c r="AV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W12" i="4"/>
  <c r="HI22" i="4" l="1"/>
  <c r="HA36" i="4"/>
  <c r="IM12" i="4"/>
  <c r="DP12" i="4"/>
  <c r="DX12" i="4" s="1"/>
  <c r="AY27" i="4"/>
  <c r="BP27" i="4"/>
  <c r="AW13" i="4"/>
  <c r="BP13" i="4"/>
  <c r="AW16" i="4"/>
  <c r="BP16" i="4"/>
  <c r="AW30" i="4"/>
  <c r="BP30" i="4"/>
  <c r="AW20" i="4"/>
  <c r="BP20" i="4"/>
  <c r="AY17" i="4"/>
  <c r="BP17" i="4"/>
  <c r="AV19" i="4"/>
  <c r="Y9" i="4"/>
  <c r="Y7" i="4"/>
  <c r="Y28" i="4"/>
  <c r="Y10" i="4"/>
  <c r="Z30" i="4"/>
  <c r="Z17" i="4"/>
  <c r="Y30" i="4"/>
  <c r="AR30" i="4"/>
  <c r="AS30" i="4" s="1"/>
  <c r="AT30" i="4" s="1"/>
  <c r="AU30" i="4" s="1"/>
  <c r="AY30" i="4" s="1"/>
  <c r="AB22" i="4"/>
  <c r="AJ22" i="4" s="1"/>
  <c r="AN22" i="4" s="1"/>
  <c r="AP22" i="4" s="1"/>
  <c r="AR22" i="4" s="1"/>
  <c r="AS22" i="4" s="1"/>
  <c r="AT22" i="4" s="1"/>
  <c r="AU22" i="4" s="1"/>
  <c r="Z28" i="4"/>
  <c r="AB10" i="4"/>
  <c r="AJ10" i="4" s="1"/>
  <c r="AN10" i="4" s="1"/>
  <c r="AP10" i="4" s="1"/>
  <c r="AR10" i="4" s="1"/>
  <c r="AS10" i="4" s="1"/>
  <c r="AT10" i="4" s="1"/>
  <c r="AU10" i="4" s="1"/>
  <c r="AB4" i="4"/>
  <c r="AJ4" i="4" s="1"/>
  <c r="Z4" i="4"/>
  <c r="Y4" i="4"/>
  <c r="Y21" i="4"/>
  <c r="Y19" i="4"/>
  <c r="Z19" i="4"/>
  <c r="Y17" i="4"/>
  <c r="AR20" i="4"/>
  <c r="AS20" i="4" s="1"/>
  <c r="AT20" i="4" s="1"/>
  <c r="AV28" i="4"/>
  <c r="Z13" i="4"/>
  <c r="Z20" i="4"/>
  <c r="AB24" i="4"/>
  <c r="AJ24" i="4" s="1"/>
  <c r="AN24" i="4" s="1"/>
  <c r="AP24" i="4" s="1"/>
  <c r="AV24" i="4" s="1"/>
  <c r="AR17" i="4"/>
  <c r="AS17" i="4" s="1"/>
  <c r="AT17" i="4" s="1"/>
  <c r="AU17" i="4" s="1"/>
  <c r="AW17" i="4" s="1"/>
  <c r="AX17" i="4" s="1"/>
  <c r="Z10" i="4"/>
  <c r="AX12" i="4"/>
  <c r="Y20" i="4"/>
  <c r="AB35" i="4"/>
  <c r="AJ35" i="4" s="1"/>
  <c r="AN35" i="4" s="1"/>
  <c r="AP35" i="4" s="1"/>
  <c r="AV14" i="4"/>
  <c r="BP14" i="4" s="1"/>
  <c r="AV21" i="4"/>
  <c r="Y14" i="4"/>
  <c r="AB33" i="4"/>
  <c r="AJ33" i="4" s="1"/>
  <c r="AN33" i="4" s="1"/>
  <c r="AP33" i="4" s="1"/>
  <c r="AR33" i="4" s="1"/>
  <c r="AS33" i="4" s="1"/>
  <c r="AT33" i="4" s="1"/>
  <c r="AU33" i="4" s="1"/>
  <c r="AB9" i="4"/>
  <c r="AJ9" i="4" s="1"/>
  <c r="AN9" i="4" s="1"/>
  <c r="AP9" i="4" s="1"/>
  <c r="AR9" i="4" s="1"/>
  <c r="AS9" i="4" s="1"/>
  <c r="AT9" i="4" s="1"/>
  <c r="AU9" i="4" s="1"/>
  <c r="Y13" i="4"/>
  <c r="AR13" i="4"/>
  <c r="AS13" i="4" s="1"/>
  <c r="AT13" i="4" s="1"/>
  <c r="AU13" i="4" s="1"/>
  <c r="AY13" i="4" s="1"/>
  <c r="AB11" i="4"/>
  <c r="AJ11" i="4" s="1"/>
  <c r="AN11" i="4" s="1"/>
  <c r="AP11" i="4" s="1"/>
  <c r="AV11" i="4" s="1"/>
  <c r="Y11" i="4"/>
  <c r="Z11" i="4"/>
  <c r="AB8" i="4"/>
  <c r="AJ8" i="4" s="1"/>
  <c r="AN8" i="4" s="1"/>
  <c r="AP8" i="4" s="1"/>
  <c r="AR8" i="4" s="1"/>
  <c r="AS8" i="4" s="1"/>
  <c r="AT8" i="4" s="1"/>
  <c r="AU8" i="4" s="1"/>
  <c r="Y16" i="4"/>
  <c r="Z14" i="4"/>
  <c r="AB25" i="4"/>
  <c r="AJ25" i="4" s="1"/>
  <c r="AN25" i="4" s="1"/>
  <c r="AP25" i="4" s="1"/>
  <c r="Z25" i="4"/>
  <c r="Y23" i="4"/>
  <c r="AB23" i="4"/>
  <c r="AJ23" i="4" s="1"/>
  <c r="AN23" i="4" s="1"/>
  <c r="AP23" i="4" s="1"/>
  <c r="Z9" i="4"/>
  <c r="AB15" i="4"/>
  <c r="AJ15" i="4" s="1"/>
  <c r="AN15" i="4" s="1"/>
  <c r="AP15" i="4" s="1"/>
  <c r="Y15" i="4"/>
  <c r="AB34" i="4"/>
  <c r="AJ34" i="4" s="1"/>
  <c r="AN34" i="4" s="1"/>
  <c r="AP34" i="4" s="1"/>
  <c r="Y34" i="4"/>
  <c r="Z16" i="4"/>
  <c r="Y27" i="4"/>
  <c r="Z27" i="4"/>
  <c r="AB29" i="4"/>
  <c r="AJ29" i="4" s="1"/>
  <c r="AN29" i="4" s="1"/>
  <c r="AP29" i="4" s="1"/>
  <c r="Y29" i="4"/>
  <c r="Z29" i="4"/>
  <c r="AR16" i="4"/>
  <c r="AS16" i="4" s="1"/>
  <c r="AT16" i="4" s="1"/>
  <c r="AU16" i="4" s="1"/>
  <c r="AY16" i="4" s="1"/>
  <c r="Y8" i="4"/>
  <c r="Z5" i="4"/>
  <c r="AR27" i="4"/>
  <c r="AS27" i="4" s="1"/>
  <c r="AT27" i="4" s="1"/>
  <c r="AU27" i="4" s="1"/>
  <c r="AW27" i="4" s="1"/>
  <c r="AX27" i="4" s="1"/>
  <c r="Z8" i="4"/>
  <c r="Y32" i="4"/>
  <c r="AB32" i="4"/>
  <c r="AJ32" i="4" s="1"/>
  <c r="AN32" i="4" s="1"/>
  <c r="AP32" i="4" s="1"/>
  <c r="Y6" i="4"/>
  <c r="Z6" i="4"/>
  <c r="AB6" i="4"/>
  <c r="AJ6" i="4" s="1"/>
  <c r="AN6" i="4" s="1"/>
  <c r="AP6" i="4" s="1"/>
  <c r="V36" i="4"/>
  <c r="V45" i="4" s="1"/>
  <c r="AB26" i="4"/>
  <c r="AJ26" i="4" s="1"/>
  <c r="AN26" i="4" s="1"/>
  <c r="AP26" i="4" s="1"/>
  <c r="Z26" i="4"/>
  <c r="Y26" i="4"/>
  <c r="X36" i="4"/>
  <c r="Z36" i="4" s="1"/>
  <c r="AB7" i="4"/>
  <c r="AJ7" i="4" s="1"/>
  <c r="AN7" i="4" s="1"/>
  <c r="AP7" i="4" s="1"/>
  <c r="Z7" i="4"/>
  <c r="AB5" i="4"/>
  <c r="AJ5" i="4" s="1"/>
  <c r="AN5" i="4" s="1"/>
  <c r="AP5" i="4" s="1"/>
  <c r="Y5" i="4"/>
  <c r="Y31" i="4"/>
  <c r="AB31" i="4"/>
  <c r="AJ31" i="4" s="1"/>
  <c r="AN31" i="4" s="1"/>
  <c r="AP31" i="4" s="1"/>
  <c r="AB18" i="4"/>
  <c r="AJ18" i="4" s="1"/>
  <c r="AN18" i="4" s="1"/>
  <c r="AP18" i="4" s="1"/>
  <c r="Y18" i="4"/>
  <c r="Z18" i="4"/>
  <c r="HO22" i="4" l="1"/>
  <c r="HI36" i="4"/>
  <c r="AX20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AW24" i="4"/>
  <c r="BP24" i="4"/>
  <c r="AY19" i="4"/>
  <c r="BP19" i="4"/>
  <c r="AW21" i="4"/>
  <c r="AX21" i="4" s="1"/>
  <c r="BP21" i="4"/>
  <c r="AW11" i="4"/>
  <c r="BP11" i="4"/>
  <c r="AW28" i="4"/>
  <c r="AX28" i="4" s="1"/>
  <c r="BP28" i="4"/>
  <c r="AW19" i="4"/>
  <c r="AX19" i="4" s="1"/>
  <c r="AX30" i="4"/>
  <c r="AV22" i="4"/>
  <c r="AR24" i="4"/>
  <c r="AS24" i="4" s="1"/>
  <c r="AT24" i="4" s="1"/>
  <c r="AU24" i="4" s="1"/>
  <c r="AY24" i="4" s="1"/>
  <c r="AX13" i="4"/>
  <c r="AV10" i="4"/>
  <c r="BP10" i="4" s="1"/>
  <c r="AU20" i="4"/>
  <c r="AY20" i="4" s="1"/>
  <c r="AY28" i="4"/>
  <c r="AR11" i="4"/>
  <c r="AS11" i="4" s="1"/>
  <c r="AT11" i="4" s="1"/>
  <c r="AU11" i="4" s="1"/>
  <c r="AY11" i="4" s="1"/>
  <c r="AV35" i="4"/>
  <c r="BP35" i="4" s="1"/>
  <c r="AR35" i="4"/>
  <c r="AS35" i="4" s="1"/>
  <c r="AT35" i="4" s="1"/>
  <c r="AU35" i="4" s="1"/>
  <c r="AY21" i="4"/>
  <c r="AV9" i="4"/>
  <c r="AW14" i="4"/>
  <c r="AX14" i="4" s="1"/>
  <c r="AY14" i="4"/>
  <c r="AV33" i="4"/>
  <c r="AV8" i="4"/>
  <c r="Y36" i="4"/>
  <c r="X45" i="4"/>
  <c r="AX16" i="4"/>
  <c r="AV23" i="4"/>
  <c r="BP23" i="4" s="1"/>
  <c r="AR23" i="4"/>
  <c r="AS23" i="4" s="1"/>
  <c r="AT23" i="4" s="1"/>
  <c r="AU23" i="4" s="1"/>
  <c r="AV34" i="4"/>
  <c r="AR34" i="4"/>
  <c r="AS34" i="4" s="1"/>
  <c r="AT34" i="4" s="1"/>
  <c r="AR25" i="4"/>
  <c r="AS25" i="4" s="1"/>
  <c r="AT25" i="4" s="1"/>
  <c r="AU25" i="4" s="1"/>
  <c r="AV25" i="4"/>
  <c r="BP25" i="4" s="1"/>
  <c r="AV29" i="4"/>
  <c r="BP29" i="4" s="1"/>
  <c r="AR29" i="4"/>
  <c r="AS29" i="4" s="1"/>
  <c r="AT29" i="4" s="1"/>
  <c r="AR15" i="4"/>
  <c r="AS15" i="4" s="1"/>
  <c r="AT15" i="4" s="1"/>
  <c r="AU15" i="4" s="1"/>
  <c r="AV15" i="4"/>
  <c r="BP15" i="4" s="1"/>
  <c r="CL15" i="4" s="1"/>
  <c r="AR31" i="4"/>
  <c r="AS31" i="4" s="1"/>
  <c r="AT31" i="4" s="1"/>
  <c r="AU31" i="4" s="1"/>
  <c r="AV31" i="4"/>
  <c r="BP31" i="4" s="1"/>
  <c r="AV6" i="4"/>
  <c r="BP6" i="4" s="1"/>
  <c r="CL6" i="4" s="1"/>
  <c r="AR6" i="4"/>
  <c r="AS6" i="4" s="1"/>
  <c r="AT6" i="4" s="1"/>
  <c r="AU6" i="4" s="1"/>
  <c r="AV5" i="4"/>
  <c r="BP5" i="4" s="1"/>
  <c r="AR5" i="4"/>
  <c r="AS5" i="4" s="1"/>
  <c r="AT5" i="4" s="1"/>
  <c r="AU5" i="4" s="1"/>
  <c r="AV32" i="4"/>
  <c r="BP32" i="4" s="1"/>
  <c r="AR32" i="4"/>
  <c r="AS32" i="4" s="1"/>
  <c r="AT32" i="4" s="1"/>
  <c r="AU32" i="4" s="1"/>
  <c r="AR7" i="4"/>
  <c r="AS7" i="4" s="1"/>
  <c r="AT7" i="4" s="1"/>
  <c r="AU7" i="4" s="1"/>
  <c r="AV7" i="4"/>
  <c r="BP7" i="4" s="1"/>
  <c r="AR26" i="4"/>
  <c r="AS26" i="4" s="1"/>
  <c r="AT26" i="4" s="1"/>
  <c r="AU26" i="4" s="1"/>
  <c r="AV26" i="4"/>
  <c r="BP26" i="4" s="1"/>
  <c r="AB36" i="4"/>
  <c r="AR18" i="4"/>
  <c r="AS18" i="4" s="1"/>
  <c r="AT18" i="4" s="1"/>
  <c r="AU18" i="4" s="1"/>
  <c r="AV18" i="4"/>
  <c r="BP18" i="4" s="1"/>
  <c r="AN4" i="4"/>
  <c r="AJ36" i="4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AW33" i="4"/>
  <c r="AX33" i="4" s="1"/>
  <c r="BP33" i="4"/>
  <c r="AW34" i="4"/>
  <c r="AX34" i="4" s="1"/>
  <c r="BP34" i="4"/>
  <c r="AY9" i="4"/>
  <c r="BP9" i="4"/>
  <c r="AW22" i="4"/>
  <c r="AX22" i="4" s="1"/>
  <c r="BP22" i="4"/>
  <c r="AY8" i="4"/>
  <c r="BP8" i="4"/>
  <c r="AY22" i="4"/>
  <c r="AX24" i="4"/>
  <c r="AY10" i="4"/>
  <c r="AW10" i="4"/>
  <c r="AX10" i="4" s="1"/>
  <c r="AX11" i="4"/>
  <c r="AW35" i="4"/>
  <c r="AX35" i="4" s="1"/>
  <c r="AY35" i="4"/>
  <c r="AW8" i="4"/>
  <c r="AX8" i="4" s="1"/>
  <c r="AW9" i="4"/>
  <c r="AX9" i="4" s="1"/>
  <c r="AY33" i="4"/>
  <c r="AW25" i="4"/>
  <c r="AX25" i="4" s="1"/>
  <c r="AY25" i="4"/>
  <c r="AU34" i="4"/>
  <c r="AY34" i="4" s="1"/>
  <c r="AY15" i="4"/>
  <c r="AW15" i="4"/>
  <c r="AX15" i="4" s="1"/>
  <c r="AU29" i="4"/>
  <c r="AY29" i="4" s="1"/>
  <c r="AY23" i="4"/>
  <c r="AW23" i="4"/>
  <c r="AX23" i="4" s="1"/>
  <c r="AW29" i="4"/>
  <c r="AX29" i="4" s="1"/>
  <c r="AY32" i="4"/>
  <c r="AW32" i="4"/>
  <c r="AX32" i="4" s="1"/>
  <c r="AJ45" i="4"/>
  <c r="AY26" i="4"/>
  <c r="AW26" i="4"/>
  <c r="AX26" i="4" s="1"/>
  <c r="AY5" i="4"/>
  <c r="AW5" i="4"/>
  <c r="AX5" i="4" s="1"/>
  <c r="AY7" i="4"/>
  <c r="AW7" i="4"/>
  <c r="AX7" i="4" s="1"/>
  <c r="AW6" i="4"/>
  <c r="AX6" i="4" s="1"/>
  <c r="AY6" i="4"/>
  <c r="AW31" i="4"/>
  <c r="AX31" i="4" s="1"/>
  <c r="AY31" i="4"/>
  <c r="AY18" i="4"/>
  <c r="AW18" i="4"/>
  <c r="AX18" i="4" s="1"/>
  <c r="AN36" i="4"/>
  <c r="AN45" i="4" s="1"/>
  <c r="AP4" i="4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X18" i="4"/>
  <c r="DP18" i="4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AR4" i="4"/>
  <c r="AP36" i="4"/>
  <c r="AV4" i="4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AY4" i="4"/>
  <c r="AY36" i="4" s="1"/>
  <c r="BP4" i="4"/>
  <c r="AS4" i="4"/>
  <c r="AR36" i="4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AS36" i="4"/>
  <c r="AS45" i="4" s="1"/>
  <c r="AT4" i="4"/>
  <c r="AU4" i="4" s="1"/>
  <c r="AW4" i="4" s="1"/>
  <c r="AW36" i="4" s="1"/>
  <c r="DP4" i="4" l="1"/>
  <c r="DX4" i="4" s="1"/>
  <c r="AW45" i="4"/>
  <c r="AX4" i="4"/>
  <c r="AX41" i="4"/>
  <c r="AY45" i="4" s="1"/>
  <c r="ET4" i="4" l="1"/>
  <c r="FB4" i="4" s="1"/>
  <c r="FX4" i="4" s="1"/>
  <c r="GF4" i="4" s="1"/>
  <c r="HB4" i="4" s="1"/>
  <c r="HJ4" i="4" s="1"/>
  <c r="IF4" i="4" s="1"/>
  <c r="IN4" i="4" s="1"/>
  <c r="AZ11" i="4"/>
  <c r="BA11" i="4" s="1"/>
  <c r="BB11" i="4" s="1"/>
  <c r="AZ5" i="4"/>
  <c r="BA5" i="4" s="1"/>
  <c r="BB5" i="4" s="1"/>
  <c r="AZ23" i="4"/>
  <c r="BA23" i="4" s="1"/>
  <c r="BB23" i="4" s="1"/>
  <c r="AZ12" i="4"/>
  <c r="BA12" i="4" s="1"/>
  <c r="BB12" i="4" s="1"/>
  <c r="AZ9" i="4"/>
  <c r="BA9" i="4" s="1"/>
  <c r="BB9" i="4" s="1"/>
  <c r="AZ7" i="4"/>
  <c r="BA7" i="4" s="1"/>
  <c r="BB7" i="4" s="1"/>
  <c r="AZ34" i="4"/>
  <c r="BA34" i="4" s="1"/>
  <c r="BB34" i="4" s="1"/>
  <c r="AZ18" i="4"/>
  <c r="BA18" i="4" s="1"/>
  <c r="BB18" i="4" s="1"/>
  <c r="AZ4" i="4"/>
  <c r="BA4" i="4" s="1"/>
  <c r="BB4" i="4" s="1"/>
  <c r="BF4" i="4" s="1"/>
  <c r="BN4" i="4" s="1"/>
  <c r="BR4" i="4" s="1"/>
  <c r="BT4" i="4" s="1"/>
  <c r="AZ27" i="4"/>
  <c r="BA27" i="4" s="1"/>
  <c r="BB27" i="4" s="1"/>
  <c r="AZ25" i="4"/>
  <c r="BA25" i="4" s="1"/>
  <c r="BB25" i="4" s="1"/>
  <c r="AZ28" i="4"/>
  <c r="BA28" i="4" s="1"/>
  <c r="BB28" i="4" s="1"/>
  <c r="AZ35" i="4"/>
  <c r="BA35" i="4" s="1"/>
  <c r="BB35" i="4" s="1"/>
  <c r="BF35" i="4" s="1"/>
  <c r="BN35" i="4" s="1"/>
  <c r="BR35" i="4" s="1"/>
  <c r="BT35" i="4" s="1"/>
  <c r="AZ15" i="4"/>
  <c r="BA15" i="4" s="1"/>
  <c r="BB15" i="4" s="1"/>
  <c r="AZ33" i="4"/>
  <c r="BA33" i="4" s="1"/>
  <c r="BB33" i="4" s="1"/>
  <c r="AZ32" i="4"/>
  <c r="BA32" i="4" s="1"/>
  <c r="BB32" i="4" s="1"/>
  <c r="AZ30" i="4"/>
  <c r="BA30" i="4" s="1"/>
  <c r="BB30" i="4" s="1"/>
  <c r="AZ17" i="4"/>
  <c r="BA17" i="4" s="1"/>
  <c r="BB17" i="4" s="1"/>
  <c r="AZ16" i="4"/>
  <c r="BA16" i="4" s="1"/>
  <c r="BB16" i="4" s="1"/>
  <c r="AZ19" i="4"/>
  <c r="BA19" i="4" s="1"/>
  <c r="BB19" i="4" s="1"/>
  <c r="AZ14" i="4"/>
  <c r="BA14" i="4" s="1"/>
  <c r="BB14" i="4" s="1"/>
  <c r="AZ6" i="4"/>
  <c r="BA6" i="4" s="1"/>
  <c r="BB6" i="4" s="1"/>
  <c r="AZ13" i="4"/>
  <c r="BA13" i="4" s="1"/>
  <c r="BB13" i="4" s="1"/>
  <c r="AZ21" i="4"/>
  <c r="BA21" i="4" s="1"/>
  <c r="BB21" i="4" s="1"/>
  <c r="AZ24" i="4"/>
  <c r="BA24" i="4" s="1"/>
  <c r="BB24" i="4" s="1"/>
  <c r="AX45" i="4"/>
  <c r="AZ29" i="4"/>
  <c r="BA29" i="4" s="1"/>
  <c r="BB29" i="4" s="1"/>
  <c r="AZ22" i="4"/>
  <c r="BA22" i="4" s="1"/>
  <c r="BB22" i="4" s="1"/>
  <c r="AZ10" i="4"/>
  <c r="BA10" i="4" s="1"/>
  <c r="BB10" i="4" s="1"/>
  <c r="AZ26" i="4"/>
  <c r="BA26" i="4" s="1"/>
  <c r="BB26" i="4" s="1"/>
  <c r="AZ31" i="4"/>
  <c r="BA31" i="4" s="1"/>
  <c r="BB31" i="4" s="1"/>
  <c r="AZ8" i="4"/>
  <c r="BA8" i="4" s="1"/>
  <c r="BB8" i="4" s="1"/>
  <c r="AZ20" i="4"/>
  <c r="BA20" i="4" s="1"/>
  <c r="BB20" i="4" s="1"/>
  <c r="BC5" i="4" l="1"/>
  <c r="BF5" i="4"/>
  <c r="BN5" i="4" s="1"/>
  <c r="BR5" i="4" s="1"/>
  <c r="BT5" i="4" s="1"/>
  <c r="BV4" i="4"/>
  <c r="BW4" i="4" s="1"/>
  <c r="BX4" i="4" s="1"/>
  <c r="BZ4" i="4"/>
  <c r="CC4" i="4" s="1"/>
  <c r="BD11" i="4"/>
  <c r="BF11" i="4"/>
  <c r="BN11" i="4" s="1"/>
  <c r="BR11" i="4" s="1"/>
  <c r="BT11" i="4" s="1"/>
  <c r="BC8" i="4"/>
  <c r="BF8" i="4"/>
  <c r="BN8" i="4" s="1"/>
  <c r="BR8" i="4" s="1"/>
  <c r="BT8" i="4" s="1"/>
  <c r="BC21" i="4"/>
  <c r="BF21" i="4"/>
  <c r="BN21" i="4" s="1"/>
  <c r="BR21" i="4" s="1"/>
  <c r="BT21" i="4" s="1"/>
  <c r="BZ21" i="4" s="1"/>
  <c r="CA21" i="4" s="1"/>
  <c r="BC32" i="4"/>
  <c r="BF32" i="4"/>
  <c r="BN32" i="4" s="1"/>
  <c r="BR32" i="4" s="1"/>
  <c r="BT32" i="4" s="1"/>
  <c r="BZ32" i="4" s="1"/>
  <c r="CA32" i="4" s="1"/>
  <c r="BF18" i="4"/>
  <c r="BN18" i="4" s="1"/>
  <c r="BR18" i="4" s="1"/>
  <c r="BT18" i="4" s="1"/>
  <c r="BC31" i="4"/>
  <c r="BF31" i="4"/>
  <c r="BN31" i="4" s="1"/>
  <c r="BR31" i="4" s="1"/>
  <c r="BT31" i="4" s="1"/>
  <c r="BV31" i="4" s="1"/>
  <c r="BW31" i="4" s="1"/>
  <c r="BX31" i="4" s="1"/>
  <c r="BY31" i="4" s="1"/>
  <c r="BC13" i="4"/>
  <c r="BF13" i="4"/>
  <c r="BN13" i="4" s="1"/>
  <c r="BR13" i="4" s="1"/>
  <c r="BT13" i="4" s="1"/>
  <c r="BV13" i="4" s="1"/>
  <c r="BW13" i="4" s="1"/>
  <c r="BX13" i="4" s="1"/>
  <c r="BY13" i="4" s="1"/>
  <c r="BC33" i="4"/>
  <c r="BF33" i="4"/>
  <c r="BN33" i="4" s="1"/>
  <c r="BR33" i="4" s="1"/>
  <c r="BT33" i="4" s="1"/>
  <c r="BV33" i="4" s="1"/>
  <c r="BW33" i="4" s="1"/>
  <c r="BX33" i="4" s="1"/>
  <c r="BC34" i="4"/>
  <c r="BF34" i="4"/>
  <c r="BN34" i="4" s="1"/>
  <c r="BR34" i="4" s="1"/>
  <c r="BT34" i="4" s="1"/>
  <c r="BZ34" i="4" s="1"/>
  <c r="BF26" i="4"/>
  <c r="BN26" i="4" s="1"/>
  <c r="BR26" i="4" s="1"/>
  <c r="BT26" i="4" s="1"/>
  <c r="BF17" i="4"/>
  <c r="BN17" i="4" s="1"/>
  <c r="BR17" i="4" s="1"/>
  <c r="BT17" i="4" s="1"/>
  <c r="BD20" i="4"/>
  <c r="BF20" i="4"/>
  <c r="BN20" i="4" s="1"/>
  <c r="BR20" i="4" s="1"/>
  <c r="BT20" i="4" s="1"/>
  <c r="BZ20" i="4" s="1"/>
  <c r="CA20" i="4" s="1"/>
  <c r="BD6" i="4"/>
  <c r="BF6" i="4"/>
  <c r="BN6" i="4" s="1"/>
  <c r="BR6" i="4" s="1"/>
  <c r="BT6" i="4" s="1"/>
  <c r="BC22" i="4"/>
  <c r="BF22" i="4"/>
  <c r="BN22" i="4" s="1"/>
  <c r="BR22" i="4" s="1"/>
  <c r="BT22" i="4" s="1"/>
  <c r="BV22" i="4" s="1"/>
  <c r="BW22" i="4" s="1"/>
  <c r="BX22" i="4" s="1"/>
  <c r="BY22" i="4" s="1"/>
  <c r="BF28" i="4"/>
  <c r="BN28" i="4" s="1"/>
  <c r="BR28" i="4" s="1"/>
  <c r="BT28" i="4" s="1"/>
  <c r="BC12" i="4"/>
  <c r="BF12" i="4"/>
  <c r="BN12" i="4" s="1"/>
  <c r="BF27" i="4"/>
  <c r="BN27" i="4" s="1"/>
  <c r="BR27" i="4" s="1"/>
  <c r="BT27" i="4" s="1"/>
  <c r="BF24" i="4"/>
  <c r="BN24" i="4" s="1"/>
  <c r="BR24" i="4" s="1"/>
  <c r="BT24" i="4" s="1"/>
  <c r="BC15" i="4"/>
  <c r="BF15" i="4"/>
  <c r="BN15" i="4" s="1"/>
  <c r="BR15" i="4" s="1"/>
  <c r="BT15" i="4" s="1"/>
  <c r="BV15" i="4" s="1"/>
  <c r="BW15" i="4" s="1"/>
  <c r="BX15" i="4" s="1"/>
  <c r="BY15" i="4" s="1"/>
  <c r="BC7" i="4"/>
  <c r="BF7" i="4"/>
  <c r="BN7" i="4" s="1"/>
  <c r="BR7" i="4" s="1"/>
  <c r="BT7" i="4" s="1"/>
  <c r="BC10" i="4"/>
  <c r="BF10" i="4"/>
  <c r="BN10" i="4" s="1"/>
  <c r="BR10" i="4" s="1"/>
  <c r="BT10" i="4" s="1"/>
  <c r="BD14" i="4"/>
  <c r="BF14" i="4"/>
  <c r="BN14" i="4" s="1"/>
  <c r="BR14" i="4" s="1"/>
  <c r="BT14" i="4" s="1"/>
  <c r="BV14" i="4" s="1"/>
  <c r="BW14" i="4" s="1"/>
  <c r="BX14" i="4" s="1"/>
  <c r="BY14" i="4" s="1"/>
  <c r="BD9" i="4"/>
  <c r="BF9" i="4"/>
  <c r="BN9" i="4" s="1"/>
  <c r="BR9" i="4" s="1"/>
  <c r="BT9" i="4" s="1"/>
  <c r="BC19" i="4"/>
  <c r="BF19" i="4"/>
  <c r="BN19" i="4" s="1"/>
  <c r="BR19" i="4" s="1"/>
  <c r="BT19" i="4" s="1"/>
  <c r="BV19" i="4" s="1"/>
  <c r="BW19" i="4" s="1"/>
  <c r="BX19" i="4" s="1"/>
  <c r="BY19" i="4" s="1"/>
  <c r="BC29" i="4"/>
  <c r="BF29" i="4"/>
  <c r="BN29" i="4" s="1"/>
  <c r="BR29" i="4" s="1"/>
  <c r="BT29" i="4" s="1"/>
  <c r="BZ29" i="4" s="1"/>
  <c r="CA29" i="4" s="1"/>
  <c r="BF16" i="4"/>
  <c r="BN16" i="4" s="1"/>
  <c r="BR16" i="4" s="1"/>
  <c r="BT16" i="4" s="1"/>
  <c r="BD25" i="4"/>
  <c r="BF25" i="4"/>
  <c r="BN25" i="4" s="1"/>
  <c r="BR25" i="4" s="1"/>
  <c r="BT25" i="4" s="1"/>
  <c r="BV25" i="4" s="1"/>
  <c r="BW25" i="4" s="1"/>
  <c r="BX25" i="4" s="1"/>
  <c r="BY25" i="4" s="1"/>
  <c r="BC23" i="4"/>
  <c r="BF23" i="4"/>
  <c r="BN23" i="4" s="1"/>
  <c r="BR23" i="4" s="1"/>
  <c r="BT23" i="4" s="1"/>
  <c r="BV23" i="4" s="1"/>
  <c r="BW23" i="4" s="1"/>
  <c r="BX23" i="4" s="1"/>
  <c r="BY23" i="4" s="1"/>
  <c r="BF30" i="4"/>
  <c r="BN30" i="4" s="1"/>
  <c r="BR30" i="4" s="1"/>
  <c r="BT30" i="4" s="1"/>
  <c r="BD28" i="4"/>
  <c r="BC28" i="4"/>
  <c r="BD19" i="4"/>
  <c r="BD12" i="4"/>
  <c r="BD5" i="4"/>
  <c r="BD27" i="4"/>
  <c r="BD16" i="4"/>
  <c r="BC27" i="4"/>
  <c r="BD17" i="4"/>
  <c r="BD7" i="4"/>
  <c r="BD15" i="4"/>
  <c r="BC9" i="4"/>
  <c r="BC25" i="4"/>
  <c r="BC35" i="4"/>
  <c r="BC16" i="4"/>
  <c r="BD13" i="4"/>
  <c r="BC24" i="4"/>
  <c r="BC20" i="4"/>
  <c r="BC30" i="4"/>
  <c r="AZ36" i="4"/>
  <c r="AZ45" i="4" s="1"/>
  <c r="BC11" i="4"/>
  <c r="BD29" i="4"/>
  <c r="BC18" i="4"/>
  <c r="BD30" i="4"/>
  <c r="BC17" i="4"/>
  <c r="BD18" i="4"/>
  <c r="BD21" i="4"/>
  <c r="BC14" i="4"/>
  <c r="BC6" i="4"/>
  <c r="BD26" i="4"/>
  <c r="BC26" i="4"/>
  <c r="BV35" i="4"/>
  <c r="BW35" i="4" s="1"/>
  <c r="BX35" i="4" s="1"/>
  <c r="BY35" i="4" s="1"/>
  <c r="BZ35" i="4"/>
  <c r="CA35" i="4" s="1"/>
  <c r="BD10" i="4"/>
  <c r="BD8" i="4"/>
  <c r="BC4" i="4"/>
  <c r="BD4" i="4"/>
  <c r="BB36" i="4"/>
  <c r="BZ28" i="4" l="1"/>
  <c r="CA28" i="4" s="1"/>
  <c r="BV28" i="4"/>
  <c r="BW28" i="4" s="1"/>
  <c r="BX28" i="4" s="1"/>
  <c r="BY28" i="4" s="1"/>
  <c r="BZ18" i="4"/>
  <c r="CC18" i="4" s="1"/>
  <c r="BV18" i="4"/>
  <c r="BW18" i="4" s="1"/>
  <c r="BX18" i="4" s="1"/>
  <c r="BY18" i="4" s="1"/>
  <c r="BZ30" i="4"/>
  <c r="CC30" i="4" s="1"/>
  <c r="BV30" i="4"/>
  <c r="BW30" i="4" s="1"/>
  <c r="BX30" i="4" s="1"/>
  <c r="BY30" i="4" s="1"/>
  <c r="BV17" i="4"/>
  <c r="BW17" i="4" s="1"/>
  <c r="BX17" i="4" s="1"/>
  <c r="BY17" i="4" s="1"/>
  <c r="BZ17" i="4"/>
  <c r="CC17" i="4" s="1"/>
  <c r="BZ26" i="4"/>
  <c r="CA26" i="4" s="1"/>
  <c r="BV26" i="4"/>
  <c r="BW26" i="4" s="1"/>
  <c r="BX26" i="4" s="1"/>
  <c r="BY26" i="4" s="1"/>
  <c r="BV24" i="4"/>
  <c r="BW24" i="4" s="1"/>
  <c r="BX24" i="4" s="1"/>
  <c r="BY24" i="4" s="1"/>
  <c r="BZ24" i="4"/>
  <c r="CA24" i="4" s="1"/>
  <c r="BV16" i="4"/>
  <c r="BW16" i="4" s="1"/>
  <c r="BX16" i="4" s="1"/>
  <c r="BY16" i="4" s="1"/>
  <c r="BZ16" i="4"/>
  <c r="BV27" i="4"/>
  <c r="BW27" i="4" s="1"/>
  <c r="BX27" i="4" s="1"/>
  <c r="BY27" i="4" s="1"/>
  <c r="BZ27" i="4"/>
  <c r="CC27" i="4" s="1"/>
  <c r="BV11" i="4"/>
  <c r="BW11" i="4" s="1"/>
  <c r="BX11" i="4" s="1"/>
  <c r="BY11" i="4" s="1"/>
  <c r="BZ11" i="4"/>
  <c r="BZ7" i="4"/>
  <c r="CC7" i="4" s="1"/>
  <c r="BV7" i="4"/>
  <c r="BW7" i="4" s="1"/>
  <c r="BX7" i="4" s="1"/>
  <c r="BY7" i="4" s="1"/>
  <c r="BY4" i="4"/>
  <c r="CA4" i="4" s="1"/>
  <c r="CB4" i="4" s="1"/>
  <c r="BV6" i="4"/>
  <c r="BW6" i="4" s="1"/>
  <c r="BX6" i="4" s="1"/>
  <c r="BY6" i="4" s="1"/>
  <c r="BZ6" i="4"/>
  <c r="BZ9" i="4"/>
  <c r="CA9" i="4" s="1"/>
  <c r="BV9" i="4"/>
  <c r="BW9" i="4" s="1"/>
  <c r="BX9" i="4" s="1"/>
  <c r="BV5" i="4"/>
  <c r="BW5" i="4" s="1"/>
  <c r="BX5" i="4" s="1"/>
  <c r="BY5" i="4" s="1"/>
  <c r="BZ5" i="4"/>
  <c r="BV10" i="4"/>
  <c r="BW10" i="4" s="1"/>
  <c r="BX10" i="4" s="1"/>
  <c r="BY10" i="4" s="1"/>
  <c r="BZ10" i="4"/>
  <c r="BZ8" i="4"/>
  <c r="CC8" i="4" s="1"/>
  <c r="BV8" i="4"/>
  <c r="BW8" i="4" s="1"/>
  <c r="BX8" i="4" s="1"/>
  <c r="BY8" i="4" s="1"/>
  <c r="BC36" i="4"/>
  <c r="BF36" i="4"/>
  <c r="BR12" i="4"/>
  <c r="BN36" i="4"/>
  <c r="BZ19" i="4"/>
  <c r="CA19" i="4" s="1"/>
  <c r="CB19" i="4" s="1"/>
  <c r="BZ25" i="4"/>
  <c r="CA25" i="4" s="1"/>
  <c r="CB25" i="4" s="1"/>
  <c r="BZ23" i="4"/>
  <c r="CA23" i="4" s="1"/>
  <c r="CB23" i="4" s="1"/>
  <c r="BZ14" i="4"/>
  <c r="CA14" i="4" s="1"/>
  <c r="CB14" i="4" s="1"/>
  <c r="BV34" i="4"/>
  <c r="BW34" i="4" s="1"/>
  <c r="BX34" i="4" s="1"/>
  <c r="BY34" i="4" s="1"/>
  <c r="CC34" i="4" s="1"/>
  <c r="BZ13" i="4"/>
  <c r="CA13" i="4" s="1"/>
  <c r="CB13" i="4" s="1"/>
  <c r="BV32" i="4"/>
  <c r="BW32" i="4" s="1"/>
  <c r="BX32" i="4" s="1"/>
  <c r="BY32" i="4" s="1"/>
  <c r="CC32" i="4" s="1"/>
  <c r="BV29" i="4"/>
  <c r="BW29" i="4" s="1"/>
  <c r="BX29" i="4" s="1"/>
  <c r="CB29" i="4" s="1"/>
  <c r="BZ15" i="4"/>
  <c r="CA15" i="4" s="1"/>
  <c r="CB15" i="4" s="1"/>
  <c r="BZ33" i="4"/>
  <c r="CA33" i="4" s="1"/>
  <c r="CB33" i="4" s="1"/>
  <c r="BV21" i="4"/>
  <c r="BW21" i="4" s="1"/>
  <c r="BX21" i="4" s="1"/>
  <c r="BY21" i="4" s="1"/>
  <c r="CC21" i="4" s="1"/>
  <c r="BV20" i="4"/>
  <c r="BW20" i="4" s="1"/>
  <c r="BX20" i="4" s="1"/>
  <c r="BY20" i="4" s="1"/>
  <c r="CC20" i="4" s="1"/>
  <c r="BZ31" i="4"/>
  <c r="CC31" i="4" s="1"/>
  <c r="BZ22" i="4"/>
  <c r="CC22" i="4" s="1"/>
  <c r="CC35" i="4"/>
  <c r="BY33" i="4"/>
  <c r="CA34" i="4"/>
  <c r="CB35" i="4"/>
  <c r="CA16" i="4"/>
  <c r="BD36" i="4"/>
  <c r="BB45" i="4"/>
  <c r="CC26" i="4" l="1"/>
  <c r="CB28" i="4"/>
  <c r="CC28" i="4"/>
  <c r="CB16" i="4"/>
  <c r="CA27" i="4"/>
  <c r="CB27" i="4" s="1"/>
  <c r="CA7" i="4"/>
  <c r="CB7" i="4" s="1"/>
  <c r="CA18" i="4"/>
  <c r="CB18" i="4" s="1"/>
  <c r="CC16" i="4"/>
  <c r="CA30" i="4"/>
  <c r="CB30" i="4" s="1"/>
  <c r="CC24" i="4"/>
  <c r="CA8" i="4"/>
  <c r="CB8" i="4" s="1"/>
  <c r="CA17" i="4"/>
  <c r="CB17" i="4" s="1"/>
  <c r="CB26" i="4"/>
  <c r="CB24" i="4"/>
  <c r="BY9" i="4"/>
  <c r="CC9" i="4" s="1"/>
  <c r="CB9" i="4"/>
  <c r="CC11" i="4"/>
  <c r="CA11" i="4"/>
  <c r="CB11" i="4" s="1"/>
  <c r="CC6" i="4"/>
  <c r="CA6" i="4"/>
  <c r="CB6" i="4" s="1"/>
  <c r="CA10" i="4"/>
  <c r="CB10" i="4" s="1"/>
  <c r="CC10" i="4"/>
  <c r="CC5" i="4"/>
  <c r="CA5" i="4"/>
  <c r="CB5" i="4" s="1"/>
  <c r="BN45" i="4"/>
  <c r="BT12" i="4"/>
  <c r="BR36" i="4"/>
  <c r="BR45" i="4" s="1"/>
  <c r="CC25" i="4"/>
  <c r="CC14" i="4"/>
  <c r="CC19" i="4"/>
  <c r="CC23" i="4"/>
  <c r="CB34" i="4"/>
  <c r="CC15" i="4"/>
  <c r="CC13" i="4"/>
  <c r="CB32" i="4"/>
  <c r="BY29" i="4"/>
  <c r="CC29" i="4" s="1"/>
  <c r="CC33" i="4"/>
  <c r="CA31" i="4"/>
  <c r="CB31" i="4" s="1"/>
  <c r="CB20" i="4"/>
  <c r="CB21" i="4"/>
  <c r="CA22" i="4"/>
  <c r="CB22" i="4" s="1"/>
  <c r="BT36" i="4" l="1"/>
  <c r="BZ12" i="4"/>
  <c r="CA12" i="4" s="1"/>
  <c r="CA36" i="4" s="1"/>
  <c r="BV12" i="4"/>
  <c r="BW12" i="4" l="1"/>
  <c r="BV36" i="4"/>
  <c r="BX12" i="4" l="1"/>
  <c r="BW36" i="4"/>
  <c r="BW45" i="4" l="1"/>
  <c r="CB41" i="4"/>
  <c r="CA45" i="4"/>
  <c r="BY12" i="4"/>
  <c r="CC12" i="4" s="1"/>
  <c r="CB12" i="4"/>
  <c r="CC36" i="4" l="1"/>
  <c r="CC45" i="4" s="1"/>
  <c r="CB45" i="4"/>
  <c r="CD20" i="4" l="1"/>
  <c r="CE20" i="4" s="1"/>
  <c r="CF20" i="4" s="1"/>
  <c r="CD33" i="4"/>
  <c r="CE33" i="4" s="1"/>
  <c r="CF33" i="4" s="1"/>
  <c r="CD25" i="4"/>
  <c r="CE25" i="4" s="1"/>
  <c r="CF25" i="4" s="1"/>
  <c r="CD35" i="4"/>
  <c r="CE35" i="4" s="1"/>
  <c r="CF35" i="4" s="1"/>
  <c r="CD17" i="4"/>
  <c r="CE17" i="4" s="1"/>
  <c r="CF17" i="4" s="1"/>
  <c r="CD27" i="4"/>
  <c r="CE27" i="4" s="1"/>
  <c r="CF27" i="4" s="1"/>
  <c r="CD4" i="4"/>
  <c r="CE4" i="4" s="1"/>
  <c r="CF4" i="4" s="1"/>
  <c r="CJ4" i="4" s="1"/>
  <c r="CR4" i="4" s="1"/>
  <c r="CV4" i="4" s="1"/>
  <c r="CX4" i="4" s="1"/>
  <c r="CD13" i="4"/>
  <c r="CE13" i="4" s="1"/>
  <c r="CF13" i="4" s="1"/>
  <c r="CD22" i="4"/>
  <c r="CE22" i="4" s="1"/>
  <c r="CF22" i="4" s="1"/>
  <c r="CD8" i="4"/>
  <c r="CE8" i="4" s="1"/>
  <c r="CF8" i="4" s="1"/>
  <c r="CD15" i="4"/>
  <c r="CE15" i="4" s="1"/>
  <c r="CF15" i="4" s="1"/>
  <c r="CD30" i="4"/>
  <c r="CE30" i="4" s="1"/>
  <c r="CF30" i="4" s="1"/>
  <c r="CD7" i="4"/>
  <c r="CE7" i="4" s="1"/>
  <c r="CF7" i="4" s="1"/>
  <c r="CD21" i="4"/>
  <c r="CE21" i="4" s="1"/>
  <c r="CF21" i="4" s="1"/>
  <c r="CD34" i="4"/>
  <c r="CE34" i="4" s="1"/>
  <c r="CF34" i="4" s="1"/>
  <c r="CD5" i="4"/>
  <c r="CE5" i="4" s="1"/>
  <c r="CF5" i="4" s="1"/>
  <c r="CD23" i="4"/>
  <c r="CE23" i="4" s="1"/>
  <c r="CF23" i="4" s="1"/>
  <c r="CD19" i="4"/>
  <c r="CE19" i="4" s="1"/>
  <c r="CF19" i="4" s="1"/>
  <c r="CD18" i="4"/>
  <c r="CE18" i="4" s="1"/>
  <c r="CF18" i="4" s="1"/>
  <c r="CD16" i="4"/>
  <c r="CE16" i="4" s="1"/>
  <c r="CF16" i="4" s="1"/>
  <c r="CD14" i="4"/>
  <c r="CE14" i="4" s="1"/>
  <c r="CF14" i="4" s="1"/>
  <c r="CD26" i="4"/>
  <c r="CE26" i="4" s="1"/>
  <c r="CF26" i="4" s="1"/>
  <c r="CD31" i="4"/>
  <c r="CE31" i="4" s="1"/>
  <c r="CF31" i="4" s="1"/>
  <c r="CD11" i="4"/>
  <c r="CE11" i="4" s="1"/>
  <c r="CF11" i="4" s="1"/>
  <c r="CD32" i="4"/>
  <c r="CE32" i="4" s="1"/>
  <c r="CF32" i="4" s="1"/>
  <c r="CD6" i="4"/>
  <c r="CE6" i="4" s="1"/>
  <c r="CF6" i="4" s="1"/>
  <c r="CD9" i="4"/>
  <c r="CE9" i="4" s="1"/>
  <c r="CF9" i="4" s="1"/>
  <c r="CJ9" i="4" s="1"/>
  <c r="CR9" i="4" s="1"/>
  <c r="CV9" i="4" s="1"/>
  <c r="CX9" i="4" s="1"/>
  <c r="CD29" i="4"/>
  <c r="CE29" i="4" s="1"/>
  <c r="CF29" i="4" s="1"/>
  <c r="CJ29" i="4" s="1"/>
  <c r="CD24" i="4"/>
  <c r="CE24" i="4" s="1"/>
  <c r="CF24" i="4" s="1"/>
  <c r="CJ24" i="4" s="1"/>
  <c r="CD28" i="4"/>
  <c r="CE28" i="4" s="1"/>
  <c r="CF28" i="4" s="1"/>
  <c r="CJ28" i="4" s="1"/>
  <c r="CD10" i="4"/>
  <c r="CE10" i="4" s="1"/>
  <c r="CF10" i="4" s="1"/>
  <c r="CJ10" i="4" s="1"/>
  <c r="CR10" i="4" s="1"/>
  <c r="CV10" i="4" s="1"/>
  <c r="CX10" i="4" s="1"/>
  <c r="CD12" i="4"/>
  <c r="CE12" i="4" s="1"/>
  <c r="CF12" i="4" s="1"/>
  <c r="CJ12" i="4" s="1"/>
  <c r="CJ13" i="4" l="1"/>
  <c r="DD10" i="4"/>
  <c r="CZ10" i="4"/>
  <c r="DA10" i="4" s="1"/>
  <c r="DB10" i="4" s="1"/>
  <c r="DC10" i="4" s="1"/>
  <c r="CJ31" i="4"/>
  <c r="DD4" i="4"/>
  <c r="DG4" i="4" s="1"/>
  <c r="CZ4" i="4"/>
  <c r="DA4" i="4" s="1"/>
  <c r="DB4" i="4" s="1"/>
  <c r="DC4" i="4" s="1"/>
  <c r="CG11" i="4"/>
  <c r="CJ11" i="4"/>
  <c r="CR11" i="4" s="1"/>
  <c r="CV11" i="4" s="1"/>
  <c r="CX11" i="4" s="1"/>
  <c r="CJ26" i="4"/>
  <c r="CR26" i="4" s="1"/>
  <c r="CJ21" i="4"/>
  <c r="CJ27" i="4"/>
  <c r="CH6" i="4"/>
  <c r="CJ6" i="4"/>
  <c r="CR6" i="4" s="1"/>
  <c r="CV6" i="4" s="1"/>
  <c r="CX6" i="4" s="1"/>
  <c r="CJ14" i="4"/>
  <c r="CR14" i="4" s="1"/>
  <c r="CG7" i="4"/>
  <c r="CJ7" i="4"/>
  <c r="CR7" i="4" s="1"/>
  <c r="CV7" i="4" s="1"/>
  <c r="CX7" i="4" s="1"/>
  <c r="CJ17" i="4"/>
  <c r="CR17" i="4" s="1"/>
  <c r="CJ30" i="4"/>
  <c r="CG5" i="4"/>
  <c r="CJ5" i="4"/>
  <c r="CR5" i="4" s="1"/>
  <c r="CV5" i="4" s="1"/>
  <c r="CX5" i="4" s="1"/>
  <c r="CJ16" i="4"/>
  <c r="CZ9" i="4"/>
  <c r="DA9" i="4" s="1"/>
  <c r="DB9" i="4" s="1"/>
  <c r="DD9" i="4"/>
  <c r="CJ18" i="4"/>
  <c r="CJ15" i="4"/>
  <c r="CJ25" i="4"/>
  <c r="CJ19" i="4"/>
  <c r="CH8" i="4"/>
  <c r="CJ8" i="4"/>
  <c r="CR8" i="4" s="1"/>
  <c r="CV8" i="4" s="1"/>
  <c r="CX8" i="4" s="1"/>
  <c r="CJ23" i="4"/>
  <c r="CJ22" i="4"/>
  <c r="CJ20" i="4"/>
  <c r="CH26" i="4"/>
  <c r="CH25" i="4"/>
  <c r="CG13" i="4"/>
  <c r="CG31" i="4"/>
  <c r="CH14" i="4"/>
  <c r="CH17" i="4"/>
  <c r="CG30" i="4"/>
  <c r="CJ35" i="4"/>
  <c r="CG34" i="4"/>
  <c r="CG15" i="4"/>
  <c r="CH19" i="4"/>
  <c r="CJ33" i="4"/>
  <c r="CJ32" i="4"/>
  <c r="CG20" i="4"/>
  <c r="CG22" i="4"/>
  <c r="CH7" i="4"/>
  <c r="CG32" i="4"/>
  <c r="CG23" i="4"/>
  <c r="CH20" i="4"/>
  <c r="CG21" i="4"/>
  <c r="CG26" i="4"/>
  <c r="CH21" i="4"/>
  <c r="CH27" i="4"/>
  <c r="CG17" i="4"/>
  <c r="CG18" i="4"/>
  <c r="CG14" i="4"/>
  <c r="CH15" i="4"/>
  <c r="CG16" i="4"/>
  <c r="CH13" i="4"/>
  <c r="CG25" i="4"/>
  <c r="CG8" i="4"/>
  <c r="CG33" i="4"/>
  <c r="CG6" i="4"/>
  <c r="CH18" i="4"/>
  <c r="CG27" i="4"/>
  <c r="CH5" i="4"/>
  <c r="CH16" i="4"/>
  <c r="CJ34" i="4"/>
  <c r="CG35" i="4"/>
  <c r="CH11" i="4"/>
  <c r="CG19" i="4"/>
  <c r="CH30" i="4"/>
  <c r="CR28" i="4"/>
  <c r="CH28" i="4"/>
  <c r="CG28" i="4"/>
  <c r="CF36" i="4"/>
  <c r="CG4" i="4"/>
  <c r="CH4" i="4"/>
  <c r="CD36" i="4"/>
  <c r="CD45" i="4" s="1"/>
  <c r="CH10" i="4"/>
  <c r="CG10" i="4"/>
  <c r="CH9" i="4"/>
  <c r="CG9" i="4"/>
  <c r="CG24" i="4"/>
  <c r="CG12" i="4"/>
  <c r="CH12" i="4"/>
  <c r="CR12" i="4"/>
  <c r="CR29" i="4"/>
  <c r="CG29" i="4"/>
  <c r="CH29" i="4"/>
  <c r="DE9" i="4" l="1"/>
  <c r="DF9" i="4" s="1"/>
  <c r="DC9" i="4"/>
  <c r="DG9" i="4" s="1"/>
  <c r="CZ8" i="4"/>
  <c r="DA8" i="4" s="1"/>
  <c r="DB8" i="4" s="1"/>
  <c r="DC8" i="4" s="1"/>
  <c r="DD8" i="4"/>
  <c r="DD7" i="4"/>
  <c r="CZ7" i="4"/>
  <c r="DA7" i="4" s="1"/>
  <c r="DB7" i="4" s="1"/>
  <c r="DC7" i="4" s="1"/>
  <c r="CZ6" i="4"/>
  <c r="DA6" i="4" s="1"/>
  <c r="DB6" i="4" s="1"/>
  <c r="DC6" i="4" s="1"/>
  <c r="DD6" i="4"/>
  <c r="DD5" i="4"/>
  <c r="DG5" i="4" s="1"/>
  <c r="CZ5" i="4"/>
  <c r="DA5" i="4" s="1"/>
  <c r="DB5" i="4" s="1"/>
  <c r="DC5" i="4" s="1"/>
  <c r="CZ11" i="4"/>
  <c r="DA11" i="4" s="1"/>
  <c r="DB11" i="4" s="1"/>
  <c r="DD11" i="4"/>
  <c r="DE10" i="4"/>
  <c r="DF10" i="4" s="1"/>
  <c r="DG10" i="4"/>
  <c r="DE4" i="4"/>
  <c r="DF4" i="4" s="1"/>
  <c r="CR25" i="4"/>
  <c r="CV25" i="4" s="1"/>
  <c r="CX25" i="4" s="1"/>
  <c r="CR19" i="4"/>
  <c r="CV19" i="4" s="1"/>
  <c r="CX19" i="4" s="1"/>
  <c r="CR22" i="4"/>
  <c r="CV22" i="4" s="1"/>
  <c r="CX22" i="4" s="1"/>
  <c r="CR35" i="4"/>
  <c r="CV35" i="4" s="1"/>
  <c r="CX35" i="4" s="1"/>
  <c r="CR24" i="4"/>
  <c r="CV24" i="4" s="1"/>
  <c r="CX24" i="4" s="1"/>
  <c r="CR15" i="4"/>
  <c r="CV15" i="4" s="1"/>
  <c r="CX15" i="4" s="1"/>
  <c r="CR23" i="4"/>
  <c r="CV23" i="4" s="1"/>
  <c r="CX23" i="4" s="1"/>
  <c r="CR27" i="4"/>
  <c r="CV27" i="4" s="1"/>
  <c r="CX27" i="4" s="1"/>
  <c r="CR13" i="4"/>
  <c r="CV13" i="4" s="1"/>
  <c r="CX13" i="4" s="1"/>
  <c r="CR20" i="4"/>
  <c r="CV20" i="4" s="1"/>
  <c r="CX20" i="4" s="1"/>
  <c r="CR34" i="4"/>
  <c r="CV34" i="4" s="1"/>
  <c r="CX34" i="4" s="1"/>
  <c r="CR32" i="4"/>
  <c r="CV32" i="4" s="1"/>
  <c r="CX32" i="4" s="1"/>
  <c r="CR16" i="4"/>
  <c r="CV16" i="4" s="1"/>
  <c r="CX16" i="4" s="1"/>
  <c r="CR18" i="4"/>
  <c r="CV18" i="4" s="1"/>
  <c r="CX18" i="4" s="1"/>
  <c r="CR31" i="4"/>
  <c r="CV31" i="4" s="1"/>
  <c r="CX31" i="4" s="1"/>
  <c r="CR30" i="4"/>
  <c r="CV30" i="4" s="1"/>
  <c r="CX30" i="4" s="1"/>
  <c r="CR33" i="4"/>
  <c r="CV33" i="4" s="1"/>
  <c r="CX33" i="4" s="1"/>
  <c r="CR21" i="4"/>
  <c r="CV21" i="4" s="1"/>
  <c r="CX21" i="4" s="1"/>
  <c r="CV14" i="4"/>
  <c r="CX14" i="4" s="1"/>
  <c r="CV29" i="4"/>
  <c r="CX29" i="4" s="1"/>
  <c r="CZ29" i="4" s="1"/>
  <c r="DA29" i="4" s="1"/>
  <c r="DB29" i="4" s="1"/>
  <c r="DC29" i="4" s="1"/>
  <c r="CV28" i="4"/>
  <c r="CX28" i="4" s="1"/>
  <c r="CV26" i="4"/>
  <c r="CX26" i="4" s="1"/>
  <c r="CV17" i="4"/>
  <c r="CX17" i="4" s="1"/>
  <c r="CJ36" i="4"/>
  <c r="CG36" i="4"/>
  <c r="CF45" i="4"/>
  <c r="CH36" i="4"/>
  <c r="DE5" i="4" l="1"/>
  <c r="DF5" i="4" s="1"/>
  <c r="DG7" i="4"/>
  <c r="DE7" i="4"/>
  <c r="DF7" i="4" s="1"/>
  <c r="DE11" i="4"/>
  <c r="DF11" i="4" s="1"/>
  <c r="DG8" i="4"/>
  <c r="DE8" i="4"/>
  <c r="DF8" i="4" s="1"/>
  <c r="DC11" i="4"/>
  <c r="DG11" i="4" s="1"/>
  <c r="DE6" i="4"/>
  <c r="DF6" i="4" s="1"/>
  <c r="DG6" i="4"/>
  <c r="DD34" i="4"/>
  <c r="DE34" i="4" s="1"/>
  <c r="CZ34" i="4"/>
  <c r="DA34" i="4" s="1"/>
  <c r="DB34" i="4" s="1"/>
  <c r="DC34" i="4" s="1"/>
  <c r="CZ31" i="4"/>
  <c r="DA31" i="4" s="1"/>
  <c r="DB31" i="4" s="1"/>
  <c r="DC31" i="4" s="1"/>
  <c r="DD31" i="4"/>
  <c r="CZ20" i="4"/>
  <c r="DA20" i="4" s="1"/>
  <c r="DB20" i="4" s="1"/>
  <c r="DC20" i="4" s="1"/>
  <c r="DD20" i="4"/>
  <c r="DE20" i="4" s="1"/>
  <c r="CZ27" i="4"/>
  <c r="DA27" i="4" s="1"/>
  <c r="DB27" i="4" s="1"/>
  <c r="DC27" i="4" s="1"/>
  <c r="DD27" i="4"/>
  <c r="CZ22" i="4"/>
  <c r="DA22" i="4" s="1"/>
  <c r="DB22" i="4" s="1"/>
  <c r="DD22" i="4"/>
  <c r="CZ18" i="4"/>
  <c r="DA18" i="4" s="1"/>
  <c r="DB18" i="4" s="1"/>
  <c r="DC18" i="4" s="1"/>
  <c r="DD18" i="4"/>
  <c r="DD21" i="4"/>
  <c r="CZ21" i="4"/>
  <c r="DA21" i="4" s="1"/>
  <c r="DB21" i="4" s="1"/>
  <c r="CZ24" i="4"/>
  <c r="DA24" i="4" s="1"/>
  <c r="DB24" i="4" s="1"/>
  <c r="DC24" i="4" s="1"/>
  <c r="DD24" i="4"/>
  <c r="DE24" i="4" s="1"/>
  <c r="DD30" i="4"/>
  <c r="DE30" i="4" s="1"/>
  <c r="CZ30" i="4"/>
  <c r="DA30" i="4" s="1"/>
  <c r="DB30" i="4" s="1"/>
  <c r="DC30" i="4" s="1"/>
  <c r="CZ33" i="4"/>
  <c r="DA33" i="4" s="1"/>
  <c r="DB33" i="4" s="1"/>
  <c r="DD33" i="4"/>
  <c r="CZ13" i="4"/>
  <c r="DA13" i="4" s="1"/>
  <c r="DB13" i="4" s="1"/>
  <c r="DC13" i="4" s="1"/>
  <c r="DD13" i="4"/>
  <c r="DE13" i="4" s="1"/>
  <c r="CZ19" i="4"/>
  <c r="DA19" i="4" s="1"/>
  <c r="DB19" i="4" s="1"/>
  <c r="DC19" i="4" s="1"/>
  <c r="DD19" i="4"/>
  <c r="DG19" i="4" s="1"/>
  <c r="CZ16" i="4"/>
  <c r="DA16" i="4" s="1"/>
  <c r="DB16" i="4" s="1"/>
  <c r="DD16" i="4"/>
  <c r="CZ32" i="4"/>
  <c r="DA32" i="4" s="1"/>
  <c r="DB32" i="4" s="1"/>
  <c r="DD32" i="4"/>
  <c r="CZ15" i="4"/>
  <c r="DA15" i="4" s="1"/>
  <c r="DB15" i="4" s="1"/>
  <c r="DC15" i="4" s="1"/>
  <c r="DD15" i="4"/>
  <c r="DG15" i="4" s="1"/>
  <c r="DD25" i="4"/>
  <c r="DE25" i="4" s="1"/>
  <c r="CZ25" i="4"/>
  <c r="DA25" i="4" s="1"/>
  <c r="DB25" i="4" s="1"/>
  <c r="DC25" i="4" s="1"/>
  <c r="DD29" i="4"/>
  <c r="DG29" i="4" s="1"/>
  <c r="CZ35" i="4"/>
  <c r="DA35" i="4" s="1"/>
  <c r="DB35" i="4" s="1"/>
  <c r="DD35" i="4"/>
  <c r="CZ23" i="4"/>
  <c r="DA23" i="4" s="1"/>
  <c r="DB23" i="4" s="1"/>
  <c r="DD23" i="4"/>
  <c r="DE23" i="4" s="1"/>
  <c r="CZ14" i="4"/>
  <c r="DA14" i="4" s="1"/>
  <c r="DB14" i="4" s="1"/>
  <c r="DC14" i="4" s="1"/>
  <c r="DD14" i="4"/>
  <c r="DE14" i="4" s="1"/>
  <c r="DD17" i="4"/>
  <c r="DG17" i="4" s="1"/>
  <c r="CZ17" i="4"/>
  <c r="DA17" i="4" s="1"/>
  <c r="DB17" i="4" s="1"/>
  <c r="DC17" i="4" s="1"/>
  <c r="DD26" i="4"/>
  <c r="DE26" i="4" s="1"/>
  <c r="CZ26" i="4"/>
  <c r="DA26" i="4" s="1"/>
  <c r="DB26" i="4" s="1"/>
  <c r="DC26" i="4" s="1"/>
  <c r="CZ28" i="4"/>
  <c r="DA28" i="4" s="1"/>
  <c r="DB28" i="4" s="1"/>
  <c r="DC28" i="4" s="1"/>
  <c r="DD28" i="4"/>
  <c r="DE28" i="4" s="1"/>
  <c r="CR36" i="4"/>
  <c r="CR45" i="4" s="1"/>
  <c r="CV12" i="4"/>
  <c r="DE31" i="4" l="1"/>
  <c r="DF31" i="4" s="1"/>
  <c r="DE29" i="4"/>
  <c r="DF29" i="4" s="1"/>
  <c r="DG31" i="4"/>
  <c r="DE15" i="4"/>
  <c r="DF15" i="4" s="1"/>
  <c r="DG20" i="4"/>
  <c r="DF34" i="4"/>
  <c r="DE19" i="4"/>
  <c r="DF19" i="4" s="1"/>
  <c r="DG24" i="4"/>
  <c r="DF13" i="4"/>
  <c r="DG34" i="4"/>
  <c r="DF25" i="4"/>
  <c r="DG30" i="4"/>
  <c r="DE17" i="4"/>
  <c r="DF17" i="4" s="1"/>
  <c r="DF24" i="4"/>
  <c r="DF20" i="4"/>
  <c r="DC32" i="4"/>
  <c r="DG32" i="4" s="1"/>
  <c r="DC21" i="4"/>
  <c r="DG21" i="4" s="1"/>
  <c r="DG13" i="4"/>
  <c r="DG26" i="4"/>
  <c r="DC23" i="4"/>
  <c r="DG23" i="4" s="1"/>
  <c r="DF23" i="4"/>
  <c r="DE32" i="4"/>
  <c r="DF32" i="4" s="1"/>
  <c r="DE33" i="4"/>
  <c r="DF33" i="4" s="1"/>
  <c r="DG18" i="4"/>
  <c r="DE18" i="4"/>
  <c r="DF18" i="4" s="1"/>
  <c r="DE35" i="4"/>
  <c r="DF35" i="4" s="1"/>
  <c r="DE22" i="4"/>
  <c r="DF22" i="4" s="1"/>
  <c r="DC16" i="4"/>
  <c r="DG16" i="4" s="1"/>
  <c r="DC22" i="4"/>
  <c r="DG22" i="4" s="1"/>
  <c r="DC35" i="4"/>
  <c r="DG35" i="4" s="1"/>
  <c r="DE16" i="4"/>
  <c r="DF16" i="4" s="1"/>
  <c r="DG25" i="4"/>
  <c r="DG27" i="4"/>
  <c r="DE27" i="4"/>
  <c r="DF27" i="4" s="1"/>
  <c r="DC33" i="4"/>
  <c r="DG33" i="4" s="1"/>
  <c r="DF30" i="4"/>
  <c r="DG28" i="4"/>
  <c r="DE21" i="4"/>
  <c r="DF21" i="4" s="1"/>
  <c r="DF14" i="4"/>
  <c r="DF28" i="4"/>
  <c r="DF26" i="4"/>
  <c r="DG14" i="4"/>
  <c r="CX12" i="4"/>
  <c r="CV36" i="4"/>
  <c r="CV45" i="4" s="1"/>
  <c r="CZ12" i="4" l="1"/>
  <c r="DD12" i="4"/>
  <c r="DE12" i="4" s="1"/>
  <c r="CX36" i="4"/>
  <c r="DA12" i="4" l="1"/>
  <c r="CZ36" i="4"/>
  <c r="DE36" i="4"/>
  <c r="DA36" i="4" l="1"/>
  <c r="DB12" i="4"/>
  <c r="DC12" i="4" l="1"/>
  <c r="DG12" i="4" s="1"/>
  <c r="DG36" i="4" s="1"/>
  <c r="DF12" i="4"/>
  <c r="DA45" i="4"/>
  <c r="DF41" i="4"/>
  <c r="DE45" i="4"/>
  <c r="DG45" i="4" l="1"/>
  <c r="DH34" i="4"/>
  <c r="DI34" i="4" s="1"/>
  <c r="DJ34" i="4" s="1"/>
  <c r="DN34" i="4" s="1"/>
  <c r="DV34" i="4" s="1"/>
  <c r="DZ34" i="4" s="1"/>
  <c r="EB34" i="4" s="1"/>
  <c r="DH10" i="4"/>
  <c r="DI10" i="4" s="1"/>
  <c r="DJ10" i="4" s="1"/>
  <c r="DN10" i="4" s="1"/>
  <c r="DV10" i="4" s="1"/>
  <c r="DZ10" i="4" s="1"/>
  <c r="EB10" i="4" s="1"/>
  <c r="DH12" i="4"/>
  <c r="DI12" i="4" s="1"/>
  <c r="DJ12" i="4" s="1"/>
  <c r="DN12" i="4" s="1"/>
  <c r="DV12" i="4" s="1"/>
  <c r="DZ12" i="4" s="1"/>
  <c r="EB12" i="4" s="1"/>
  <c r="DH22" i="4"/>
  <c r="DI22" i="4" s="1"/>
  <c r="DJ22" i="4" s="1"/>
  <c r="DN22" i="4" s="1"/>
  <c r="DV22" i="4" s="1"/>
  <c r="DZ22" i="4" s="1"/>
  <c r="EB22" i="4" s="1"/>
  <c r="DH8" i="4"/>
  <c r="DI8" i="4" s="1"/>
  <c r="DJ8" i="4" s="1"/>
  <c r="DN8" i="4" s="1"/>
  <c r="DV8" i="4" s="1"/>
  <c r="DZ8" i="4" s="1"/>
  <c r="EB8" i="4" s="1"/>
  <c r="DH26" i="4"/>
  <c r="DI26" i="4" s="1"/>
  <c r="DJ26" i="4" s="1"/>
  <c r="DN26" i="4" s="1"/>
  <c r="DV26" i="4" s="1"/>
  <c r="DZ26" i="4" s="1"/>
  <c r="EB26" i="4" s="1"/>
  <c r="DH24" i="4"/>
  <c r="DI24" i="4" s="1"/>
  <c r="DJ24" i="4" s="1"/>
  <c r="DN24" i="4" s="1"/>
  <c r="DV24" i="4" s="1"/>
  <c r="DZ24" i="4" s="1"/>
  <c r="EB24" i="4" s="1"/>
  <c r="DH4" i="4"/>
  <c r="DH14" i="4"/>
  <c r="DI14" i="4" s="1"/>
  <c r="DJ14" i="4" s="1"/>
  <c r="DN14" i="4" s="1"/>
  <c r="DV14" i="4" s="1"/>
  <c r="DZ14" i="4" s="1"/>
  <c r="EB14" i="4" s="1"/>
  <c r="DH16" i="4"/>
  <c r="DI16" i="4" s="1"/>
  <c r="DJ16" i="4" s="1"/>
  <c r="DN16" i="4" s="1"/>
  <c r="DV16" i="4" s="1"/>
  <c r="DZ16" i="4" s="1"/>
  <c r="EB16" i="4" s="1"/>
  <c r="DH25" i="4"/>
  <c r="DI25" i="4" s="1"/>
  <c r="DJ25" i="4" s="1"/>
  <c r="DN25" i="4" s="1"/>
  <c r="DV25" i="4" s="1"/>
  <c r="DZ25" i="4" s="1"/>
  <c r="EB25" i="4" s="1"/>
  <c r="DH28" i="4"/>
  <c r="DI28" i="4" s="1"/>
  <c r="DJ28" i="4" s="1"/>
  <c r="DN28" i="4" s="1"/>
  <c r="DV28" i="4" s="1"/>
  <c r="DZ28" i="4" s="1"/>
  <c r="EB28" i="4" s="1"/>
  <c r="DF45" i="4"/>
  <c r="DH6" i="4"/>
  <c r="DI6" i="4" s="1"/>
  <c r="DJ6" i="4" s="1"/>
  <c r="DN6" i="4" s="1"/>
  <c r="DV6" i="4" s="1"/>
  <c r="DZ6" i="4" s="1"/>
  <c r="EB6" i="4" s="1"/>
  <c r="DH9" i="4"/>
  <c r="DI9" i="4" s="1"/>
  <c r="DJ9" i="4" s="1"/>
  <c r="DN9" i="4" s="1"/>
  <c r="DV9" i="4" s="1"/>
  <c r="DZ9" i="4" s="1"/>
  <c r="EB9" i="4" s="1"/>
  <c r="DH11" i="4"/>
  <c r="DI11" i="4" s="1"/>
  <c r="DJ11" i="4" s="1"/>
  <c r="DN11" i="4" s="1"/>
  <c r="DV11" i="4" s="1"/>
  <c r="DZ11" i="4" s="1"/>
  <c r="EB11" i="4" s="1"/>
  <c r="DH21" i="4"/>
  <c r="DI21" i="4" s="1"/>
  <c r="DJ21" i="4" s="1"/>
  <c r="DN21" i="4" s="1"/>
  <c r="DV21" i="4" s="1"/>
  <c r="DZ21" i="4" s="1"/>
  <c r="EB21" i="4" s="1"/>
  <c r="DH32" i="4"/>
  <c r="DI32" i="4" s="1"/>
  <c r="DJ32" i="4" s="1"/>
  <c r="DN32" i="4" s="1"/>
  <c r="DV32" i="4" s="1"/>
  <c r="DZ32" i="4" s="1"/>
  <c r="EB32" i="4" s="1"/>
  <c r="DH17" i="4"/>
  <c r="DI17" i="4" s="1"/>
  <c r="DJ17" i="4" s="1"/>
  <c r="DN17" i="4" s="1"/>
  <c r="DV17" i="4" s="1"/>
  <c r="DZ17" i="4" s="1"/>
  <c r="EB17" i="4" s="1"/>
  <c r="DH19" i="4"/>
  <c r="DI19" i="4" s="1"/>
  <c r="DJ19" i="4" s="1"/>
  <c r="DN19" i="4" s="1"/>
  <c r="DV19" i="4" s="1"/>
  <c r="DZ19" i="4" s="1"/>
  <c r="EB19" i="4" s="1"/>
  <c r="DH30" i="4"/>
  <c r="DI30" i="4" s="1"/>
  <c r="DJ30" i="4" s="1"/>
  <c r="DN30" i="4" s="1"/>
  <c r="DV30" i="4" s="1"/>
  <c r="DZ30" i="4" s="1"/>
  <c r="EB30" i="4" s="1"/>
  <c r="DH33" i="4"/>
  <c r="DI33" i="4" s="1"/>
  <c r="DJ33" i="4" s="1"/>
  <c r="DN33" i="4" s="1"/>
  <c r="DV33" i="4" s="1"/>
  <c r="DZ33" i="4" s="1"/>
  <c r="EB33" i="4" s="1"/>
  <c r="DH35" i="4"/>
  <c r="DI35" i="4" s="1"/>
  <c r="DJ35" i="4" s="1"/>
  <c r="DN35" i="4" s="1"/>
  <c r="DV35" i="4" s="1"/>
  <c r="DZ35" i="4" s="1"/>
  <c r="EB35" i="4" s="1"/>
  <c r="DH13" i="4"/>
  <c r="DI13" i="4" s="1"/>
  <c r="DJ13" i="4" s="1"/>
  <c r="DN13" i="4" s="1"/>
  <c r="DV13" i="4" s="1"/>
  <c r="DZ13" i="4" s="1"/>
  <c r="EB13" i="4" s="1"/>
  <c r="DH23" i="4"/>
  <c r="DI23" i="4" s="1"/>
  <c r="DJ23" i="4" s="1"/>
  <c r="DN23" i="4" s="1"/>
  <c r="DV23" i="4" s="1"/>
  <c r="DZ23" i="4" s="1"/>
  <c r="EB23" i="4" s="1"/>
  <c r="DH27" i="4"/>
  <c r="DI27" i="4" s="1"/>
  <c r="DJ27" i="4" s="1"/>
  <c r="DN27" i="4" s="1"/>
  <c r="DV27" i="4" s="1"/>
  <c r="DZ27" i="4" s="1"/>
  <c r="EB27" i="4" s="1"/>
  <c r="DH29" i="4"/>
  <c r="DI29" i="4" s="1"/>
  <c r="DJ29" i="4" s="1"/>
  <c r="DN29" i="4" s="1"/>
  <c r="DV29" i="4" s="1"/>
  <c r="DZ29" i="4" s="1"/>
  <c r="EB29" i="4" s="1"/>
  <c r="DH5" i="4"/>
  <c r="DI5" i="4" s="1"/>
  <c r="DJ5" i="4" s="1"/>
  <c r="DN5" i="4" s="1"/>
  <c r="DV5" i="4" s="1"/>
  <c r="DZ5" i="4" s="1"/>
  <c r="EB5" i="4" s="1"/>
  <c r="DH15" i="4"/>
  <c r="DI15" i="4" s="1"/>
  <c r="DJ15" i="4" s="1"/>
  <c r="DN15" i="4" s="1"/>
  <c r="DV15" i="4" s="1"/>
  <c r="DZ15" i="4" s="1"/>
  <c r="EB15" i="4" s="1"/>
  <c r="DH18" i="4"/>
  <c r="DI18" i="4" s="1"/>
  <c r="DJ18" i="4" s="1"/>
  <c r="DN18" i="4" s="1"/>
  <c r="DV18" i="4" s="1"/>
  <c r="DZ18" i="4" s="1"/>
  <c r="EB18" i="4" s="1"/>
  <c r="DH20" i="4"/>
  <c r="DI20" i="4" s="1"/>
  <c r="DJ20" i="4" s="1"/>
  <c r="DN20" i="4" s="1"/>
  <c r="DV20" i="4" s="1"/>
  <c r="DZ20" i="4" s="1"/>
  <c r="EB20" i="4" s="1"/>
  <c r="DH31" i="4"/>
  <c r="DI31" i="4" s="1"/>
  <c r="DJ31" i="4" s="1"/>
  <c r="DN31" i="4" s="1"/>
  <c r="DV31" i="4" s="1"/>
  <c r="DZ31" i="4" s="1"/>
  <c r="EB31" i="4" s="1"/>
  <c r="DH7" i="4"/>
  <c r="DI7" i="4" s="1"/>
  <c r="DJ7" i="4" s="1"/>
  <c r="DN7" i="4" s="1"/>
  <c r="DV7" i="4" s="1"/>
  <c r="DZ7" i="4" s="1"/>
  <c r="EB7" i="4" s="1"/>
  <c r="ED22" i="4" l="1"/>
  <c r="EE22" i="4" s="1"/>
  <c r="EF22" i="4" s="1"/>
  <c r="EG22" i="4" s="1"/>
  <c r="EH22" i="4"/>
  <c r="ED29" i="4"/>
  <c r="EE29" i="4" s="1"/>
  <c r="EF29" i="4" s="1"/>
  <c r="EH29" i="4"/>
  <c r="EH17" i="4"/>
  <c r="ED17" i="4"/>
  <c r="EE17" i="4" s="1"/>
  <c r="EF17" i="4" s="1"/>
  <c r="EG17" i="4" s="1"/>
  <c r="EH25" i="4"/>
  <c r="EI25" i="4" s="1"/>
  <c r="ED25" i="4"/>
  <c r="EE25" i="4" s="1"/>
  <c r="EF25" i="4" s="1"/>
  <c r="EH12" i="4"/>
  <c r="EI12" i="4" s="1"/>
  <c r="ED12" i="4"/>
  <c r="EE12" i="4" s="1"/>
  <c r="EF12" i="4" s="1"/>
  <c r="EH5" i="4"/>
  <c r="ED5" i="4"/>
  <c r="EE5" i="4" s="1"/>
  <c r="EF5" i="4" s="1"/>
  <c r="EG5" i="4" s="1"/>
  <c r="ED32" i="4"/>
  <c r="EE32" i="4" s="1"/>
  <c r="EF32" i="4" s="1"/>
  <c r="EG32" i="4" s="1"/>
  <c r="EH32" i="4"/>
  <c r="ED16" i="4"/>
  <c r="EE16" i="4" s="1"/>
  <c r="EF16" i="4" s="1"/>
  <c r="EG16" i="4" s="1"/>
  <c r="EH16" i="4"/>
  <c r="EH10" i="4"/>
  <c r="ED10" i="4"/>
  <c r="EE10" i="4" s="1"/>
  <c r="EF10" i="4" s="1"/>
  <c r="ED19" i="4"/>
  <c r="EE19" i="4" s="1"/>
  <c r="EF19" i="4" s="1"/>
  <c r="EG19" i="4" s="1"/>
  <c r="EH19" i="4"/>
  <c r="EH21" i="4"/>
  <c r="ED21" i="4"/>
  <c r="EE21" i="4" s="1"/>
  <c r="EF21" i="4" s="1"/>
  <c r="ED14" i="4"/>
  <c r="EE14" i="4" s="1"/>
  <c r="EF14" i="4" s="1"/>
  <c r="EH14" i="4"/>
  <c r="EH34" i="4"/>
  <c r="ED34" i="4"/>
  <c r="EE34" i="4" s="1"/>
  <c r="EF34" i="4" s="1"/>
  <c r="EG34" i="4" s="1"/>
  <c r="ED27" i="4"/>
  <c r="EE27" i="4" s="1"/>
  <c r="EF27" i="4" s="1"/>
  <c r="EG27" i="4" s="1"/>
  <c r="EH27" i="4"/>
  <c r="EH11" i="4"/>
  <c r="EI11" i="4" s="1"/>
  <c r="ED11" i="4"/>
  <c r="EE11" i="4" s="1"/>
  <c r="EF11" i="4" s="1"/>
  <c r="EH28" i="4"/>
  <c r="ED28" i="4"/>
  <c r="EE28" i="4" s="1"/>
  <c r="EF28" i="4" s="1"/>
  <c r="EH31" i="4"/>
  <c r="ED31" i="4"/>
  <c r="EE31" i="4" s="1"/>
  <c r="EF31" i="4" s="1"/>
  <c r="EH35" i="4"/>
  <c r="ED35" i="4"/>
  <c r="EE35" i="4" s="1"/>
  <c r="EF35" i="4" s="1"/>
  <c r="EH24" i="4"/>
  <c r="ED24" i="4"/>
  <c r="EE24" i="4" s="1"/>
  <c r="EF24" i="4" s="1"/>
  <c r="EG24" i="4" s="1"/>
  <c r="EH23" i="4"/>
  <c r="EI23" i="4" s="1"/>
  <c r="ED23" i="4"/>
  <c r="EE23" i="4" s="1"/>
  <c r="EF23" i="4" s="1"/>
  <c r="ED20" i="4"/>
  <c r="EE20" i="4" s="1"/>
  <c r="EF20" i="4" s="1"/>
  <c r="EH20" i="4"/>
  <c r="ED18" i="4"/>
  <c r="EE18" i="4" s="1"/>
  <c r="EF18" i="4" s="1"/>
  <c r="EG18" i="4" s="1"/>
  <c r="EH18" i="4"/>
  <c r="ED33" i="4"/>
  <c r="EE33" i="4" s="1"/>
  <c r="EF33" i="4" s="1"/>
  <c r="EG33" i="4" s="1"/>
  <c r="EH33" i="4"/>
  <c r="ED6" i="4"/>
  <c r="EE6" i="4" s="1"/>
  <c r="EF6" i="4" s="1"/>
  <c r="EG6" i="4" s="1"/>
  <c r="EH6" i="4"/>
  <c r="ED26" i="4"/>
  <c r="EE26" i="4" s="1"/>
  <c r="EF26" i="4" s="1"/>
  <c r="EG26" i="4" s="1"/>
  <c r="EH26" i="4"/>
  <c r="EH7" i="4"/>
  <c r="ED7" i="4"/>
  <c r="EE7" i="4" s="1"/>
  <c r="EF7" i="4" s="1"/>
  <c r="EG7" i="4" s="1"/>
  <c r="ED13" i="4"/>
  <c r="EE13" i="4" s="1"/>
  <c r="EF13" i="4" s="1"/>
  <c r="EH13" i="4"/>
  <c r="EI13" i="4" s="1"/>
  <c r="EH9" i="4"/>
  <c r="EI9" i="4" s="1"/>
  <c r="ED9" i="4"/>
  <c r="EE9" i="4" s="1"/>
  <c r="EF9" i="4" s="1"/>
  <c r="EH15" i="4"/>
  <c r="ED15" i="4"/>
  <c r="EE15" i="4" s="1"/>
  <c r="EF15" i="4" s="1"/>
  <c r="EG15" i="4" s="1"/>
  <c r="EH30" i="4"/>
  <c r="EI30" i="4" s="1"/>
  <c r="ED30" i="4"/>
  <c r="EE30" i="4" s="1"/>
  <c r="EF30" i="4" s="1"/>
  <c r="EH8" i="4"/>
  <c r="ED8" i="4"/>
  <c r="EE8" i="4" s="1"/>
  <c r="EF8" i="4" s="1"/>
  <c r="EG8" i="4" s="1"/>
  <c r="DL30" i="4"/>
  <c r="DK30" i="4"/>
  <c r="DL5" i="4"/>
  <c r="DK5" i="4"/>
  <c r="DL25" i="4"/>
  <c r="DK25" i="4"/>
  <c r="DK27" i="4"/>
  <c r="DL27" i="4"/>
  <c r="DL16" i="4"/>
  <c r="DK16" i="4"/>
  <c r="DK23" i="4"/>
  <c r="DK14" i="4"/>
  <c r="DL14" i="4"/>
  <c r="DK34" i="4"/>
  <c r="DK31" i="4"/>
  <c r="DK13" i="4"/>
  <c r="DL13" i="4"/>
  <c r="DK11" i="4"/>
  <c r="DL11" i="4"/>
  <c r="DH36" i="4"/>
  <c r="DH45" i="4" s="1"/>
  <c r="DI4" i="4"/>
  <c r="DJ4" i="4" s="1"/>
  <c r="DN4" i="4" s="1"/>
  <c r="DL20" i="4"/>
  <c r="DK20" i="4"/>
  <c r="DK35" i="4"/>
  <c r="DL9" i="4"/>
  <c r="DK9" i="4"/>
  <c r="DK24" i="4"/>
  <c r="DK29" i="4"/>
  <c r="DL29" i="4"/>
  <c r="DK12" i="4"/>
  <c r="DL12" i="4"/>
  <c r="DK32" i="4"/>
  <c r="DL10" i="4"/>
  <c r="DK10" i="4"/>
  <c r="DK21" i="4"/>
  <c r="DL21" i="4"/>
  <c r="DK18" i="4"/>
  <c r="DL18" i="4"/>
  <c r="DK33" i="4"/>
  <c r="DK6" i="4"/>
  <c r="DL6" i="4"/>
  <c r="DK26" i="4"/>
  <c r="DL26" i="4"/>
  <c r="DL15" i="4"/>
  <c r="DK15" i="4"/>
  <c r="DK19" i="4"/>
  <c r="DL19" i="4"/>
  <c r="DK28" i="4"/>
  <c r="DL28" i="4"/>
  <c r="DK22" i="4"/>
  <c r="DK8" i="4"/>
  <c r="DL8" i="4"/>
  <c r="DL17" i="4"/>
  <c r="DK17" i="4"/>
  <c r="DL7" i="4"/>
  <c r="DK7" i="4"/>
  <c r="EG10" i="4" l="1"/>
  <c r="EK10" i="4" s="1"/>
  <c r="EG25" i="4"/>
  <c r="EK25" i="4" s="1"/>
  <c r="EJ25" i="4"/>
  <c r="EK24" i="4"/>
  <c r="EI24" i="4"/>
  <c r="EJ24" i="4" s="1"/>
  <c r="EI21" i="4"/>
  <c r="EJ21" i="4" s="1"/>
  <c r="EK32" i="4"/>
  <c r="EI32" i="4"/>
  <c r="EJ32" i="4" s="1"/>
  <c r="EK33" i="4"/>
  <c r="EI33" i="4"/>
  <c r="EJ33" i="4" s="1"/>
  <c r="EK18" i="4"/>
  <c r="EI18" i="4"/>
  <c r="EJ18" i="4" s="1"/>
  <c r="EG35" i="4"/>
  <c r="EK35" i="4" s="1"/>
  <c r="EI27" i="4"/>
  <c r="EJ27" i="4" s="1"/>
  <c r="EK27" i="4"/>
  <c r="EK19" i="4"/>
  <c r="EI19" i="4"/>
  <c r="EJ19" i="4" s="1"/>
  <c r="EK7" i="4"/>
  <c r="EI7" i="4"/>
  <c r="EJ7" i="4" s="1"/>
  <c r="EI35" i="4"/>
  <c r="EJ35" i="4" s="1"/>
  <c r="EK17" i="4"/>
  <c r="EI17" i="4"/>
  <c r="EJ17" i="4" s="1"/>
  <c r="EJ13" i="4"/>
  <c r="EG13" i="4"/>
  <c r="EK13" i="4" s="1"/>
  <c r="EK15" i="4"/>
  <c r="EI15" i="4"/>
  <c r="EJ15" i="4" s="1"/>
  <c r="EK26" i="4"/>
  <c r="EI26" i="4"/>
  <c r="EJ26" i="4" s="1"/>
  <c r="EI20" i="4"/>
  <c r="EJ20" i="4" s="1"/>
  <c r="EG31" i="4"/>
  <c r="EK31" i="4" s="1"/>
  <c r="EK5" i="4"/>
  <c r="EI5" i="4"/>
  <c r="EJ5" i="4" s="1"/>
  <c r="EI29" i="4"/>
  <c r="EJ29" i="4" s="1"/>
  <c r="EG30" i="4"/>
  <c r="EK30" i="4" s="1"/>
  <c r="EJ30" i="4"/>
  <c r="EJ9" i="4"/>
  <c r="EG9" i="4"/>
  <c r="EK9" i="4" s="1"/>
  <c r="EG20" i="4"/>
  <c r="EK20" i="4" s="1"/>
  <c r="EI34" i="4"/>
  <c r="EJ34" i="4" s="1"/>
  <c r="EK34" i="4"/>
  <c r="EI10" i="4"/>
  <c r="EJ10" i="4" s="1"/>
  <c r="EG12" i="4"/>
  <c r="EK12" i="4" s="1"/>
  <c r="EJ12" i="4"/>
  <c r="EG29" i="4"/>
  <c r="EK29" i="4" s="1"/>
  <c r="EG21" i="4"/>
  <c r="EK21" i="4" s="1"/>
  <c r="EK6" i="4"/>
  <c r="EI6" i="4"/>
  <c r="EJ6" i="4" s="1"/>
  <c r="EG23" i="4"/>
  <c r="EK23" i="4" s="1"/>
  <c r="EJ23" i="4"/>
  <c r="EG28" i="4"/>
  <c r="EK28" i="4" s="1"/>
  <c r="EI14" i="4"/>
  <c r="EJ14" i="4" s="1"/>
  <c r="EI22" i="4"/>
  <c r="EJ22" i="4" s="1"/>
  <c r="EK22" i="4"/>
  <c r="EG11" i="4"/>
  <c r="EK11" i="4" s="1"/>
  <c r="EJ11" i="4"/>
  <c r="DV4" i="4"/>
  <c r="DN36" i="4"/>
  <c r="EK8" i="4"/>
  <c r="EI8" i="4"/>
  <c r="EJ8" i="4" s="1"/>
  <c r="EI28" i="4"/>
  <c r="EJ28" i="4" s="1"/>
  <c r="EG14" i="4"/>
  <c r="EK14" i="4" s="1"/>
  <c r="EK16" i="4"/>
  <c r="EI16" i="4"/>
  <c r="EJ16" i="4" s="1"/>
  <c r="DL4" i="4"/>
  <c r="DK4" i="4"/>
  <c r="DK36" i="4" s="1"/>
  <c r="DJ36" i="4"/>
  <c r="EI31" i="4" l="1"/>
  <c r="EJ31" i="4" s="1"/>
  <c r="DZ4" i="4"/>
  <c r="DV36" i="4"/>
  <c r="DV45" i="4" s="1"/>
  <c r="DL36" i="4"/>
  <c r="DJ45" i="4"/>
  <c r="EB4" i="4" l="1"/>
  <c r="DZ36" i="4"/>
  <c r="DZ45" i="4" s="1"/>
  <c r="ED4" i="4" l="1"/>
  <c r="EH4" i="4"/>
  <c r="EK4" i="4" s="1"/>
  <c r="EK36" i="4" s="1"/>
  <c r="EB36" i="4"/>
  <c r="EE4" i="4" l="1"/>
  <c r="ED36" i="4"/>
  <c r="EF4" i="4" l="1"/>
  <c r="EG4" i="4" s="1"/>
  <c r="EI4" i="4" s="1"/>
  <c r="EE36" i="4"/>
  <c r="EE45" i="4" l="1"/>
  <c r="EJ4" i="4"/>
  <c r="EI36" i="4"/>
  <c r="EI45" i="4" s="1"/>
  <c r="EJ41" i="4" l="1"/>
  <c r="EL32" i="4" l="1"/>
  <c r="EM32" i="4" s="1"/>
  <c r="EN32" i="4" s="1"/>
  <c r="EL12" i="4"/>
  <c r="EM12" i="4" s="1"/>
  <c r="EN12" i="4" s="1"/>
  <c r="ER12" i="4" s="1"/>
  <c r="EZ12" i="4" s="1"/>
  <c r="FD12" i="4" s="1"/>
  <c r="FF12" i="4" s="1"/>
  <c r="EL4" i="4"/>
  <c r="EL24" i="4"/>
  <c r="EM24" i="4" s="1"/>
  <c r="EN24" i="4" s="1"/>
  <c r="EL8" i="4"/>
  <c r="EM8" i="4" s="1"/>
  <c r="EN8" i="4" s="1"/>
  <c r="ER8" i="4" s="1"/>
  <c r="EZ8" i="4" s="1"/>
  <c r="FD8" i="4" s="1"/>
  <c r="FF8" i="4" s="1"/>
  <c r="EL16" i="4"/>
  <c r="EM16" i="4" s="1"/>
  <c r="EN16" i="4" s="1"/>
  <c r="ER16" i="4" s="1"/>
  <c r="EZ16" i="4" s="1"/>
  <c r="FD16" i="4" s="1"/>
  <c r="FF16" i="4" s="1"/>
  <c r="EL15" i="4"/>
  <c r="EM15" i="4" s="1"/>
  <c r="EN15" i="4" s="1"/>
  <c r="ER15" i="4" s="1"/>
  <c r="EZ15" i="4" s="1"/>
  <c r="FD15" i="4" s="1"/>
  <c r="FF15" i="4" s="1"/>
  <c r="EL14" i="4"/>
  <c r="EM14" i="4" s="1"/>
  <c r="EN14" i="4" s="1"/>
  <c r="ER14" i="4" s="1"/>
  <c r="EZ14" i="4" s="1"/>
  <c r="FD14" i="4" s="1"/>
  <c r="FF14" i="4" s="1"/>
  <c r="EL17" i="4"/>
  <c r="EM17" i="4" s="1"/>
  <c r="EN17" i="4" s="1"/>
  <c r="ER17" i="4" s="1"/>
  <c r="EZ17" i="4" s="1"/>
  <c r="FD17" i="4" s="1"/>
  <c r="FF17" i="4" s="1"/>
  <c r="EL27" i="4"/>
  <c r="EM27" i="4" s="1"/>
  <c r="EN27" i="4" s="1"/>
  <c r="ER27" i="4" s="1"/>
  <c r="EZ27" i="4" s="1"/>
  <c r="FD27" i="4" s="1"/>
  <c r="FF27" i="4" s="1"/>
  <c r="EL23" i="4"/>
  <c r="EM23" i="4" s="1"/>
  <c r="EN23" i="4" s="1"/>
  <c r="EL21" i="4"/>
  <c r="EM21" i="4" s="1"/>
  <c r="EN21" i="4" s="1"/>
  <c r="ER21" i="4" s="1"/>
  <c r="EZ21" i="4" s="1"/>
  <c r="FD21" i="4" s="1"/>
  <c r="FF21" i="4" s="1"/>
  <c r="EL33" i="4"/>
  <c r="EM33" i="4" s="1"/>
  <c r="EN33" i="4" s="1"/>
  <c r="EL18" i="4"/>
  <c r="EM18" i="4" s="1"/>
  <c r="EN18" i="4" s="1"/>
  <c r="ER18" i="4" s="1"/>
  <c r="EZ18" i="4" s="1"/>
  <c r="FD18" i="4" s="1"/>
  <c r="FF18" i="4" s="1"/>
  <c r="EL9" i="4"/>
  <c r="EM9" i="4" s="1"/>
  <c r="EN9" i="4" s="1"/>
  <c r="ER9" i="4" s="1"/>
  <c r="EZ9" i="4" s="1"/>
  <c r="FD9" i="4" s="1"/>
  <c r="FF9" i="4" s="1"/>
  <c r="EL34" i="4"/>
  <c r="EM34" i="4" s="1"/>
  <c r="EN34" i="4" s="1"/>
  <c r="EL6" i="4"/>
  <c r="EM6" i="4" s="1"/>
  <c r="EN6" i="4" s="1"/>
  <c r="ER6" i="4" s="1"/>
  <c r="EZ6" i="4" s="1"/>
  <c r="FD6" i="4" s="1"/>
  <c r="FF6" i="4" s="1"/>
  <c r="EL35" i="4"/>
  <c r="EM35" i="4" s="1"/>
  <c r="EN35" i="4" s="1"/>
  <c r="EL29" i="4"/>
  <c r="EM29" i="4" s="1"/>
  <c r="EN29" i="4" s="1"/>
  <c r="ER29" i="4" s="1"/>
  <c r="EZ29" i="4" s="1"/>
  <c r="FD29" i="4" s="1"/>
  <c r="FF29" i="4" s="1"/>
  <c r="EL22" i="4"/>
  <c r="EM22" i="4" s="1"/>
  <c r="EN22" i="4" s="1"/>
  <c r="EL13" i="4"/>
  <c r="EM13" i="4" s="1"/>
  <c r="EN13" i="4" s="1"/>
  <c r="ER13" i="4" s="1"/>
  <c r="EZ13" i="4" s="1"/>
  <c r="FD13" i="4" s="1"/>
  <c r="FF13" i="4" s="1"/>
  <c r="EL11" i="4"/>
  <c r="EM11" i="4" s="1"/>
  <c r="EN11" i="4" s="1"/>
  <c r="ER11" i="4" s="1"/>
  <c r="EZ11" i="4" s="1"/>
  <c r="FD11" i="4" s="1"/>
  <c r="FF11" i="4" s="1"/>
  <c r="EL30" i="4"/>
  <c r="EM30" i="4" s="1"/>
  <c r="EN30" i="4" s="1"/>
  <c r="ER30" i="4" s="1"/>
  <c r="EZ30" i="4" s="1"/>
  <c r="FD30" i="4" s="1"/>
  <c r="FF30" i="4" s="1"/>
  <c r="EL25" i="4"/>
  <c r="EM25" i="4" s="1"/>
  <c r="EN25" i="4" s="1"/>
  <c r="ER25" i="4" s="1"/>
  <c r="EZ25" i="4" s="1"/>
  <c r="FD25" i="4" s="1"/>
  <c r="FF25" i="4" s="1"/>
  <c r="EL28" i="4"/>
  <c r="EM28" i="4" s="1"/>
  <c r="EN28" i="4" s="1"/>
  <c r="ER28" i="4" s="1"/>
  <c r="EZ28" i="4" s="1"/>
  <c r="FD28" i="4" s="1"/>
  <c r="FF28" i="4" s="1"/>
  <c r="EL5" i="4"/>
  <c r="EM5" i="4" s="1"/>
  <c r="EN5" i="4" s="1"/>
  <c r="ER5" i="4" s="1"/>
  <c r="EZ5" i="4" s="1"/>
  <c r="FD5" i="4" s="1"/>
  <c r="FF5" i="4" s="1"/>
  <c r="EL31" i="4"/>
  <c r="EM31" i="4" s="1"/>
  <c r="EN31" i="4" s="1"/>
  <c r="EL20" i="4"/>
  <c r="EM20" i="4" s="1"/>
  <c r="EN20" i="4" s="1"/>
  <c r="ER20" i="4" s="1"/>
  <c r="EZ20" i="4" s="1"/>
  <c r="FD20" i="4" s="1"/>
  <c r="FF20" i="4" s="1"/>
  <c r="EL19" i="4"/>
  <c r="EM19" i="4" s="1"/>
  <c r="EN19" i="4" s="1"/>
  <c r="ER19" i="4" s="1"/>
  <c r="EZ19" i="4" s="1"/>
  <c r="FD19" i="4" s="1"/>
  <c r="FF19" i="4" s="1"/>
  <c r="EL10" i="4"/>
  <c r="EM10" i="4" s="1"/>
  <c r="EN10" i="4" s="1"/>
  <c r="ER10" i="4" s="1"/>
  <c r="EZ10" i="4" s="1"/>
  <c r="FD10" i="4" s="1"/>
  <c r="FF10" i="4" s="1"/>
  <c r="EL26" i="4"/>
  <c r="EM26" i="4" s="1"/>
  <c r="EN26" i="4" s="1"/>
  <c r="ER26" i="4" s="1"/>
  <c r="EZ26" i="4" s="1"/>
  <c r="FD26" i="4" s="1"/>
  <c r="FF26" i="4" s="1"/>
  <c r="EJ45" i="4"/>
  <c r="EL7" i="4"/>
  <c r="EM7" i="4" s="1"/>
  <c r="EN7" i="4" s="1"/>
  <c r="ER7" i="4" s="1"/>
  <c r="EZ7" i="4" s="1"/>
  <c r="FD7" i="4" s="1"/>
  <c r="FF7" i="4" s="1"/>
  <c r="EK45" i="4"/>
  <c r="FH14" i="4" l="1"/>
  <c r="FI14" i="4" s="1"/>
  <c r="FJ14" i="4" s="1"/>
  <c r="FK14" i="4" s="1"/>
  <c r="FL14" i="4"/>
  <c r="FM14" i="4" s="1"/>
  <c r="FH9" i="4"/>
  <c r="FI9" i="4" s="1"/>
  <c r="FJ9" i="4" s="1"/>
  <c r="FK9" i="4" s="1"/>
  <c r="FL9" i="4"/>
  <c r="FM9" i="4" s="1"/>
  <c r="FL11" i="4"/>
  <c r="FH11" i="4"/>
  <c r="FI11" i="4" s="1"/>
  <c r="FJ11" i="4" s="1"/>
  <c r="FK11" i="4" s="1"/>
  <c r="FL18" i="4"/>
  <c r="FH18" i="4"/>
  <c r="FI18" i="4" s="1"/>
  <c r="FJ18" i="4" s="1"/>
  <c r="FK18" i="4" s="1"/>
  <c r="FH16" i="4"/>
  <c r="FI16" i="4" s="1"/>
  <c r="FJ16" i="4" s="1"/>
  <c r="FK16" i="4" s="1"/>
  <c r="FL16" i="4"/>
  <c r="FH25" i="4"/>
  <c r="FI25" i="4" s="1"/>
  <c r="FJ25" i="4" s="1"/>
  <c r="FK25" i="4" s="1"/>
  <c r="FL25" i="4"/>
  <c r="FM25" i="4" s="1"/>
  <c r="FH30" i="4"/>
  <c r="FI30" i="4" s="1"/>
  <c r="FJ30" i="4" s="1"/>
  <c r="FK30" i="4" s="1"/>
  <c r="FL30" i="4"/>
  <c r="FM30" i="4" s="1"/>
  <c r="FH10" i="4"/>
  <c r="FI10" i="4" s="1"/>
  <c r="FJ10" i="4" s="1"/>
  <c r="FK10" i="4" s="1"/>
  <c r="FL10" i="4"/>
  <c r="FH19" i="4"/>
  <c r="FI19" i="4" s="1"/>
  <c r="FJ19" i="4" s="1"/>
  <c r="FK19" i="4" s="1"/>
  <c r="FL19" i="4"/>
  <c r="FO19" i="4" s="1"/>
  <c r="FL20" i="4"/>
  <c r="FM20" i="4" s="1"/>
  <c r="FH20" i="4"/>
  <c r="FI20" i="4" s="1"/>
  <c r="FJ20" i="4" s="1"/>
  <c r="FL21" i="4"/>
  <c r="FM21" i="4" s="1"/>
  <c r="FH21" i="4"/>
  <c r="FI21" i="4" s="1"/>
  <c r="FJ21" i="4" s="1"/>
  <c r="FK21" i="4" s="1"/>
  <c r="FL26" i="4"/>
  <c r="FM26" i="4" s="1"/>
  <c r="FH26" i="4"/>
  <c r="FI26" i="4" s="1"/>
  <c r="FJ26" i="4" s="1"/>
  <c r="FK26" i="4" s="1"/>
  <c r="FH15" i="4"/>
  <c r="FI15" i="4" s="1"/>
  <c r="FJ15" i="4" s="1"/>
  <c r="FK15" i="4" s="1"/>
  <c r="FL15" i="4"/>
  <c r="FO15" i="4" s="1"/>
  <c r="FL13" i="4"/>
  <c r="FM13" i="4" s="1"/>
  <c r="FH13" i="4"/>
  <c r="FI13" i="4" s="1"/>
  <c r="FJ13" i="4" s="1"/>
  <c r="FK13" i="4" s="1"/>
  <c r="FH8" i="4"/>
  <c r="FI8" i="4" s="1"/>
  <c r="FJ8" i="4" s="1"/>
  <c r="FK8" i="4" s="1"/>
  <c r="FL8" i="4"/>
  <c r="FM8" i="4" s="1"/>
  <c r="FH29" i="4"/>
  <c r="FI29" i="4" s="1"/>
  <c r="FJ29" i="4" s="1"/>
  <c r="FL29" i="4"/>
  <c r="FM29" i="4" s="1"/>
  <c r="FH5" i="4"/>
  <c r="FI5" i="4" s="1"/>
  <c r="FJ5" i="4" s="1"/>
  <c r="FK5" i="4" s="1"/>
  <c r="FL5" i="4"/>
  <c r="FH27" i="4"/>
  <c r="FI27" i="4" s="1"/>
  <c r="FJ27" i="4" s="1"/>
  <c r="FK27" i="4" s="1"/>
  <c r="FL27" i="4"/>
  <c r="FO27" i="4" s="1"/>
  <c r="FL12" i="4"/>
  <c r="FM12" i="4" s="1"/>
  <c r="FH12" i="4"/>
  <c r="FI12" i="4" s="1"/>
  <c r="FJ12" i="4" s="1"/>
  <c r="FK12" i="4" s="1"/>
  <c r="FH7" i="4"/>
  <c r="FI7" i="4" s="1"/>
  <c r="FJ7" i="4" s="1"/>
  <c r="FK7" i="4" s="1"/>
  <c r="FL7" i="4"/>
  <c r="FO7" i="4" s="1"/>
  <c r="FH28" i="4"/>
  <c r="FI28" i="4" s="1"/>
  <c r="FJ28" i="4" s="1"/>
  <c r="FK28" i="4" s="1"/>
  <c r="FL28" i="4"/>
  <c r="FM28" i="4" s="1"/>
  <c r="FH6" i="4"/>
  <c r="FI6" i="4" s="1"/>
  <c r="FJ6" i="4" s="1"/>
  <c r="FK6" i="4" s="1"/>
  <c r="FL6" i="4"/>
  <c r="FO6" i="4" s="1"/>
  <c r="FL17" i="4"/>
  <c r="FO17" i="4" s="1"/>
  <c r="FH17" i="4"/>
  <c r="FI17" i="4" s="1"/>
  <c r="FJ17" i="4" s="1"/>
  <c r="FK17" i="4" s="1"/>
  <c r="EO34" i="4"/>
  <c r="ER34" i="4"/>
  <c r="EZ34" i="4" s="1"/>
  <c r="FD34" i="4" s="1"/>
  <c r="FF34" i="4" s="1"/>
  <c r="EO33" i="4"/>
  <c r="ER33" i="4"/>
  <c r="EZ33" i="4" s="1"/>
  <c r="FD33" i="4" s="1"/>
  <c r="FF33" i="4" s="1"/>
  <c r="EO22" i="4"/>
  <c r="ER22" i="4"/>
  <c r="EZ22" i="4" s="1"/>
  <c r="FD22" i="4" s="1"/>
  <c r="FF22" i="4" s="1"/>
  <c r="EO24" i="4"/>
  <c r="ER24" i="4"/>
  <c r="EZ24" i="4" s="1"/>
  <c r="FD24" i="4" s="1"/>
  <c r="FF24" i="4" s="1"/>
  <c r="EO35" i="4"/>
  <c r="ER35" i="4"/>
  <c r="EZ35" i="4" s="1"/>
  <c r="FD35" i="4" s="1"/>
  <c r="FF35" i="4" s="1"/>
  <c r="EO31" i="4"/>
  <c r="ER31" i="4"/>
  <c r="EZ31" i="4" s="1"/>
  <c r="FD31" i="4" s="1"/>
  <c r="FF31" i="4" s="1"/>
  <c r="EO23" i="4"/>
  <c r="ER23" i="4"/>
  <c r="EZ23" i="4" s="1"/>
  <c r="FD23" i="4" s="1"/>
  <c r="FF23" i="4" s="1"/>
  <c r="EO32" i="4"/>
  <c r="ER32" i="4"/>
  <c r="EZ32" i="4" s="1"/>
  <c r="FD32" i="4" s="1"/>
  <c r="FF32" i="4" s="1"/>
  <c r="EO30" i="4"/>
  <c r="EP30" i="4"/>
  <c r="EO7" i="4"/>
  <c r="EP7" i="4"/>
  <c r="EP28" i="4"/>
  <c r="EO28" i="4"/>
  <c r="EO6" i="4"/>
  <c r="EP6" i="4"/>
  <c r="EP17" i="4"/>
  <c r="EO17" i="4"/>
  <c r="EP25" i="4"/>
  <c r="EO25" i="4"/>
  <c r="EO14" i="4"/>
  <c r="EP14" i="4"/>
  <c r="EO9" i="4"/>
  <c r="EP9" i="4"/>
  <c r="EO11" i="4"/>
  <c r="EP11" i="4"/>
  <c r="EO13" i="4"/>
  <c r="EP13" i="4"/>
  <c r="EP8" i="4"/>
  <c r="EO8" i="4"/>
  <c r="EP26" i="4"/>
  <c r="EO26" i="4"/>
  <c r="EP16" i="4"/>
  <c r="EO16" i="4"/>
  <c r="EP20" i="4"/>
  <c r="EO20" i="4"/>
  <c r="EP21" i="4"/>
  <c r="EO21" i="4"/>
  <c r="EP10" i="4"/>
  <c r="EO10" i="4"/>
  <c r="EO19" i="4"/>
  <c r="EP19" i="4"/>
  <c r="EP29" i="4"/>
  <c r="EO29" i="4"/>
  <c r="EL36" i="4"/>
  <c r="EL45" i="4" s="1"/>
  <c r="EM4" i="4"/>
  <c r="EN4" i="4" s="1"/>
  <c r="ER4" i="4" s="1"/>
  <c r="EO15" i="4"/>
  <c r="EP15" i="4"/>
  <c r="EP18" i="4"/>
  <c r="EO18" i="4"/>
  <c r="EO5" i="4"/>
  <c r="EP5" i="4"/>
  <c r="EO27" i="4"/>
  <c r="EP27" i="4"/>
  <c r="EO12" i="4"/>
  <c r="EP12" i="4"/>
  <c r="FM6" i="4" l="1"/>
  <c r="FN6" i="4" s="1"/>
  <c r="FM27" i="4"/>
  <c r="FN27" i="4" s="1"/>
  <c r="FN13" i="4"/>
  <c r="FN8" i="4"/>
  <c r="FO26" i="4"/>
  <c r="FN9" i="4"/>
  <c r="FM19" i="4"/>
  <c r="FN19" i="4" s="1"/>
  <c r="FM7" i="4"/>
  <c r="FN7" i="4" s="1"/>
  <c r="FN21" i="4"/>
  <c r="FO30" i="4"/>
  <c r="FO28" i="4"/>
  <c r="FM15" i="4"/>
  <c r="FN15" i="4" s="1"/>
  <c r="FO25" i="4"/>
  <c r="FN12" i="4"/>
  <c r="FN14" i="4"/>
  <c r="FO18" i="4"/>
  <c r="FM18" i="4"/>
  <c r="FN18" i="4" s="1"/>
  <c r="FH23" i="4"/>
  <c r="FI23" i="4" s="1"/>
  <c r="FJ23" i="4" s="1"/>
  <c r="FK23" i="4" s="1"/>
  <c r="FL23" i="4"/>
  <c r="FM23" i="4" s="1"/>
  <c r="FH22" i="4"/>
  <c r="FI22" i="4" s="1"/>
  <c r="FJ22" i="4" s="1"/>
  <c r="FK22" i="4" s="1"/>
  <c r="FL22" i="4"/>
  <c r="FO12" i="4"/>
  <c r="FK29" i="4"/>
  <c r="FO29" i="4" s="1"/>
  <c r="FN29" i="4"/>
  <c r="FN25" i="4"/>
  <c r="FM11" i="4"/>
  <c r="FN11" i="4" s="1"/>
  <c r="FO11" i="4"/>
  <c r="FH33" i="4"/>
  <c r="FI33" i="4" s="1"/>
  <c r="FJ33" i="4" s="1"/>
  <c r="FK33" i="4" s="1"/>
  <c r="FL33" i="4"/>
  <c r="FM33" i="4" s="1"/>
  <c r="FH31" i="4"/>
  <c r="FI31" i="4" s="1"/>
  <c r="FJ31" i="4" s="1"/>
  <c r="FK31" i="4" s="1"/>
  <c r="FL31" i="4"/>
  <c r="FM31" i="4" s="1"/>
  <c r="FN28" i="4"/>
  <c r="FO8" i="4"/>
  <c r="FN26" i="4"/>
  <c r="FO10" i="4"/>
  <c r="FM10" i="4"/>
  <c r="FN10" i="4" s="1"/>
  <c r="FO9" i="4"/>
  <c r="FH35" i="4"/>
  <c r="FI35" i="4" s="1"/>
  <c r="FJ35" i="4" s="1"/>
  <c r="FL35" i="4"/>
  <c r="FM35" i="4" s="1"/>
  <c r="FH34" i="4"/>
  <c r="FI34" i="4" s="1"/>
  <c r="FJ34" i="4" s="1"/>
  <c r="FK34" i="4" s="1"/>
  <c r="FL34" i="4"/>
  <c r="FM34" i="4" s="1"/>
  <c r="FO13" i="4"/>
  <c r="FO21" i="4"/>
  <c r="FO16" i="4"/>
  <c r="FM16" i="4"/>
  <c r="FN16" i="4" s="1"/>
  <c r="FO14" i="4"/>
  <c r="FH32" i="4"/>
  <c r="FI32" i="4" s="1"/>
  <c r="FJ32" i="4" s="1"/>
  <c r="FK32" i="4" s="1"/>
  <c r="FL32" i="4"/>
  <c r="FM32" i="4" s="1"/>
  <c r="FL24" i="4"/>
  <c r="FM24" i="4" s="1"/>
  <c r="FH24" i="4"/>
  <c r="FI24" i="4" s="1"/>
  <c r="FJ24" i="4" s="1"/>
  <c r="FK24" i="4" s="1"/>
  <c r="FM17" i="4"/>
  <c r="FN17" i="4" s="1"/>
  <c r="FO5" i="4"/>
  <c r="FM5" i="4"/>
  <c r="FN5" i="4" s="1"/>
  <c r="FN20" i="4"/>
  <c r="FK20" i="4"/>
  <c r="FO20" i="4" s="1"/>
  <c r="FN30" i="4"/>
  <c r="EZ4" i="4"/>
  <c r="ER36" i="4"/>
  <c r="EP4" i="4"/>
  <c r="EO4" i="4"/>
  <c r="EO36" i="4" s="1"/>
  <c r="EN36" i="4"/>
  <c r="FO24" i="4" l="1"/>
  <c r="FO23" i="4"/>
  <c r="FO31" i="4"/>
  <c r="FO32" i="4"/>
  <c r="FN33" i="4"/>
  <c r="FO34" i="4"/>
  <c r="FN35" i="4"/>
  <c r="FK35" i="4"/>
  <c r="FO35" i="4" s="1"/>
  <c r="FN24" i="4"/>
  <c r="FN32" i="4"/>
  <c r="FN34" i="4"/>
  <c r="FO33" i="4"/>
  <c r="FO22" i="4"/>
  <c r="FM22" i="4"/>
  <c r="FN22" i="4" s="1"/>
  <c r="FN23" i="4"/>
  <c r="FN31" i="4"/>
  <c r="EZ36" i="4"/>
  <c r="EZ45" i="4" s="1"/>
  <c r="FD4" i="4"/>
  <c r="EN45" i="4"/>
  <c r="EP36" i="4"/>
  <c r="FD36" i="4" l="1"/>
  <c r="FD45" i="4" s="1"/>
  <c r="FF4" i="4"/>
  <c r="FL4" i="4" l="1"/>
  <c r="FO4" i="4" s="1"/>
  <c r="FO36" i="4" s="1"/>
  <c r="FF36" i="4"/>
  <c r="FH4" i="4"/>
  <c r="FH36" i="4" l="1"/>
  <c r="FI4" i="4"/>
  <c r="FI36" i="4" l="1"/>
  <c r="FJ4" i="4"/>
  <c r="FK4" i="4" l="1"/>
  <c r="FM4" i="4" s="1"/>
  <c r="FM36" i="4" s="1"/>
  <c r="FM45" i="4" s="1"/>
  <c r="FI45" i="4"/>
  <c r="FN4" i="4" l="1"/>
  <c r="FN41" i="4"/>
  <c r="FP30" i="4" l="1"/>
  <c r="FQ30" i="4" s="1"/>
  <c r="FR30" i="4" s="1"/>
  <c r="FP7" i="4"/>
  <c r="FQ7" i="4" s="1"/>
  <c r="FR7" i="4" s="1"/>
  <c r="FP17" i="4"/>
  <c r="FQ17" i="4" s="1"/>
  <c r="FR17" i="4" s="1"/>
  <c r="FP27" i="4"/>
  <c r="FQ27" i="4" s="1"/>
  <c r="FR27" i="4" s="1"/>
  <c r="FP12" i="4"/>
  <c r="FQ12" i="4" s="1"/>
  <c r="FR12" i="4" s="1"/>
  <c r="FP22" i="4"/>
  <c r="FQ22" i="4" s="1"/>
  <c r="FR22" i="4" s="1"/>
  <c r="FP32" i="4"/>
  <c r="FQ32" i="4" s="1"/>
  <c r="FR32" i="4" s="1"/>
  <c r="FP9" i="4"/>
  <c r="FQ9" i="4" s="1"/>
  <c r="FR9" i="4" s="1"/>
  <c r="FP19" i="4"/>
  <c r="FQ19" i="4" s="1"/>
  <c r="FR19" i="4" s="1"/>
  <c r="FP4" i="4"/>
  <c r="FP14" i="4"/>
  <c r="FQ14" i="4" s="1"/>
  <c r="FR14" i="4" s="1"/>
  <c r="FP24" i="4"/>
  <c r="FQ24" i="4" s="1"/>
  <c r="FR24" i="4" s="1"/>
  <c r="FN45" i="4"/>
  <c r="FP11" i="4"/>
  <c r="FQ11" i="4" s="1"/>
  <c r="FR11" i="4" s="1"/>
  <c r="FP6" i="4"/>
  <c r="FQ6" i="4" s="1"/>
  <c r="FR6" i="4" s="1"/>
  <c r="FP16" i="4"/>
  <c r="FQ16" i="4" s="1"/>
  <c r="FR16" i="4" s="1"/>
  <c r="FP34" i="4"/>
  <c r="FQ34" i="4" s="1"/>
  <c r="FR34" i="4" s="1"/>
  <c r="FP29" i="4"/>
  <c r="FQ29" i="4" s="1"/>
  <c r="FR29" i="4" s="1"/>
  <c r="FP8" i="4"/>
  <c r="FQ8" i="4" s="1"/>
  <c r="FR8" i="4" s="1"/>
  <c r="FP26" i="4"/>
  <c r="FQ26" i="4" s="1"/>
  <c r="FR26" i="4" s="1"/>
  <c r="FP21" i="4"/>
  <c r="FQ21" i="4" s="1"/>
  <c r="FR21" i="4" s="1"/>
  <c r="FP23" i="4"/>
  <c r="FQ23" i="4" s="1"/>
  <c r="FR23" i="4" s="1"/>
  <c r="FP33" i="4"/>
  <c r="FQ33" i="4" s="1"/>
  <c r="FR33" i="4" s="1"/>
  <c r="FP10" i="4"/>
  <c r="FQ10" i="4" s="1"/>
  <c r="FR10" i="4" s="1"/>
  <c r="FP5" i="4"/>
  <c r="FQ5" i="4" s="1"/>
  <c r="FR5" i="4" s="1"/>
  <c r="FP15" i="4"/>
  <c r="FQ15" i="4" s="1"/>
  <c r="FR15" i="4" s="1"/>
  <c r="FP20" i="4"/>
  <c r="FQ20" i="4" s="1"/>
  <c r="FR20" i="4" s="1"/>
  <c r="FP28" i="4"/>
  <c r="FQ28" i="4" s="1"/>
  <c r="FR28" i="4" s="1"/>
  <c r="FP25" i="4"/>
  <c r="FQ25" i="4" s="1"/>
  <c r="FR25" i="4" s="1"/>
  <c r="FP31" i="4"/>
  <c r="FQ31" i="4" s="1"/>
  <c r="FR31" i="4" s="1"/>
  <c r="FP18" i="4"/>
  <c r="FQ18" i="4" s="1"/>
  <c r="FR18" i="4" s="1"/>
  <c r="FP13" i="4"/>
  <c r="FQ13" i="4" s="1"/>
  <c r="FR13" i="4" s="1"/>
  <c r="FP35" i="4"/>
  <c r="FQ35" i="4" s="1"/>
  <c r="FR35" i="4" s="1"/>
  <c r="FO45" i="4"/>
  <c r="FS10" i="4" l="1"/>
  <c r="FV10" i="4"/>
  <c r="GD10" i="4" s="1"/>
  <c r="GH10" i="4" s="1"/>
  <c r="GJ10" i="4" s="1"/>
  <c r="FT10" i="4"/>
  <c r="FV9" i="4"/>
  <c r="GD9" i="4" s="1"/>
  <c r="GH9" i="4" s="1"/>
  <c r="GJ9" i="4" s="1"/>
  <c r="FT9" i="4"/>
  <c r="FS9" i="4"/>
  <c r="FS33" i="4"/>
  <c r="FV33" i="4"/>
  <c r="GD33" i="4" s="1"/>
  <c r="GH33" i="4" s="1"/>
  <c r="GJ33" i="4" s="1"/>
  <c r="FV32" i="4"/>
  <c r="GD32" i="4" s="1"/>
  <c r="GH32" i="4" s="1"/>
  <c r="GJ32" i="4" s="1"/>
  <c r="FS32" i="4"/>
  <c r="FV13" i="4"/>
  <c r="GD13" i="4" s="1"/>
  <c r="GH13" i="4" s="1"/>
  <c r="GJ13" i="4" s="1"/>
  <c r="FS13" i="4"/>
  <c r="FT13" i="4"/>
  <c r="FV16" i="4"/>
  <c r="GD16" i="4" s="1"/>
  <c r="GH16" i="4" s="1"/>
  <c r="GJ16" i="4" s="1"/>
  <c r="FT16" i="4"/>
  <c r="FS16" i="4"/>
  <c r="FS18" i="4"/>
  <c r="FV18" i="4"/>
  <c r="GD18" i="4" s="1"/>
  <c r="GH18" i="4" s="1"/>
  <c r="GJ18" i="4" s="1"/>
  <c r="FT18" i="4"/>
  <c r="FV6" i="4"/>
  <c r="GD6" i="4" s="1"/>
  <c r="GH6" i="4" s="1"/>
  <c r="GJ6" i="4" s="1"/>
  <c r="FS6" i="4"/>
  <c r="FT6" i="4"/>
  <c r="FV31" i="4"/>
  <c r="GD31" i="4" s="1"/>
  <c r="GH31" i="4" s="1"/>
  <c r="GJ31" i="4" s="1"/>
  <c r="FS31" i="4"/>
  <c r="FV23" i="4"/>
  <c r="GD23" i="4" s="1"/>
  <c r="GH23" i="4" s="1"/>
  <c r="GJ23" i="4" s="1"/>
  <c r="FS23" i="4"/>
  <c r="FV11" i="4"/>
  <c r="GD11" i="4" s="1"/>
  <c r="GH11" i="4" s="1"/>
  <c r="GJ11" i="4" s="1"/>
  <c r="FT11" i="4"/>
  <c r="FS11" i="4"/>
  <c r="FV22" i="4"/>
  <c r="GD22" i="4" s="1"/>
  <c r="GH22" i="4" s="1"/>
  <c r="GJ22" i="4" s="1"/>
  <c r="FS22" i="4"/>
  <c r="FV21" i="4"/>
  <c r="GD21" i="4" s="1"/>
  <c r="GH21" i="4" s="1"/>
  <c r="GJ21" i="4" s="1"/>
  <c r="FT21" i="4"/>
  <c r="FS21" i="4"/>
  <c r="FV24" i="4"/>
  <c r="GD24" i="4" s="1"/>
  <c r="GH24" i="4" s="1"/>
  <c r="GJ24" i="4" s="1"/>
  <c r="FS24" i="4"/>
  <c r="FT28" i="4"/>
  <c r="FS28" i="4"/>
  <c r="FV28" i="4"/>
  <c r="GD28" i="4" s="1"/>
  <c r="GH28" i="4" s="1"/>
  <c r="GJ28" i="4" s="1"/>
  <c r="FT27" i="4"/>
  <c r="FS27" i="4"/>
  <c r="FV27" i="4"/>
  <c r="GD27" i="4" s="1"/>
  <c r="GH27" i="4" s="1"/>
  <c r="GJ27" i="4" s="1"/>
  <c r="FP36" i="4"/>
  <c r="FP45" i="4" s="1"/>
  <c r="FQ4" i="4"/>
  <c r="FR4" i="4" s="1"/>
  <c r="FV25" i="4"/>
  <c r="GD25" i="4" s="1"/>
  <c r="GH25" i="4" s="1"/>
  <c r="GJ25" i="4" s="1"/>
  <c r="FT25" i="4"/>
  <c r="FS25" i="4"/>
  <c r="FT12" i="4"/>
  <c r="FV12" i="4"/>
  <c r="GD12" i="4" s="1"/>
  <c r="GH12" i="4" s="1"/>
  <c r="GJ12" i="4" s="1"/>
  <c r="FS12" i="4"/>
  <c r="FV26" i="4"/>
  <c r="GD26" i="4" s="1"/>
  <c r="GH26" i="4" s="1"/>
  <c r="GJ26" i="4" s="1"/>
  <c r="FS26" i="4"/>
  <c r="FT26" i="4"/>
  <c r="FS20" i="4"/>
  <c r="FV20" i="4"/>
  <c r="GD20" i="4" s="1"/>
  <c r="GH20" i="4" s="1"/>
  <c r="GJ20" i="4" s="1"/>
  <c r="FT20" i="4"/>
  <c r="FV8" i="4"/>
  <c r="GD8" i="4" s="1"/>
  <c r="GH8" i="4" s="1"/>
  <c r="GJ8" i="4" s="1"/>
  <c r="FT8" i="4"/>
  <c r="FS8" i="4"/>
  <c r="FV14" i="4"/>
  <c r="GD14" i="4" s="1"/>
  <c r="GH14" i="4" s="1"/>
  <c r="GJ14" i="4" s="1"/>
  <c r="FT14" i="4"/>
  <c r="FS14" i="4"/>
  <c r="FV17" i="4"/>
  <c r="GD17" i="4" s="1"/>
  <c r="GH17" i="4" s="1"/>
  <c r="GJ17" i="4" s="1"/>
  <c r="FS17" i="4"/>
  <c r="FT17" i="4"/>
  <c r="FV15" i="4"/>
  <c r="GD15" i="4" s="1"/>
  <c r="GH15" i="4" s="1"/>
  <c r="GJ15" i="4" s="1"/>
  <c r="FS15" i="4"/>
  <c r="FT15" i="4"/>
  <c r="FS29" i="4"/>
  <c r="FT29" i="4"/>
  <c r="FV29" i="4"/>
  <c r="GD29" i="4" s="1"/>
  <c r="GH29" i="4" s="1"/>
  <c r="GJ29" i="4" s="1"/>
  <c r="FV7" i="4"/>
  <c r="GD7" i="4" s="1"/>
  <c r="GH7" i="4" s="1"/>
  <c r="GJ7" i="4" s="1"/>
  <c r="FS7" i="4"/>
  <c r="FT7" i="4"/>
  <c r="FV35" i="4"/>
  <c r="GD35" i="4" s="1"/>
  <c r="GH35" i="4" s="1"/>
  <c r="GJ35" i="4" s="1"/>
  <c r="FS35" i="4"/>
  <c r="FV5" i="4"/>
  <c r="GD5" i="4" s="1"/>
  <c r="GH5" i="4" s="1"/>
  <c r="GJ5" i="4" s="1"/>
  <c r="FT5" i="4"/>
  <c r="FS5" i="4"/>
  <c r="FV34" i="4"/>
  <c r="GD34" i="4" s="1"/>
  <c r="GH34" i="4" s="1"/>
  <c r="GJ34" i="4" s="1"/>
  <c r="FS34" i="4"/>
  <c r="FV19" i="4"/>
  <c r="GD19" i="4" s="1"/>
  <c r="GH19" i="4" s="1"/>
  <c r="GJ19" i="4" s="1"/>
  <c r="FT19" i="4"/>
  <c r="FS19" i="4"/>
  <c r="FS30" i="4"/>
  <c r="FT30" i="4"/>
  <c r="FV30" i="4"/>
  <c r="GD30" i="4" s="1"/>
  <c r="GH30" i="4" s="1"/>
  <c r="GJ30" i="4" s="1"/>
  <c r="GL20" i="4" l="1"/>
  <c r="GM20" i="4" s="1"/>
  <c r="GN20" i="4" s="1"/>
  <c r="GO20" i="4" s="1"/>
  <c r="GP20" i="4"/>
  <c r="GL27" i="4"/>
  <c r="GM27" i="4" s="1"/>
  <c r="GN27" i="4" s="1"/>
  <c r="GO27" i="4" s="1"/>
  <c r="GP27" i="4"/>
  <c r="GS27" i="4" s="1"/>
  <c r="GP18" i="4"/>
  <c r="GS18" i="4" s="1"/>
  <c r="GL18" i="4"/>
  <c r="GM18" i="4" s="1"/>
  <c r="GN18" i="4" s="1"/>
  <c r="GO18" i="4" s="1"/>
  <c r="GP10" i="4"/>
  <c r="GQ10" i="4" s="1"/>
  <c r="GL10" i="4"/>
  <c r="GM10" i="4" s="1"/>
  <c r="GN10" i="4" s="1"/>
  <c r="GO10" i="4" s="1"/>
  <c r="GL8" i="4"/>
  <c r="GM8" i="4" s="1"/>
  <c r="GN8" i="4" s="1"/>
  <c r="GO8" i="4" s="1"/>
  <c r="GP8" i="4"/>
  <c r="GS8" i="4" s="1"/>
  <c r="GL12" i="4"/>
  <c r="GM12" i="4" s="1"/>
  <c r="GN12" i="4" s="1"/>
  <c r="GP12" i="4"/>
  <c r="GQ12" i="4" s="1"/>
  <c r="GL23" i="4"/>
  <c r="GM23" i="4" s="1"/>
  <c r="GN23" i="4" s="1"/>
  <c r="GO23" i="4" s="1"/>
  <c r="GP23" i="4"/>
  <c r="GQ23" i="4" s="1"/>
  <c r="GL32" i="4"/>
  <c r="GM32" i="4" s="1"/>
  <c r="GN32" i="4" s="1"/>
  <c r="GP32" i="4"/>
  <c r="GQ32" i="4" s="1"/>
  <c r="GP34" i="4"/>
  <c r="GL34" i="4"/>
  <c r="GM34" i="4" s="1"/>
  <c r="GN34" i="4" s="1"/>
  <c r="GL7" i="4"/>
  <c r="GM7" i="4" s="1"/>
  <c r="GN7" i="4" s="1"/>
  <c r="GO7" i="4" s="1"/>
  <c r="GP7" i="4"/>
  <c r="GL21" i="4"/>
  <c r="GM21" i="4" s="1"/>
  <c r="GN21" i="4" s="1"/>
  <c r="GO21" i="4" s="1"/>
  <c r="GP21" i="4"/>
  <c r="GL33" i="4"/>
  <c r="GM33" i="4" s="1"/>
  <c r="GN33" i="4" s="1"/>
  <c r="GO33" i="4" s="1"/>
  <c r="GP33" i="4"/>
  <c r="GQ33" i="4" s="1"/>
  <c r="GP29" i="4"/>
  <c r="GQ29" i="4" s="1"/>
  <c r="GL29" i="4"/>
  <c r="GM29" i="4" s="1"/>
  <c r="GN29" i="4" s="1"/>
  <c r="GO29" i="4" s="1"/>
  <c r="GL28" i="4"/>
  <c r="GM28" i="4" s="1"/>
  <c r="GN28" i="4" s="1"/>
  <c r="GO28" i="4" s="1"/>
  <c r="GP28" i="4"/>
  <c r="GL17" i="4"/>
  <c r="GM17" i="4" s="1"/>
  <c r="GN17" i="4" s="1"/>
  <c r="GO17" i="4" s="1"/>
  <c r="GP17" i="4"/>
  <c r="GL31" i="4"/>
  <c r="GM31" i="4" s="1"/>
  <c r="GN31" i="4" s="1"/>
  <c r="GO31" i="4" s="1"/>
  <c r="GP31" i="4"/>
  <c r="GQ31" i="4" s="1"/>
  <c r="GL22" i="4"/>
  <c r="GM22" i="4" s="1"/>
  <c r="GN22" i="4" s="1"/>
  <c r="GO22" i="4" s="1"/>
  <c r="GP22" i="4"/>
  <c r="GL16" i="4"/>
  <c r="GM16" i="4" s="1"/>
  <c r="GN16" i="4" s="1"/>
  <c r="GO16" i="4" s="1"/>
  <c r="GP16" i="4"/>
  <c r="GQ16" i="4" s="1"/>
  <c r="GP5" i="4"/>
  <c r="GL5" i="4"/>
  <c r="GM5" i="4" s="1"/>
  <c r="GN5" i="4" s="1"/>
  <c r="GO5" i="4" s="1"/>
  <c r="GL25" i="4"/>
  <c r="GM25" i="4" s="1"/>
  <c r="GN25" i="4" s="1"/>
  <c r="GP25" i="4"/>
  <c r="GQ25" i="4" s="1"/>
  <c r="GP14" i="4"/>
  <c r="GQ14" i="4" s="1"/>
  <c r="GL14" i="4"/>
  <c r="GM14" i="4" s="1"/>
  <c r="GN14" i="4" s="1"/>
  <c r="GO14" i="4" s="1"/>
  <c r="GP6" i="4"/>
  <c r="GS6" i="4" s="1"/>
  <c r="GL6" i="4"/>
  <c r="GM6" i="4" s="1"/>
  <c r="GN6" i="4" s="1"/>
  <c r="GO6" i="4" s="1"/>
  <c r="GP9" i="4"/>
  <c r="GL9" i="4"/>
  <c r="GM9" i="4" s="1"/>
  <c r="GN9" i="4" s="1"/>
  <c r="GO9" i="4" s="1"/>
  <c r="GL30" i="4"/>
  <c r="GM30" i="4" s="1"/>
  <c r="GN30" i="4" s="1"/>
  <c r="GO30" i="4" s="1"/>
  <c r="GP30" i="4"/>
  <c r="GQ30" i="4" s="1"/>
  <c r="GL35" i="4"/>
  <c r="GM35" i="4" s="1"/>
  <c r="GN35" i="4" s="1"/>
  <c r="GO35" i="4" s="1"/>
  <c r="GP35" i="4"/>
  <c r="GQ35" i="4" s="1"/>
  <c r="GL26" i="4"/>
  <c r="GM26" i="4" s="1"/>
  <c r="GN26" i="4" s="1"/>
  <c r="GO26" i="4" s="1"/>
  <c r="GP26" i="4"/>
  <c r="GQ26" i="4" s="1"/>
  <c r="GL24" i="4"/>
  <c r="GM24" i="4" s="1"/>
  <c r="GN24" i="4" s="1"/>
  <c r="GO24" i="4" s="1"/>
  <c r="GP24" i="4"/>
  <c r="GL11" i="4"/>
  <c r="GM11" i="4" s="1"/>
  <c r="GN11" i="4" s="1"/>
  <c r="GO11" i="4" s="1"/>
  <c r="GP11" i="4"/>
  <c r="GL13" i="4"/>
  <c r="GM13" i="4" s="1"/>
  <c r="GN13" i="4" s="1"/>
  <c r="GO13" i="4" s="1"/>
  <c r="GP13" i="4"/>
  <c r="GQ13" i="4" s="1"/>
  <c r="GL15" i="4"/>
  <c r="GM15" i="4" s="1"/>
  <c r="GN15" i="4" s="1"/>
  <c r="GO15" i="4" s="1"/>
  <c r="GP15" i="4"/>
  <c r="GL19" i="4"/>
  <c r="GM19" i="4" s="1"/>
  <c r="GN19" i="4" s="1"/>
  <c r="GO19" i="4" s="1"/>
  <c r="GP19" i="4"/>
  <c r="FR36" i="4"/>
  <c r="FV4" i="4"/>
  <c r="FT4" i="4"/>
  <c r="FS4" i="4"/>
  <c r="FS36" i="4" s="1"/>
  <c r="GS33" i="4" l="1"/>
  <c r="GS29" i="4"/>
  <c r="GS14" i="4"/>
  <c r="GS31" i="4"/>
  <c r="GS26" i="4"/>
  <c r="GS35" i="4"/>
  <c r="GS16" i="4"/>
  <c r="GQ8" i="4"/>
  <c r="GR8" i="4" s="1"/>
  <c r="GS10" i="4"/>
  <c r="GS23" i="4"/>
  <c r="GS30" i="4"/>
  <c r="GQ27" i="4"/>
  <c r="GR27" i="4" s="1"/>
  <c r="GR13" i="4"/>
  <c r="GR32" i="4"/>
  <c r="GO32" i="4"/>
  <c r="GS32" i="4" s="1"/>
  <c r="GR12" i="4"/>
  <c r="GO12" i="4"/>
  <c r="GS12" i="4" s="1"/>
  <c r="GO25" i="4"/>
  <c r="GS25" i="4" s="1"/>
  <c r="GR25" i="4"/>
  <c r="GR23" i="4"/>
  <c r="GS13" i="4"/>
  <c r="GS9" i="4"/>
  <c r="GQ9" i="4"/>
  <c r="GR9" i="4" s="1"/>
  <c r="GR31" i="4"/>
  <c r="GR29" i="4"/>
  <c r="GR10" i="4"/>
  <c r="GQ19" i="4"/>
  <c r="GR19" i="4" s="1"/>
  <c r="GS19" i="4"/>
  <c r="GS11" i="4"/>
  <c r="GQ11" i="4"/>
  <c r="GR11" i="4" s="1"/>
  <c r="GR35" i="4"/>
  <c r="GQ6" i="4"/>
  <c r="GR6" i="4" s="1"/>
  <c r="GS5" i="4"/>
  <c r="GQ5" i="4"/>
  <c r="GR5" i="4" s="1"/>
  <c r="GO34" i="4"/>
  <c r="GS34" i="4" s="1"/>
  <c r="GQ18" i="4"/>
  <c r="GR18" i="4" s="1"/>
  <c r="GS17" i="4"/>
  <c r="GQ17" i="4"/>
  <c r="GR17" i="4" s="1"/>
  <c r="GR33" i="4"/>
  <c r="GQ34" i="4"/>
  <c r="GR34" i="4" s="1"/>
  <c r="GR16" i="4"/>
  <c r="GS24" i="4"/>
  <c r="GQ24" i="4"/>
  <c r="GR24" i="4" s="1"/>
  <c r="GR30" i="4"/>
  <c r="GR14" i="4"/>
  <c r="GS21" i="4"/>
  <c r="GQ21" i="4"/>
  <c r="GR21" i="4" s="1"/>
  <c r="GS15" i="4"/>
  <c r="GQ15" i="4"/>
  <c r="GR15" i="4" s="1"/>
  <c r="GQ22" i="4"/>
  <c r="GR22" i="4" s="1"/>
  <c r="GS22" i="4"/>
  <c r="GQ28" i="4"/>
  <c r="GR28" i="4" s="1"/>
  <c r="GS28" i="4"/>
  <c r="GR26" i="4"/>
  <c r="GS7" i="4"/>
  <c r="GQ7" i="4"/>
  <c r="GR7" i="4" s="1"/>
  <c r="GS20" i="4"/>
  <c r="GQ20" i="4"/>
  <c r="GR20" i="4" s="1"/>
  <c r="FV36" i="4"/>
  <c r="GD4" i="4"/>
  <c r="FR45" i="4"/>
  <c r="FT36" i="4"/>
  <c r="GD36" i="4" l="1"/>
  <c r="GD45" i="4" s="1"/>
  <c r="GH4" i="4"/>
  <c r="GH36" i="4" l="1"/>
  <c r="GH45" i="4" s="1"/>
  <c r="GJ4" i="4"/>
  <c r="GJ36" i="4" l="1"/>
  <c r="GP4" i="4"/>
  <c r="GS4" i="4" s="1"/>
  <c r="GS36" i="4" s="1"/>
  <c r="GL4" i="4"/>
  <c r="GL36" i="4" l="1"/>
  <c r="GM4" i="4"/>
  <c r="GM36" i="4" l="1"/>
  <c r="GN4" i="4"/>
  <c r="GO4" i="4" l="1"/>
  <c r="GQ4" i="4" s="1"/>
  <c r="GQ36" i="4" s="1"/>
  <c r="GQ45" i="4" s="1"/>
  <c r="GM45" i="4"/>
  <c r="GR4" i="4" l="1"/>
  <c r="GR41" i="4"/>
  <c r="GT30" i="4" l="1"/>
  <c r="GU30" i="4" s="1"/>
  <c r="GV30" i="4" s="1"/>
  <c r="GT7" i="4"/>
  <c r="GU7" i="4" s="1"/>
  <c r="GV7" i="4" s="1"/>
  <c r="GR45" i="4"/>
  <c r="GT11" i="4"/>
  <c r="GU11" i="4" s="1"/>
  <c r="GV11" i="4" s="1"/>
  <c r="GT5" i="4"/>
  <c r="GU5" i="4" s="1"/>
  <c r="GV5" i="4" s="1"/>
  <c r="GT22" i="4"/>
  <c r="GU22" i="4" s="1"/>
  <c r="GV22" i="4" s="1"/>
  <c r="GT32" i="4"/>
  <c r="GU32" i="4" s="1"/>
  <c r="GV32" i="4" s="1"/>
  <c r="GT34" i="4"/>
  <c r="GU34" i="4" s="1"/>
  <c r="GV34" i="4" s="1"/>
  <c r="GT12" i="4"/>
  <c r="GU12" i="4" s="1"/>
  <c r="GV12" i="4" s="1"/>
  <c r="GT13" i="4"/>
  <c r="GU13" i="4" s="1"/>
  <c r="GV13" i="4" s="1"/>
  <c r="GT26" i="4"/>
  <c r="GU26" i="4" s="1"/>
  <c r="GV26" i="4" s="1"/>
  <c r="GT23" i="4"/>
  <c r="GU23" i="4" s="1"/>
  <c r="GV23" i="4" s="1"/>
  <c r="GT33" i="4"/>
  <c r="GU33" i="4" s="1"/>
  <c r="GV33" i="4" s="1"/>
  <c r="GT15" i="4"/>
  <c r="GU15" i="4" s="1"/>
  <c r="GV15" i="4" s="1"/>
  <c r="GT19" i="4"/>
  <c r="GU19" i="4" s="1"/>
  <c r="GV19" i="4" s="1"/>
  <c r="GT14" i="4"/>
  <c r="GU14" i="4" s="1"/>
  <c r="GV14" i="4" s="1"/>
  <c r="GT24" i="4"/>
  <c r="GU24" i="4" s="1"/>
  <c r="GV24" i="4" s="1"/>
  <c r="GT28" i="4"/>
  <c r="GU28" i="4" s="1"/>
  <c r="GV28" i="4" s="1"/>
  <c r="GT20" i="4"/>
  <c r="GU20" i="4" s="1"/>
  <c r="GV20" i="4" s="1"/>
  <c r="GT6" i="4"/>
  <c r="GU6" i="4" s="1"/>
  <c r="GV6" i="4" s="1"/>
  <c r="GT16" i="4"/>
  <c r="GU16" i="4" s="1"/>
  <c r="GV16" i="4" s="1"/>
  <c r="GT18" i="4"/>
  <c r="GU18" i="4" s="1"/>
  <c r="GV18" i="4" s="1"/>
  <c r="GT9" i="4"/>
  <c r="GU9" i="4" s="1"/>
  <c r="GV9" i="4" s="1"/>
  <c r="GT4" i="4"/>
  <c r="GU4" i="4" s="1"/>
  <c r="GV4" i="4" s="1"/>
  <c r="GT25" i="4"/>
  <c r="GU25" i="4" s="1"/>
  <c r="GV25" i="4" s="1"/>
  <c r="GT17" i="4"/>
  <c r="GU17" i="4" s="1"/>
  <c r="GV17" i="4" s="1"/>
  <c r="GT8" i="4"/>
  <c r="GU8" i="4" s="1"/>
  <c r="GV8" i="4" s="1"/>
  <c r="GT10" i="4"/>
  <c r="GU10" i="4" s="1"/>
  <c r="GV10" i="4" s="1"/>
  <c r="GT29" i="4"/>
  <c r="GU29" i="4" s="1"/>
  <c r="GV29" i="4" s="1"/>
  <c r="GT31" i="4"/>
  <c r="GU31" i="4" s="1"/>
  <c r="GV31" i="4" s="1"/>
  <c r="GT35" i="4"/>
  <c r="GU35" i="4" s="1"/>
  <c r="GV35" i="4" s="1"/>
  <c r="GT21" i="4"/>
  <c r="GU21" i="4" s="1"/>
  <c r="GV21" i="4" s="1"/>
  <c r="GT27" i="4"/>
  <c r="GU27" i="4" s="1"/>
  <c r="GV27" i="4" s="1"/>
  <c r="GS45" i="4"/>
  <c r="GX9" i="4" l="1"/>
  <c r="GZ9" i="4"/>
  <c r="HH9" i="4" s="1"/>
  <c r="HL9" i="4" s="1"/>
  <c r="HN9" i="4" s="1"/>
  <c r="GW9" i="4"/>
  <c r="GX10" i="4"/>
  <c r="GZ10" i="4"/>
  <c r="HH10" i="4" s="1"/>
  <c r="HL10" i="4" s="1"/>
  <c r="HN10" i="4" s="1"/>
  <c r="GW10" i="4"/>
  <c r="GZ23" i="4"/>
  <c r="HH23" i="4" s="1"/>
  <c r="HL23" i="4" s="1"/>
  <c r="HN23" i="4" s="1"/>
  <c r="GW23" i="4"/>
  <c r="GZ4" i="4"/>
  <c r="GW4" i="4"/>
  <c r="GV36" i="4"/>
  <c r="GX21" i="4"/>
  <c r="GZ21" i="4"/>
  <c r="HH21" i="4" s="1"/>
  <c r="HL21" i="4" s="1"/>
  <c r="HN21" i="4" s="1"/>
  <c r="GW21" i="4"/>
  <c r="GT36" i="4"/>
  <c r="GT45" i="4" s="1"/>
  <c r="GX14" i="4"/>
  <c r="GZ14" i="4"/>
  <c r="HH14" i="4" s="1"/>
  <c r="HL14" i="4" s="1"/>
  <c r="HN14" i="4" s="1"/>
  <c r="GW14" i="4"/>
  <c r="GZ34" i="4"/>
  <c r="HH34" i="4" s="1"/>
  <c r="HL34" i="4" s="1"/>
  <c r="HN34" i="4" s="1"/>
  <c r="GW34" i="4"/>
  <c r="GZ19" i="4"/>
  <c r="HH19" i="4" s="1"/>
  <c r="HL19" i="4" s="1"/>
  <c r="HN19" i="4" s="1"/>
  <c r="GX19" i="4"/>
  <c r="GW19" i="4"/>
  <c r="GZ18" i="4"/>
  <c r="HH18" i="4" s="1"/>
  <c r="HL18" i="4" s="1"/>
  <c r="HN18" i="4" s="1"/>
  <c r="GW18" i="4"/>
  <c r="GX18" i="4"/>
  <c r="GZ15" i="4"/>
  <c r="HH15" i="4" s="1"/>
  <c r="HL15" i="4" s="1"/>
  <c r="HN15" i="4" s="1"/>
  <c r="GW15" i="4"/>
  <c r="GX15" i="4"/>
  <c r="GZ22" i="4"/>
  <c r="HH22" i="4" s="1"/>
  <c r="HL22" i="4" s="1"/>
  <c r="HN22" i="4" s="1"/>
  <c r="GW22" i="4"/>
  <c r="GZ32" i="4"/>
  <c r="HH32" i="4" s="1"/>
  <c r="HL32" i="4" s="1"/>
  <c r="HN32" i="4" s="1"/>
  <c r="GW32" i="4"/>
  <c r="GZ29" i="4"/>
  <c r="HH29" i="4" s="1"/>
  <c r="HL29" i="4" s="1"/>
  <c r="HN29" i="4" s="1"/>
  <c r="GX29" i="4"/>
  <c r="GW29" i="4"/>
  <c r="GZ16" i="4"/>
  <c r="HH16" i="4" s="1"/>
  <c r="HL16" i="4" s="1"/>
  <c r="HN16" i="4" s="1"/>
  <c r="GX16" i="4"/>
  <c r="GW16" i="4"/>
  <c r="GW33" i="4"/>
  <c r="GZ33" i="4"/>
  <c r="HH33" i="4" s="1"/>
  <c r="HL33" i="4" s="1"/>
  <c r="HN33" i="4" s="1"/>
  <c r="GX5" i="4"/>
  <c r="GW5" i="4"/>
  <c r="GZ5" i="4"/>
  <c r="HH5" i="4" s="1"/>
  <c r="HL5" i="4" s="1"/>
  <c r="HN5" i="4" s="1"/>
  <c r="GZ35" i="4"/>
  <c r="HH35" i="4" s="1"/>
  <c r="HL35" i="4" s="1"/>
  <c r="HN35" i="4" s="1"/>
  <c r="GW35" i="4"/>
  <c r="GZ6" i="4"/>
  <c r="HH6" i="4" s="1"/>
  <c r="HL6" i="4" s="1"/>
  <c r="HN6" i="4" s="1"/>
  <c r="GX6" i="4"/>
  <c r="GW6" i="4"/>
  <c r="GZ8" i="4"/>
  <c r="HH8" i="4" s="1"/>
  <c r="HL8" i="4" s="1"/>
  <c r="HN8" i="4" s="1"/>
  <c r="GW8" i="4"/>
  <c r="GX8" i="4"/>
  <c r="GZ20" i="4"/>
  <c r="HH20" i="4" s="1"/>
  <c r="HL20" i="4" s="1"/>
  <c r="HN20" i="4" s="1"/>
  <c r="GW20" i="4"/>
  <c r="GX20" i="4"/>
  <c r="GZ26" i="4"/>
  <c r="HH26" i="4" s="1"/>
  <c r="HL26" i="4" s="1"/>
  <c r="HN26" i="4" s="1"/>
  <c r="GW26" i="4"/>
  <c r="GX26" i="4"/>
  <c r="GZ31" i="4"/>
  <c r="HH31" i="4" s="1"/>
  <c r="HL31" i="4" s="1"/>
  <c r="HN31" i="4" s="1"/>
  <c r="GW31" i="4"/>
  <c r="GZ11" i="4"/>
  <c r="HH11" i="4" s="1"/>
  <c r="HL11" i="4" s="1"/>
  <c r="HN11" i="4" s="1"/>
  <c r="GX11" i="4"/>
  <c r="GW11" i="4"/>
  <c r="GX17" i="4"/>
  <c r="GZ17" i="4"/>
  <c r="HH17" i="4" s="1"/>
  <c r="HL17" i="4" s="1"/>
  <c r="HN17" i="4" s="1"/>
  <c r="GW17" i="4"/>
  <c r="GZ28" i="4"/>
  <c r="HH28" i="4" s="1"/>
  <c r="HL28" i="4" s="1"/>
  <c r="HN28" i="4" s="1"/>
  <c r="GX28" i="4"/>
  <c r="GW28" i="4"/>
  <c r="GZ13" i="4"/>
  <c r="HH13" i="4" s="1"/>
  <c r="HL13" i="4" s="1"/>
  <c r="HN13" i="4" s="1"/>
  <c r="GW13" i="4"/>
  <c r="GX13" i="4"/>
  <c r="GW7" i="4"/>
  <c r="GZ7" i="4"/>
  <c r="HH7" i="4" s="1"/>
  <c r="HL7" i="4" s="1"/>
  <c r="HN7" i="4" s="1"/>
  <c r="GX7" i="4"/>
  <c r="GZ27" i="4"/>
  <c r="HH27" i="4" s="1"/>
  <c r="HL27" i="4" s="1"/>
  <c r="HN27" i="4" s="1"/>
  <c r="GX27" i="4"/>
  <c r="GW27" i="4"/>
  <c r="GW25" i="4"/>
  <c r="GZ25" i="4"/>
  <c r="HH25" i="4" s="1"/>
  <c r="HL25" i="4" s="1"/>
  <c r="HN25" i="4" s="1"/>
  <c r="GX25" i="4"/>
  <c r="GW24" i="4"/>
  <c r="GZ24" i="4"/>
  <c r="HH24" i="4" s="1"/>
  <c r="HL24" i="4" s="1"/>
  <c r="HN24" i="4" s="1"/>
  <c r="GW12" i="4"/>
  <c r="GZ12" i="4"/>
  <c r="HH12" i="4" s="1"/>
  <c r="HL12" i="4" s="1"/>
  <c r="HN12" i="4" s="1"/>
  <c r="GX12" i="4"/>
  <c r="GZ30" i="4"/>
  <c r="HH30" i="4" s="1"/>
  <c r="HL30" i="4" s="1"/>
  <c r="HN30" i="4" s="1"/>
  <c r="GX30" i="4"/>
  <c r="GW30" i="4"/>
  <c r="HP6" i="4" l="1"/>
  <c r="HQ6" i="4" s="1"/>
  <c r="HR6" i="4" s="1"/>
  <c r="HS6" i="4" s="1"/>
  <c r="HT6" i="4"/>
  <c r="HW6" i="4" s="1"/>
  <c r="HT20" i="4"/>
  <c r="HU20" i="4" s="1"/>
  <c r="HP20" i="4"/>
  <c r="HQ20" i="4" s="1"/>
  <c r="HR20" i="4" s="1"/>
  <c r="HS20" i="4" s="1"/>
  <c r="HP25" i="4"/>
  <c r="HQ25" i="4" s="1"/>
  <c r="HR25" i="4" s="1"/>
  <c r="HS25" i="4" s="1"/>
  <c r="HT25" i="4"/>
  <c r="HU25" i="4" s="1"/>
  <c r="HT26" i="4"/>
  <c r="HP26" i="4"/>
  <c r="HQ26" i="4" s="1"/>
  <c r="HR26" i="4" s="1"/>
  <c r="HS26" i="4" s="1"/>
  <c r="HT32" i="4"/>
  <c r="HU32" i="4" s="1"/>
  <c r="HP32" i="4"/>
  <c r="HQ32" i="4" s="1"/>
  <c r="HR32" i="4" s="1"/>
  <c r="HS32" i="4" s="1"/>
  <c r="HT18" i="4"/>
  <c r="HW18" i="4" s="1"/>
  <c r="HP18" i="4"/>
  <c r="HQ18" i="4" s="1"/>
  <c r="HR18" i="4" s="1"/>
  <c r="HS18" i="4" s="1"/>
  <c r="HP22" i="4"/>
  <c r="HQ22" i="4" s="1"/>
  <c r="HR22" i="4" s="1"/>
  <c r="HS22" i="4" s="1"/>
  <c r="HT22" i="4"/>
  <c r="HP35" i="4"/>
  <c r="HQ35" i="4" s="1"/>
  <c r="HR35" i="4" s="1"/>
  <c r="HS35" i="4" s="1"/>
  <c r="HT35" i="4"/>
  <c r="HP16" i="4"/>
  <c r="HQ16" i="4" s="1"/>
  <c r="HR16" i="4" s="1"/>
  <c r="HS16" i="4" s="1"/>
  <c r="HT16" i="4"/>
  <c r="HU16" i="4" s="1"/>
  <c r="HP19" i="4"/>
  <c r="HQ19" i="4" s="1"/>
  <c r="HR19" i="4" s="1"/>
  <c r="HS19" i="4" s="1"/>
  <c r="HT19" i="4"/>
  <c r="HW19" i="4" s="1"/>
  <c r="HP21" i="4"/>
  <c r="HQ21" i="4" s="1"/>
  <c r="HR21" i="4" s="1"/>
  <c r="HS21" i="4" s="1"/>
  <c r="HT21" i="4"/>
  <c r="HU21" i="4" s="1"/>
  <c r="HP10" i="4"/>
  <c r="HQ10" i="4" s="1"/>
  <c r="HR10" i="4" s="1"/>
  <c r="HS10" i="4" s="1"/>
  <c r="HT10" i="4"/>
  <c r="HU10" i="4" s="1"/>
  <c r="HP27" i="4"/>
  <c r="HQ27" i="4" s="1"/>
  <c r="HR27" i="4" s="1"/>
  <c r="HS27" i="4" s="1"/>
  <c r="HT27" i="4"/>
  <c r="HW27" i="4" s="1"/>
  <c r="HP5" i="4"/>
  <c r="HQ5" i="4" s="1"/>
  <c r="HR5" i="4" s="1"/>
  <c r="HS5" i="4" s="1"/>
  <c r="HT5" i="4"/>
  <c r="HP30" i="4"/>
  <c r="HQ30" i="4" s="1"/>
  <c r="HR30" i="4" s="1"/>
  <c r="HS30" i="4" s="1"/>
  <c r="HT30" i="4"/>
  <c r="HU30" i="4" s="1"/>
  <c r="HP13" i="4"/>
  <c r="HQ13" i="4" s="1"/>
  <c r="HR13" i="4" s="1"/>
  <c r="HS13" i="4" s="1"/>
  <c r="HT13" i="4"/>
  <c r="HT24" i="4"/>
  <c r="HU24" i="4" s="1"/>
  <c r="HP24" i="4"/>
  <c r="HQ24" i="4" s="1"/>
  <c r="HR24" i="4" s="1"/>
  <c r="HS24" i="4" s="1"/>
  <c r="HP15" i="4"/>
  <c r="HQ15" i="4" s="1"/>
  <c r="HR15" i="4" s="1"/>
  <c r="HS15" i="4" s="1"/>
  <c r="HT15" i="4"/>
  <c r="HW15" i="4" s="1"/>
  <c r="HP34" i="4"/>
  <c r="HQ34" i="4" s="1"/>
  <c r="HR34" i="4" s="1"/>
  <c r="HS34" i="4" s="1"/>
  <c r="HT34" i="4"/>
  <c r="HU34" i="4" s="1"/>
  <c r="GX36" i="4"/>
  <c r="GV45" i="4"/>
  <c r="HP23" i="4"/>
  <c r="HQ23" i="4" s="1"/>
  <c r="HR23" i="4" s="1"/>
  <c r="HT23" i="4"/>
  <c r="HU23" i="4" s="1"/>
  <c r="HT12" i="4"/>
  <c r="HU12" i="4" s="1"/>
  <c r="HP12" i="4"/>
  <c r="HQ12" i="4" s="1"/>
  <c r="HR12" i="4" s="1"/>
  <c r="HS12" i="4" s="1"/>
  <c r="HP28" i="4"/>
  <c r="HQ28" i="4" s="1"/>
  <c r="HR28" i="4" s="1"/>
  <c r="HT28" i="4"/>
  <c r="HU28" i="4" s="1"/>
  <c r="HT7" i="4"/>
  <c r="HP7" i="4"/>
  <c r="HQ7" i="4" s="1"/>
  <c r="HR7" i="4" s="1"/>
  <c r="HS7" i="4" s="1"/>
  <c r="HT29" i="4"/>
  <c r="HP29" i="4"/>
  <c r="HQ29" i="4" s="1"/>
  <c r="HR29" i="4" s="1"/>
  <c r="HS29" i="4" s="1"/>
  <c r="GW36" i="4"/>
  <c r="HP9" i="4"/>
  <c r="HQ9" i="4" s="1"/>
  <c r="HR9" i="4" s="1"/>
  <c r="HS9" i="4" s="1"/>
  <c r="HT9" i="4"/>
  <c r="HP11" i="4"/>
  <c r="HQ11" i="4" s="1"/>
  <c r="HR11" i="4" s="1"/>
  <c r="HS11" i="4" s="1"/>
  <c r="HT11" i="4"/>
  <c r="HU11" i="4" s="1"/>
  <c r="HP31" i="4"/>
  <c r="HQ31" i="4" s="1"/>
  <c r="HR31" i="4" s="1"/>
  <c r="HS31" i="4" s="1"/>
  <c r="HT31" i="4"/>
  <c r="HU31" i="4" s="1"/>
  <c r="HT8" i="4"/>
  <c r="HU8" i="4" s="1"/>
  <c r="HP8" i="4"/>
  <c r="HQ8" i="4" s="1"/>
  <c r="HR8" i="4" s="1"/>
  <c r="HS8" i="4" s="1"/>
  <c r="HP17" i="4"/>
  <c r="HQ17" i="4" s="1"/>
  <c r="HR17" i="4" s="1"/>
  <c r="HS17" i="4" s="1"/>
  <c r="HT17" i="4"/>
  <c r="HP33" i="4"/>
  <c r="HQ33" i="4" s="1"/>
  <c r="HR33" i="4" s="1"/>
  <c r="HS33" i="4" s="1"/>
  <c r="HT33" i="4"/>
  <c r="HT14" i="4"/>
  <c r="HU14" i="4" s="1"/>
  <c r="HP14" i="4"/>
  <c r="HQ14" i="4" s="1"/>
  <c r="HR14" i="4" s="1"/>
  <c r="HS14" i="4" s="1"/>
  <c r="HH4" i="4"/>
  <c r="GZ36" i="4"/>
  <c r="HU22" i="4" l="1"/>
  <c r="HV22" i="4" s="1"/>
  <c r="HU29" i="4"/>
  <c r="HV29" i="4" s="1"/>
  <c r="HU18" i="4"/>
  <c r="HV18" i="4" s="1"/>
  <c r="HW20" i="4"/>
  <c r="HW12" i="4"/>
  <c r="HW11" i="4"/>
  <c r="HV16" i="4"/>
  <c r="HW32" i="4"/>
  <c r="HW8" i="4"/>
  <c r="HW14" i="4"/>
  <c r="HU19" i="4"/>
  <c r="HV19" i="4" s="1"/>
  <c r="HW31" i="4"/>
  <c r="HW35" i="4"/>
  <c r="HW24" i="4"/>
  <c r="HV30" i="4"/>
  <c r="HV10" i="4"/>
  <c r="HW25" i="4"/>
  <c r="HU27" i="4"/>
  <c r="HV27" i="4" s="1"/>
  <c r="HW34" i="4"/>
  <c r="HV21" i="4"/>
  <c r="HU35" i="4"/>
  <c r="HV35" i="4" s="1"/>
  <c r="HS28" i="4"/>
  <c r="HW28" i="4" s="1"/>
  <c r="HV28" i="4"/>
  <c r="HW7" i="4"/>
  <c r="HU7" i="4"/>
  <c r="HV7" i="4" s="1"/>
  <c r="HV14" i="4"/>
  <c r="HV34" i="4"/>
  <c r="HW26" i="4"/>
  <c r="HU26" i="4"/>
  <c r="HV26" i="4" s="1"/>
  <c r="HU33" i="4"/>
  <c r="HV33" i="4" s="1"/>
  <c r="HW33" i="4"/>
  <c r="HW29" i="4"/>
  <c r="HV12" i="4"/>
  <c r="HW22" i="4"/>
  <c r="HV25" i="4"/>
  <c r="HV31" i="4"/>
  <c r="HW17" i="4"/>
  <c r="HU17" i="4"/>
  <c r="HV17" i="4" s="1"/>
  <c r="HU15" i="4"/>
  <c r="HV15" i="4" s="1"/>
  <c r="HW30" i="4"/>
  <c r="HV23" i="4"/>
  <c r="HS23" i="4"/>
  <c r="HW23" i="4" s="1"/>
  <c r="HW10" i="4"/>
  <c r="HW16" i="4"/>
  <c r="HV20" i="4"/>
  <c r="HV11" i="4"/>
  <c r="HW5" i="4"/>
  <c r="HU5" i="4"/>
  <c r="HV5" i="4" s="1"/>
  <c r="HW13" i="4"/>
  <c r="HU13" i="4"/>
  <c r="HV13" i="4" s="1"/>
  <c r="HH36" i="4"/>
  <c r="HH45" i="4" s="1"/>
  <c r="HL4" i="4"/>
  <c r="HV8" i="4"/>
  <c r="HW9" i="4"/>
  <c r="HU9" i="4"/>
  <c r="HV9" i="4" s="1"/>
  <c r="HV24" i="4"/>
  <c r="HW21" i="4"/>
  <c r="HV32" i="4"/>
  <c r="HU6" i="4"/>
  <c r="HV6" i="4" s="1"/>
  <c r="HN4" i="4" l="1"/>
  <c r="HL36" i="4"/>
  <c r="HL45" i="4" s="1"/>
  <c r="HN36" i="4" l="1"/>
  <c r="HT4" i="4"/>
  <c r="HW4" i="4" s="1"/>
  <c r="HW36" i="4" s="1"/>
  <c r="HP4" i="4"/>
  <c r="HP36" i="4" l="1"/>
  <c r="HQ4" i="4"/>
  <c r="HQ36" i="4" l="1"/>
  <c r="HR4" i="4"/>
  <c r="HQ45" i="4" l="1"/>
  <c r="HS4" i="4"/>
  <c r="HU4" i="4" s="1"/>
  <c r="HU36" i="4" s="1"/>
  <c r="HU45" i="4" s="1"/>
  <c r="HV4" i="4" l="1"/>
  <c r="HV41" i="4"/>
  <c r="HX6" i="4" l="1"/>
  <c r="HY6" i="4" s="1"/>
  <c r="HZ6" i="4" s="1"/>
  <c r="HX8" i="4"/>
  <c r="HY8" i="4" s="1"/>
  <c r="HZ8" i="4" s="1"/>
  <c r="HX34" i="4"/>
  <c r="HY34" i="4" s="1"/>
  <c r="HZ34" i="4" s="1"/>
  <c r="HX29" i="4"/>
  <c r="HY29" i="4" s="1"/>
  <c r="HZ29" i="4" s="1"/>
  <c r="HX31" i="4"/>
  <c r="HY31" i="4" s="1"/>
  <c r="HZ31" i="4" s="1"/>
  <c r="HX28" i="4"/>
  <c r="HY28" i="4" s="1"/>
  <c r="HZ28" i="4" s="1"/>
  <c r="HX26" i="4"/>
  <c r="HY26" i="4" s="1"/>
  <c r="HZ26" i="4" s="1"/>
  <c r="HX21" i="4"/>
  <c r="HY21" i="4" s="1"/>
  <c r="HZ21" i="4" s="1"/>
  <c r="HX24" i="4"/>
  <c r="HY24" i="4" s="1"/>
  <c r="HZ24" i="4" s="1"/>
  <c r="HX9" i="4"/>
  <c r="HY9" i="4" s="1"/>
  <c r="HZ9" i="4" s="1"/>
  <c r="HX16" i="4"/>
  <c r="HY16" i="4" s="1"/>
  <c r="HZ16" i="4" s="1"/>
  <c r="HX23" i="4"/>
  <c r="HY23" i="4" s="1"/>
  <c r="HZ23" i="4" s="1"/>
  <c r="HX18" i="4"/>
  <c r="HY18" i="4" s="1"/>
  <c r="HZ18" i="4" s="1"/>
  <c r="HX13" i="4"/>
  <c r="HY13" i="4" s="1"/>
  <c r="HZ13" i="4" s="1"/>
  <c r="HX14" i="4"/>
  <c r="HY14" i="4" s="1"/>
  <c r="HZ14" i="4" s="1"/>
  <c r="HX15" i="4"/>
  <c r="HY15" i="4" s="1"/>
  <c r="HZ15" i="4" s="1"/>
  <c r="HX33" i="4"/>
  <c r="HY33" i="4" s="1"/>
  <c r="HZ33" i="4" s="1"/>
  <c r="HX10" i="4"/>
  <c r="HY10" i="4" s="1"/>
  <c r="HZ10" i="4" s="1"/>
  <c r="HX5" i="4"/>
  <c r="HY5" i="4" s="1"/>
  <c r="HZ5" i="4" s="1"/>
  <c r="HX11" i="4"/>
  <c r="HY11" i="4" s="1"/>
  <c r="HZ11" i="4" s="1"/>
  <c r="HX7" i="4"/>
  <c r="HY7" i="4" s="1"/>
  <c r="HZ7" i="4" s="1"/>
  <c r="HX25" i="4"/>
  <c r="HY25" i="4" s="1"/>
  <c r="HZ25" i="4" s="1"/>
  <c r="HX35" i="4"/>
  <c r="HY35" i="4" s="1"/>
  <c r="HZ35" i="4" s="1"/>
  <c r="HX20" i="4"/>
  <c r="HY20" i="4" s="1"/>
  <c r="HZ20" i="4" s="1"/>
  <c r="HX30" i="4"/>
  <c r="HY30" i="4" s="1"/>
  <c r="HZ30" i="4" s="1"/>
  <c r="HX32" i="4"/>
  <c r="HY32" i="4" s="1"/>
  <c r="HZ32" i="4" s="1"/>
  <c r="HX17" i="4"/>
  <c r="HY17" i="4" s="1"/>
  <c r="HZ17" i="4" s="1"/>
  <c r="HX27" i="4"/>
  <c r="HY27" i="4" s="1"/>
  <c r="HZ27" i="4" s="1"/>
  <c r="HX12" i="4"/>
  <c r="HY12" i="4" s="1"/>
  <c r="HZ12" i="4" s="1"/>
  <c r="HX22" i="4"/>
  <c r="HY22" i="4" s="1"/>
  <c r="HZ22" i="4" s="1"/>
  <c r="IB22" i="4" s="1"/>
  <c r="HX19" i="4"/>
  <c r="HY19" i="4" s="1"/>
  <c r="HZ19" i="4" s="1"/>
  <c r="HX4" i="4"/>
  <c r="HV45" i="4"/>
  <c r="HW45" i="4"/>
  <c r="ID23" i="4" l="1"/>
  <c r="IL23" i="4" s="1"/>
  <c r="IA23" i="4"/>
  <c r="ID35" i="4"/>
  <c r="IL35" i="4" s="1"/>
  <c r="IA35" i="4"/>
  <c r="IA26" i="4"/>
  <c r="IB26" i="4"/>
  <c r="ID26" i="4"/>
  <c r="IL26" i="4" s="1"/>
  <c r="IA25" i="4"/>
  <c r="IB25" i="4"/>
  <c r="ID25" i="4"/>
  <c r="IL25" i="4" s="1"/>
  <c r="ID13" i="4"/>
  <c r="IL13" i="4" s="1"/>
  <c r="IB13" i="4"/>
  <c r="IA13" i="4"/>
  <c r="IA28" i="4"/>
  <c r="IB28" i="4"/>
  <c r="ID28" i="4"/>
  <c r="IL28" i="4" s="1"/>
  <c r="ID27" i="4"/>
  <c r="IL27" i="4" s="1"/>
  <c r="IA27" i="4"/>
  <c r="IB27" i="4"/>
  <c r="ID19" i="4"/>
  <c r="IL19" i="4" s="1"/>
  <c r="IB19" i="4"/>
  <c r="IA19" i="4"/>
  <c r="ID14" i="4"/>
  <c r="IL14" i="4" s="1"/>
  <c r="IB14" i="4"/>
  <c r="IA14" i="4"/>
  <c r="ID22" i="4"/>
  <c r="IL22" i="4" s="1"/>
  <c r="IA22" i="4"/>
  <c r="IA12" i="4"/>
  <c r="ID12" i="4"/>
  <c r="IL12" i="4" s="1"/>
  <c r="IB12" i="4"/>
  <c r="IA7" i="4"/>
  <c r="ID7" i="4"/>
  <c r="IL7" i="4" s="1"/>
  <c r="IB7" i="4"/>
  <c r="IB18" i="4"/>
  <c r="ID18" i="4"/>
  <c r="IL18" i="4" s="1"/>
  <c r="IA18" i="4"/>
  <c r="IA31" i="4"/>
  <c r="ID31" i="4"/>
  <c r="IL31" i="4" s="1"/>
  <c r="ID29" i="4"/>
  <c r="IL29" i="4" s="1"/>
  <c r="IB29" i="4"/>
  <c r="IA29" i="4"/>
  <c r="ID11" i="4"/>
  <c r="IL11" i="4" s="1"/>
  <c r="IA11" i="4"/>
  <c r="IB11" i="4"/>
  <c r="IB5" i="4"/>
  <c r="ID5" i="4"/>
  <c r="IL5" i="4" s="1"/>
  <c r="IA5" i="4"/>
  <c r="IA16" i="4"/>
  <c r="IB16" i="4"/>
  <c r="ID16" i="4"/>
  <c r="IL16" i="4" s="1"/>
  <c r="IA34" i="4"/>
  <c r="ID34" i="4"/>
  <c r="IL34" i="4" s="1"/>
  <c r="IB10" i="4"/>
  <c r="ID10" i="4"/>
  <c r="IL10" i="4" s="1"/>
  <c r="IA10" i="4"/>
  <c r="IB9" i="4"/>
  <c r="ID9" i="4"/>
  <c r="IL9" i="4" s="1"/>
  <c r="IA9" i="4"/>
  <c r="IB8" i="4"/>
  <c r="IA8" i="4"/>
  <c r="ID8" i="4"/>
  <c r="IL8" i="4" s="1"/>
  <c r="IA32" i="4"/>
  <c r="ID32" i="4"/>
  <c r="IL32" i="4" s="1"/>
  <c r="IA30" i="4"/>
  <c r="ID30" i="4"/>
  <c r="IL30" i="4" s="1"/>
  <c r="IB30" i="4"/>
  <c r="IA33" i="4"/>
  <c r="ID33" i="4"/>
  <c r="IL33" i="4" s="1"/>
  <c r="IA24" i="4"/>
  <c r="ID24" i="4"/>
  <c r="IL24" i="4" s="1"/>
  <c r="ID6" i="4"/>
  <c r="IL6" i="4" s="1"/>
  <c r="IB6" i="4"/>
  <c r="IA6" i="4"/>
  <c r="IA17" i="4"/>
  <c r="IB17" i="4"/>
  <c r="ID17" i="4"/>
  <c r="IL17" i="4" s="1"/>
  <c r="HX36" i="4"/>
  <c r="HX45" i="4" s="1"/>
  <c r="IA20" i="4"/>
  <c r="ID20" i="4"/>
  <c r="IL20" i="4" s="1"/>
  <c r="IB20" i="4"/>
  <c r="IB15" i="4"/>
  <c r="ID15" i="4"/>
  <c r="IL15" i="4" s="1"/>
  <c r="IA15" i="4"/>
  <c r="IA21" i="4"/>
  <c r="IB21" i="4"/>
  <c r="ID21" i="4"/>
  <c r="IL21" i="4" s="1"/>
  <c r="HY4" i="4"/>
  <c r="HZ4" i="4" s="1"/>
  <c r="ID4" i="4" l="1"/>
  <c r="IA4" i="4"/>
  <c r="IA36" i="4" s="1"/>
  <c r="HZ36" i="4"/>
  <c r="IL4" i="4" l="1"/>
  <c r="IL36" i="4" s="1"/>
  <c r="ID36" i="4"/>
  <c r="HZ45" i="4"/>
  <c r="IB36" i="4"/>
  <c r="IL45" i="4" l="1"/>
</calcChain>
</file>

<file path=xl/sharedStrings.xml><?xml version="1.0" encoding="utf-8"?>
<sst xmlns="http://schemas.openxmlformats.org/spreadsheetml/2006/main" count="2881" uniqueCount="516">
  <si>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</si>
  <si>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</si>
  <si>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</si>
  <si>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</si>
  <si>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</si>
  <si>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</si>
  <si>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</si>
  <si>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</si>
  <si>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</si>
  <si>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</si>
  <si>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</si>
  <si>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</si>
  <si>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</si>
  <si>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</si>
  <si>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</si>
  <si>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</si>
  <si>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</si>
  <si>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</si>
  <si>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</si>
  <si>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</si>
  <si>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</si>
  <si>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</si>
  <si>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</si>
  <si>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</si>
  <si>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</si>
  <si>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</si>
  <si>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</si>
  <si>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</si>
  <si>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</si>
  <si>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</si>
  <si>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</si>
  <si>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</si>
  <si>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</si>
  <si>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</si>
  <si>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</si>
  <si>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</si>
  <si>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</si>
  <si>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</si>
  <si>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</si>
  <si>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</si>
  <si>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</si>
  <si>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</si>
  <si>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</si>
  <si>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</si>
  <si>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</si>
  <si>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</si>
  <si>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</si>
  <si>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</si>
  <si>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</si>
  <si>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</si>
  <si>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</si>
  <si>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</si>
  <si>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</si>
  <si>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</si>
  <si>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</si>
  <si>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</si>
  <si>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</si>
  <si>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</si>
  <si>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</si>
  <si>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</si>
  <si>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</si>
  <si>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</si>
  <si>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</si>
  <si>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</si>
  <si>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</si>
  <si>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</si>
  <si>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</si>
  <si>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</si>
  <si>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</si>
  <si>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</si>
  <si>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</si>
  <si>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</si>
  <si>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</si>
  <si>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</si>
  <si>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</si>
  <si>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</si>
  <si>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</si>
  <si>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</si>
  <si>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</si>
  <si>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</si>
  <si>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</si>
  <si>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</si>
  <si>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</si>
  <si>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</si>
  <si>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</si>
  <si>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</si>
  <si>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</si>
  <si>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</si>
  <si>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</si>
  <si>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</si>
  <si>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</si>
  <si>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</si>
  <si>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</si>
  <si>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</si>
  <si>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</si>
  <si>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</si>
  <si>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</si>
  <si>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</si>
  <si>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</si>
  <si>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</si>
  <si>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</si>
  <si>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</si>
  <si>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</si>
  <si>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</si>
  <si>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</si>
  <si>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</si>
  <si>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</si>
  <si>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</si>
  <si>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</si>
  <si>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</si>
  <si>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</si>
  <si>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</si>
  <si>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</si>
  <si>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</si>
  <si>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</si>
  <si>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</si>
  <si>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</si>
  <si>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</si>
  <si>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</si>
  <si>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</si>
  <si>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</si>
  <si>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</si>
  <si>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</si>
  <si>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</si>
  <si>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</si>
  <si>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</si>
  <si>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</si>
  <si>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</si>
  <si>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</si>
  <si>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</si>
  <si>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</si>
  <si>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</si>
  <si>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</si>
  <si>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</si>
  <si>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</si>
  <si>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</si>
  <si>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</si>
  <si>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</si>
  <si>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</si>
  <si>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</si>
  <si>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</si>
  <si>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</si>
  <si>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</si>
  <si>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</si>
  <si>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</si>
  <si>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</si>
  <si>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</si>
  <si>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</si>
  <si>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</si>
  <si>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</si>
  <si>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</si>
  <si>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</si>
  <si>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</si>
  <si>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</si>
  <si>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</si>
  <si>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</si>
  <si>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</si>
  <si>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</si>
  <si>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</si>
  <si>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</si>
  <si>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</si>
  <si>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</si>
  <si>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</si>
  <si>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</si>
  <si>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</si>
  <si>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</si>
  <si>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</si>
  <si>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</si>
  <si>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</si>
  <si>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</si>
  <si>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</si>
  <si>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</si>
  <si>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</si>
  <si>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</si>
  <si>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</si>
  <si>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</si>
  <si>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</si>
  <si>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</si>
  <si>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</si>
  <si>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</si>
  <si>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</si>
  <si>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</si>
  <si>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</si>
  <si>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</si>
  <si>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</si>
  <si>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</si>
  <si>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</si>
  <si>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</si>
  <si>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</si>
  <si>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</si>
  <si>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</si>
  <si>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</si>
  <si>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</si>
  <si>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</si>
  <si>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</si>
  <si>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</si>
  <si>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</si>
  <si>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</si>
  <si>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</si>
  <si>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</si>
  <si>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</si>
  <si>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</si>
  <si>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</si>
  <si>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</si>
  <si>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</si>
  <si>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</si>
  <si>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</si>
  <si>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</si>
  <si>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</si>
  <si>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</si>
  <si>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</si>
  <si>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</si>
  <si>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</si>
  <si>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</si>
  <si>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</si>
  <si>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</si>
  <si>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</si>
  <si>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</si>
  <si>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</si>
  <si>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</si>
  <si>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</si>
  <si>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</si>
  <si>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</si>
  <si>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</si>
  <si>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</si>
  <si>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</si>
  <si>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</si>
  <si>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</si>
  <si>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</si>
  <si>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</si>
  <si>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</si>
  <si>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</si>
  <si>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</si>
  <si>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</si>
  <si>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</si>
  <si>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</si>
  <si>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</si>
  <si>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</si>
  <si>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</si>
  <si>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</si>
  <si>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</si>
  <si>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</si>
  <si>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</si>
  <si>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</si>
  <si>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</si>
  <si>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</si>
  <si>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</si>
  <si>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</si>
  <si>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</si>
  <si>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</si>
  <si>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</si>
  <si>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</si>
  <si>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</si>
  <si>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</si>
  <si>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</si>
  <si>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</si>
  <si>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</si>
  <si>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</si>
  <si>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</si>
  <si>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</si>
  <si>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</si>
  <si>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</si>
  <si>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</si>
  <si>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</si>
  <si>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</si>
  <si>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</si>
  <si>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</si>
  <si>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</si>
  <si>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</si>
  <si>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</si>
  <si>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</si>
  <si>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</si>
  <si>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</si>
  <si>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</si>
  <si>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</si>
  <si>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</si>
  <si>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</si>
  <si>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</si>
  <si>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</si>
  <si>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</si>
  <si>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</si>
  <si>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</si>
  <si>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</si>
  <si>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</si>
  <si>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</si>
  <si>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</si>
  <si>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</si>
  <si>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</si>
  <si>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</si>
  <si>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</si>
  <si>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</si>
  <si>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</si>
  <si>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</si>
  <si>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</si>
  <si>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</si>
  <si>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</si>
  <si>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</si>
  <si>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</si>
  <si>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</si>
  <si>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</si>
  <si>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</si>
  <si>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</si>
  <si>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</si>
  <si>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</si>
  <si>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</si>
  <si>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</si>
  <si>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</si>
  <si>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</si>
  <si>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</si>
  <si>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</si>
  <si>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</si>
  <si>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</si>
  <si>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</si>
  <si>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</si>
  <si>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</si>
  <si>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</si>
  <si>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</si>
  <si>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</si>
  <si>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</si>
  <si>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</si>
  <si>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</si>
  <si>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</si>
  <si>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</si>
  <si>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</si>
  <si>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</si>
  <si>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</si>
  <si>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</si>
  <si>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</si>
  <si>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</si>
  <si>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</si>
  <si>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</si>
  <si>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</si>
  <si>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</si>
  <si>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</si>
  <si>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</si>
  <si>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</si>
  <si>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</si>
  <si>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</si>
  <si>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</si>
  <si>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</si>
  <si>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</si>
  <si>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</si>
  <si>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</si>
  <si>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</si>
  <si>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</si>
  <si>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</si>
  <si>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</si>
  <si>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</si>
  <si>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</si>
  <si>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</si>
  <si>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</si>
  <si>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</si>
  <si>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</si>
  <si>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</si>
  <si>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</si>
  <si>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</si>
  <si>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</si>
  <si>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</si>
  <si>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</si>
  <si>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</si>
  <si>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</si>
  <si>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</si>
  <si>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</si>
  <si>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</si>
  <si>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</si>
  <si>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</si>
  <si>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</si>
  <si>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</si>
  <si>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</si>
  <si>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</si>
  <si>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</si>
  <si>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</si>
  <si>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End result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</si>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</sst>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 vertical="center" textRotation="15"/>
    </xf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4" dataDxfId="333" tableBorderDxfId="332">
  <autoFilter ref="A2:V218" xr:uid="{94B9071F-A8F0-40DF-8EE0-3537B44128CC}"/>
  <sortState xmlns:xlrd2="http://schemas.microsoft.com/office/spreadsheetml/2017/richdata2" ref="A3:V218">
    <sortCondition descending="1" ref="N2:N218"/>
  </sortState>
  <tableColumns count="22">
    <tableColumn id="1" xr3:uid="{1456FD51-FA27-42C3-8F19-BF4A71CB6C9A}" name="Date_i" dataDxfId="331"/>
    <tableColumn id="2" xr3:uid="{AF7F3C5C-34F6-469F-A108-D85EB6687E69}" name="Description_i" dataDxfId="330"/>
    <tableColumn id="3" xr3:uid="{757142C9-C4A8-45AC-9237-BF154F553D5D}" name="Original Description_i" dataDxfId="329"/>
    <tableColumn id="4" xr3:uid="{3D883421-A9FC-44E4-95D6-7856341E0049}" name="Category_i" dataDxfId="328"/>
    <tableColumn id="5" xr3:uid="{030FF39C-C88D-4147-A73A-D33B454A2C6B}" name="Amount_i" dataDxfId="327"/>
    <tableColumn id="6" xr3:uid="{630EE027-0147-4C23-90A5-EC90B8772B73}" name="Status_i" dataDxfId="326"/>
    <tableColumn id="7" xr3:uid="{AB1B2A5A-5A25-4B93-955F-6D14B9671478}" name="Account" dataDxfId="325"/>
    <tableColumn id="8" xr3:uid="{C3D84B83-F8B1-431A-9B82-36FB2730D31D}" name="Date_o" dataDxfId="324"/>
    <tableColumn id="9" xr3:uid="{E56094F8-5279-44FA-96A2-2CFF936C2128}" name="Description_o" dataDxfId="323"/>
    <tableColumn id="10" xr3:uid="{7CCE5AA7-A124-412D-9061-1FA3B6ED4B8D}" name="Original Description_o" dataDxfId="322"/>
    <tableColumn id="11" xr3:uid="{6082683B-227E-40FD-9369-4EC2B345447A}" name="Category_o" dataDxfId="321"/>
    <tableColumn id="12" xr3:uid="{B082494B-D328-4E0D-9A84-FFAEA41ECE59}" name="Amount_o" dataDxfId="320"/>
    <tableColumn id="13" xr3:uid="{790B845E-E229-4929-A236-D0F151700A8B}" name="Status_o" dataDxfId="319"/>
    <tableColumn id="14" xr3:uid="{A4ECAB93-DC57-4072-962F-127551297341}" name="Date" dataDxfId="318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17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16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15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4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13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12"/>
    <tableColumn id="22" xr3:uid="{F0EC4A1E-3071-40E7-9608-4F270F376858}" name="E" dataDxfId="311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09" tableBorderDxfId="308">
  <autoFilter ref="A2:AI6" xr:uid="{50D3C16B-42C7-4810-B70F-5FC7C51E1B1A}"/>
  <tableColumns count="35">
    <tableColumn id="1" xr3:uid="{D2C7390E-8EAE-45A6-954D-0A89783E0E5C}" name="Start" dataDxfId="307">
      <calculatedColumnFormula>EDATE($C$1, ROW(AggregateTable2023[[#This Row],[Start]])-3)</calculatedColumnFormula>
    </tableColumn>
    <tableColumn id="36" xr3:uid="{BF166E5F-6C98-496A-878E-037B3DDF6569}" name="End" totalsRowLabel="Total" dataDxfId="306">
      <calculatedColumnFormula>EDATE($C$1, ROW(AggregateTable2023[[#This Row],[Start]])-2)-1</calculatedColumnFormula>
    </tableColumn>
    <tableColumn id="2" xr3:uid="{1E2D0247-E988-49A4-B1E7-087BCA0F35AD}" name="Car - Note" totalsRowFunction="custom" dataDxfId="305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4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03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302" dataDxfId="301" tableBorderDxfId="300">
  <autoFilter ref="A2:V133" xr:uid="{94B9071F-A8F0-40DF-8EE0-3537B44128CC}"/>
  <tableColumns count="22">
    <tableColumn id="1" xr3:uid="{B4999015-E23B-4EB5-9277-AAA80970087B}" name="Date_i" dataDxfId="299"/>
    <tableColumn id="2" xr3:uid="{C4E161B1-7EC0-4B5A-B627-5F4CD0D3F69D}" name="Description_i" dataDxfId="298"/>
    <tableColumn id="3" xr3:uid="{D87CBB1E-40B0-46A1-BF9F-B71D1D36953B}" name="Original Description_i" dataDxfId="297"/>
    <tableColumn id="4" xr3:uid="{1F8EA09F-F922-4D75-9BF8-2A688E248E83}" name="Category_i" dataDxfId="296"/>
    <tableColumn id="5" xr3:uid="{342607B4-67DB-4AE4-AE82-D221FECBDA04}" name="Amount_i" dataDxfId="295"/>
    <tableColumn id="6" xr3:uid="{A891E1EE-8666-4BE3-AD19-1E7E8EC6C461}" name="Status_i" dataDxfId="294"/>
    <tableColumn id="7" xr3:uid="{AD4643DC-63C3-442D-842F-43415922D12E}" name="Account" dataDxfId="293"/>
    <tableColumn id="8" xr3:uid="{6C533F92-784F-45FC-966D-50BC2E4A1210}" name="Date_o" dataDxfId="292"/>
    <tableColumn id="9" xr3:uid="{45467360-0D62-456C-B2BA-9B991A3A5382}" name="Description_o" dataDxfId="291"/>
    <tableColumn id="10" xr3:uid="{19A84DFE-5CD3-4E2C-9C5C-B25420C85630}" name="Original Description_o" dataDxfId="290"/>
    <tableColumn id="11" xr3:uid="{76B3F91C-FD9B-4D78-AD4A-7F77D26B6DCB}" name="Category_o" dataDxfId="289"/>
    <tableColumn id="12" xr3:uid="{247075B3-D888-4516-9151-DE8A293E72DC}" name="Amount_o" dataDxfId="288"/>
    <tableColumn id="13" xr3:uid="{6A8BAE22-8BD2-45C8-BFAF-C180689CC976}" name="Status_o" dataDxfId="287"/>
    <tableColumn id="14" xr3:uid="{5D74B7B5-4875-4547-94AA-4E70285D77FF}" name="Date" dataDxfId="286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85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4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83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82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81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80"/>
    <tableColumn id="22" xr3:uid="{85B37286-156B-408D-9B9C-80972C23A441}" name="E" dataDxfId="279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77" tableBorderDxfId="276">
  <autoFilter ref="A2:AI6" xr:uid="{50D3C16B-42C7-4810-B70F-5FC7C51E1B1A}"/>
  <tableColumns count="35">
    <tableColumn id="1" xr3:uid="{87891042-87C7-43CD-A777-91AFD41DE3F9}" name="Start" dataDxfId="275">
      <calculatedColumnFormula>EDATE($C$1, ROW(AggregateTable2024[[#This Row],[Start]])-3)</calculatedColumnFormula>
    </tableColumn>
    <tableColumn id="36" xr3:uid="{9DFCAA47-E867-479A-AF5E-7C220CB06EC6}" name="End" totalsRowLabel="Total" dataDxfId="274">
      <calculatedColumnFormula>EDATE($C$1, ROW(AggregateTable2024[[#This Row],[Start]])-2)-1</calculatedColumnFormula>
    </tableColumn>
    <tableColumn id="2" xr3:uid="{D1B0515E-B383-4AD7-9C82-02FD11C064D0}" name="Car - Note" totalsRowFunction="custom" dataDxfId="273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72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71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70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69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68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67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66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65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64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63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62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61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60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59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58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57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56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55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54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53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52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51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50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49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48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47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46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45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44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43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42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41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40" totalsRowDxfId="239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38" totalsRowDxfId="237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36" totalsRowDxfId="235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34" totalsRowDxfId="233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32" totalsRowDxfId="231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30" totalsRowDxfId="229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28" totalsRowDxfId="227" dataCellStyle="Currency">
      <calculatedColumnFormula>Buckets_9_23[[#This Row],[After T]]-Buckets_9_23[[#This Row],[Slush]]</calculatedColumnFormula>
    </tableColumn>
    <tableColumn id="12" xr3:uid="{681D5640-D79E-4B7C-868E-C1313E631A28}" name="S Cap Diff" dataDxfId="226" totalsRowDxfId="225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24" totalsRowDxfId="223" dataCellStyle="Normal">
      <calculatedColumnFormula>H4</calculatedColumnFormula>
    </tableColumn>
    <tableColumn id="7" xr3:uid="{3D2682D3-82E9-4FCE-81AF-3307428CF180}" name="Crit To Fill" totalsRowFunction="custom" dataDxfId="222" totalsRowDxfId="221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20" totalsRowDxfId="219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18" totalsRowDxfId="217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216" totalsRowDxfId="215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214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13" totalsRowDxfId="212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11" totalsRowDxfId="210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209" totalsRowDxfId="208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07" totalsRowDxfId="206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05" totalsRowDxfId="204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03" totalsRowDxfId="202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01" totalsRowDxfId="200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99" totalsRowDxfId="198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97" totalsRowDxfId="196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95" totalsRowDxfId="194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93" totalsRowDxfId="192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91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90" totalsRowDxfId="189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88" totalsRowDxfId="18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86" totalsRowDxfId="18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84" totalsRowDxfId="183">
      <calculatedColumnFormula>AX$41/Buckets_10_23[[#Totals],[NC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8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81" totalsRowDxfId="18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79" totalsRowDxfId="178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77" totalsRowDxfId="176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75" totalsRowDxfId="174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73" totalsRowDxfId="172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71" totalsRowDxfId="170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9" totalsRowDxfId="168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67" totalsRowDxfId="166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65" totalsRowDxfId="164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63" totalsRowDxfId="162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61" totalsRowDxfId="160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59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8" totalsRowDxfId="157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6" totalsRowDxfId="155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4" totalsRowDxfId="153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152" totalsRowDxfId="151">
      <calculatedColumnFormula>CB$41/Buckets_11_23[[#Totals],[NC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150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9" totalsRowDxfId="148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7" totalsRowDxfId="146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145" totalsRowDxfId="144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43" totalsRowDxfId="142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41" totalsRowDxfId="140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9" totalsRowDxfId="138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7" totalsRowDxfId="136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5" totalsRowDxfId="13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33" totalsRowDxfId="132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31" totalsRowDxfId="130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9" totalsRowDxfId="128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127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6" totalsRowDxfId="125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4" totalsRow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120" totalsRowDxfId="119">
      <calculatedColumnFormula>DF$41/Buckets_12_23[[#Totals],[NC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118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7" totalsRowDxfId="116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5" totalsRowDxfId="114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113" totalsRowDxfId="112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92" totalsRowDxfId="91">
      <calculatedColumnFormula>EJ$41/Buckets_1_24[[#Totals],[NC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90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9" totalsRowDxfId="88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7" totalsRowDxfId="86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85" totalsRowDxfId="84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64" totalsRowDxfId="63">
      <calculatedColumnFormula>FN$41/Buckets_2_24[[#Totals],[NC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2">
      <calculatedColumnFormula>Buckets_2_24[[#This Row],[Crit Filled]]+Buckets_2_24[[#This Row],[Scaled]]</calculatedColumnFormula>
    </tableColumn>
    <tableColumn id="15" xr3:uid="{D3BE9DC6-BEBC-484A-8726-23E7C93CA855}" name="Final" totalsRowFunction="custom" dataDxfId="61" totalsRowDxfId="60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9" totalsRowDxfId="58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57" totalsRowDxfId="56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3" xr3:uid="{81BFD222-C69C-44C0-9AB7-95A1B039E2EA}" name="Scaled" totalsRowFunction="custom" dataDxfId="36" totalsRowDxfId="35">
      <calculatedColumnFormula>GR$41/Buckets_3_24[[#Totals],[NC To Fill]]*Buckets_3_24[[#This Row],[NC To Fill]]</calculatedColumnFormula>
      <totalsRowFormula>SUBTOTAL(9, Buckets_3_24[Scaled])</totalsRowFormula>
    </tableColumn>
    <tableColumn id="14" xr3:uid="{0BEF3D82-3D40-4CED-A938-D0A575D0B688}" name="NC Filled" dataDxfId="34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3" totalsRowDxfId="32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31" totalsRowDxfId="30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29" totalsRowDxfId="28" dataCellStyle="Percent" totalsRow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3" xr3:uid="{46E12FC2-2592-41AE-B604-867B30471478}" name="Scaled" totalsRowFunction="custom" dataDxfId="8" totalsRowDxfId="7">
      <calculatedColumnFormula>HV$41/Buckets_4_24[[#Totals],[NC To Fill]]*Buckets_4_24[[#This Row],[NC To Fill]]</calculatedColumnFormula>
      <totalsRowFormula>SUBTOTAL(9, Buckets_4_24[Scaled])</totalsRowFormula>
    </tableColumn>
    <tableColumn id="14" xr3:uid="{9066605D-363C-441C-BF68-3799EE16FAD4}" name="NC Filled" dataDxfId="6">
      <calculatedColumnFormula>Buckets_4_24[[#This Row],[Crit Filled]]+Buckets_4_24[[#This Row],[Scaled]]</calculatedColumnFormula>
    </tableColumn>
    <tableColumn id="15" xr3:uid="{49E2DD40-5F01-48E3-B32C-2A808AA5EBAD}" name="Final" totalsRowFunction="custom" dataDxfId="5" totalsRowDxfId="4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3" totalsRowDxfId="2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1" totalsRowDxfId="0" dataCellStyle="Percent" totalsRow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J1" workbookViewId="0">
      <selection activeCell="O5" sqref="O5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/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823.79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440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439</v>
      </c>
    </row>
    <row r="5" spans="1:22" x14ac:dyDescent="0.25">
      <c r="A5" s="4">
        <v>45289</v>
      </c>
      <c r="B5" s="5" t="s">
        <v>408</v>
      </c>
      <c r="C5" s="5" t="s">
        <v>409</v>
      </c>
      <c r="D5" s="5" t="s">
        <v>410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439</v>
      </c>
    </row>
    <row r="6" spans="1:22" x14ac:dyDescent="0.25">
      <c r="A6" s="4">
        <v>45289</v>
      </c>
      <c r="B6" s="5" t="s">
        <v>411</v>
      </c>
      <c r="C6" s="5" t="s">
        <v>412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413</v>
      </c>
      <c r="C8" s="5" t="s">
        <v>414</v>
      </c>
      <c r="D8" s="5" t="s">
        <v>415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416</v>
      </c>
      <c r="C10" s="5" t="s">
        <v>417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434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418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419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439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420</v>
      </c>
      <c r="C17" s="5" t="s">
        <v>421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422</v>
      </c>
      <c r="C19" s="5" t="s">
        <v>423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438</v>
      </c>
    </row>
    <row r="20" spans="1:22" x14ac:dyDescent="0.25">
      <c r="A20" s="4">
        <v>45277</v>
      </c>
      <c r="B20" s="5" t="s">
        <v>424</v>
      </c>
      <c r="C20" s="5" t="s">
        <v>425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438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426</v>
      </c>
      <c r="C23" s="5" t="s">
        <v>427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428</v>
      </c>
      <c r="C27" s="5" t="s">
        <v>429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437</v>
      </c>
    </row>
    <row r="28" spans="1:22" x14ac:dyDescent="0.25">
      <c r="A28" s="4">
        <v>45271</v>
      </c>
      <c r="B28" s="5" t="s">
        <v>422</v>
      </c>
      <c r="C28" s="5" t="s">
        <v>430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437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431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404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405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406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407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432</v>
      </c>
      <c r="C42" s="5" t="s">
        <v>433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436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435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AI3" sqref="AI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26" sqref="V2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x14ac:dyDescent="0.25">
      <c r="A8" s="1">
        <v>45405</v>
      </c>
      <c r="B8" t="s">
        <v>451</v>
      </c>
      <c r="C8" t="s">
        <v>452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x14ac:dyDescent="0.25">
      <c r="A9" s="1">
        <v>45404</v>
      </c>
      <c r="B9" t="s">
        <v>482</v>
      </c>
      <c r="C9" t="s">
        <v>483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x14ac:dyDescent="0.25">
      <c r="A11" s="1">
        <v>45400</v>
      </c>
      <c r="B11" t="s">
        <v>500</v>
      </c>
      <c r="C11" t="s">
        <v>501</v>
      </c>
      <c r="D11" t="s">
        <v>502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465</v>
      </c>
      <c r="U14" t="str">
        <f>IF( _xlfn.IFNA(MATCH(LogTable2024[[#This Row],[My Category]], Buckets!$D$4:$D$35, 0), FALSE), ".", "E")</f>
        <v>.</v>
      </c>
    </row>
    <row r="15" spans="1:22" x14ac:dyDescent="0.25">
      <c r="A15" s="1">
        <v>45397</v>
      </c>
      <c r="B15" t="s">
        <v>503</v>
      </c>
      <c r="C15" t="s">
        <v>504</v>
      </c>
      <c r="D15" t="s">
        <v>505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x14ac:dyDescent="0.25">
      <c r="A21" s="1">
        <v>45393</v>
      </c>
      <c r="B21" t="s">
        <v>456</v>
      </c>
      <c r="C21" t="s">
        <v>457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465</v>
      </c>
      <c r="U23" t="str">
        <f>IF( _xlfn.IFNA(MATCH(LogTable2024[[#This Row],[My Category]], Buckets!$D$4:$D$35, 0), FALSE), ".", "E")</f>
        <v>.</v>
      </c>
    </row>
    <row r="24" spans="1:22" x14ac:dyDescent="0.25">
      <c r="A24" s="1">
        <v>45390</v>
      </c>
      <c r="B24" t="s">
        <v>484</v>
      </c>
      <c r="C24" t="s">
        <v>485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466</v>
      </c>
      <c r="U24" t="str">
        <f>IF( _xlfn.IFNA(MATCH(LogTable2024[[#This Row],[My Category]], Buckets!$D$4:$D$35, 0), FALSE), ".", "E")</f>
        <v>.</v>
      </c>
      <c r="V24" t="s">
        <v>514</v>
      </c>
    </row>
    <row r="25" spans="1:22" x14ac:dyDescent="0.25">
      <c r="A25" s="1">
        <v>45390</v>
      </c>
      <c r="B25" t="s">
        <v>506</v>
      </c>
      <c r="C25" t="s">
        <v>507</v>
      </c>
      <c r="D25" t="s">
        <v>508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515</v>
      </c>
    </row>
    <row r="26" spans="1:22" x14ac:dyDescent="0.25">
      <c r="A26" s="1">
        <v>45389</v>
      </c>
      <c r="B26" t="s">
        <v>42</v>
      </c>
      <c r="C26" t="s">
        <v>486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466</v>
      </c>
      <c r="U27" t="str">
        <f>IF( _xlfn.IFNA(MATCH(LogTable2024[[#This Row],[My Category]], Buckets!$D$4:$D$35, 0), FALSE), ".", "E")</f>
        <v>.</v>
      </c>
    </row>
    <row r="28" spans="1:22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x14ac:dyDescent="0.25">
      <c r="A30" s="4">
        <v>45388</v>
      </c>
      <c r="B30" s="5" t="s">
        <v>487</v>
      </c>
      <c r="C30" s="5" t="s">
        <v>488</v>
      </c>
      <c r="D30" s="5" t="s">
        <v>489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x14ac:dyDescent="0.25">
      <c r="A33" s="4">
        <v>45387</v>
      </c>
      <c r="B33" s="5" t="s">
        <v>490</v>
      </c>
      <c r="C33" s="5" t="s">
        <v>491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x14ac:dyDescent="0.25">
      <c r="A35" s="4">
        <v>45384</v>
      </c>
      <c r="B35" s="5" t="s">
        <v>219</v>
      </c>
      <c r="C35" s="5" t="s">
        <v>509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x14ac:dyDescent="0.25">
      <c r="A36" s="4">
        <v>45384</v>
      </c>
      <c r="B36" s="5" t="s">
        <v>492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465</v>
      </c>
      <c r="U43" t="str">
        <f>IF( _xlfn.IFNA(MATCH(LogTable2024[[#This Row],[My Category]], Buckets!$D$4:$D$35, 0), FALSE), ".", "E")</f>
        <v>.</v>
      </c>
    </row>
    <row r="44" spans="1:21" x14ac:dyDescent="0.25">
      <c r="A44" s="4">
        <v>45365</v>
      </c>
      <c r="B44" s="5" t="s">
        <v>474</v>
      </c>
      <c r="C44" s="5" t="s">
        <v>475</v>
      </c>
      <c r="D44" s="5" t="s">
        <v>476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x14ac:dyDescent="0.25">
      <c r="A50" s="4">
        <v>45362</v>
      </c>
      <c r="B50" s="5" t="s">
        <v>456</v>
      </c>
      <c r="C50" s="5" t="s">
        <v>457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465</v>
      </c>
      <c r="U51" t="str">
        <f>IF( _xlfn.IFNA(MATCH(LogTable2024[[#This Row],[My Category]], Buckets!$D$4:$D$35, 0), FALSE), ".", "E")</f>
        <v>.</v>
      </c>
    </row>
    <row r="52" spans="1:22" x14ac:dyDescent="0.25">
      <c r="A52" s="4">
        <v>45362</v>
      </c>
      <c r="B52" s="5" t="s">
        <v>493</v>
      </c>
      <c r="C52" s="5" t="s">
        <v>494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x14ac:dyDescent="0.25">
      <c r="A54" s="4">
        <v>45361</v>
      </c>
      <c r="B54" s="5" t="s">
        <v>411</v>
      </c>
      <c r="C54" s="5" t="s">
        <v>412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x14ac:dyDescent="0.25">
      <c r="A55" s="4">
        <v>45358</v>
      </c>
      <c r="B55" s="5" t="s">
        <v>510</v>
      </c>
      <c r="C55" s="5" t="s">
        <v>511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466</v>
      </c>
      <c r="U57" t="str">
        <f>IF( _xlfn.IFNA(MATCH(LogTable2024[[#This Row],[My Category]], Buckets!$D$4:$D$35, 0), FALSE), ".", "E")</f>
        <v>.</v>
      </c>
    </row>
    <row r="58" spans="1:22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463</v>
      </c>
      <c r="U58" t="str">
        <f>IF( _xlfn.IFNA(MATCH(LogTable2024[[#This Row],[My Category]], Buckets!$D$4:$D$35, 0), FALSE), ".", "E")</f>
        <v>.</v>
      </c>
    </row>
    <row r="59" spans="1:22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x14ac:dyDescent="0.25">
      <c r="A60" s="4">
        <v>45355</v>
      </c>
      <c r="B60" s="5" t="s">
        <v>219</v>
      </c>
      <c r="C60" s="5" t="s">
        <v>512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x14ac:dyDescent="0.25">
      <c r="A62" s="4">
        <v>45354</v>
      </c>
      <c r="B62" s="5" t="s">
        <v>495</v>
      </c>
      <c r="C62" s="5" t="s">
        <v>496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x14ac:dyDescent="0.25">
      <c r="A63" s="4">
        <v>45354</v>
      </c>
      <c r="B63" s="5" t="s">
        <v>497</v>
      </c>
      <c r="C63" s="5" t="s">
        <v>498</v>
      </c>
      <c r="D63" s="5" t="s">
        <v>499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463</v>
      </c>
      <c r="U63" t="str">
        <f>IF( _xlfn.IFNA(MATCH(LogTable2024[[#This Row],[My Category]], Buckets!$D$4:$D$35, 0), FALSE), ".", "E")</f>
        <v>.</v>
      </c>
    </row>
    <row r="64" spans="1:22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45345</v>
      </c>
      <c r="B68" s="5" t="s">
        <v>472</v>
      </c>
      <c r="C68" s="5" t="s">
        <v>473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465</v>
      </c>
      <c r="U71" t="str">
        <f>IF( _xlfn.IFNA(MATCH(LogTable2024[[#This Row],[My Category]], Buckets!$D$4:$D$35, 0), FALSE), ".", "E")</f>
        <v>.</v>
      </c>
    </row>
    <row r="72" spans="1:22" x14ac:dyDescent="0.25">
      <c r="A72" s="4">
        <v>45337</v>
      </c>
      <c r="B72" s="5" t="s">
        <v>474</v>
      </c>
      <c r="C72" s="5" t="s">
        <v>475</v>
      </c>
      <c r="D72" s="5" t="s">
        <v>476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513</v>
      </c>
    </row>
    <row r="74" spans="1:22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481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x14ac:dyDescent="0.25">
      <c r="A82" s="4">
        <v>45334</v>
      </c>
      <c r="B82" s="5" t="s">
        <v>456</v>
      </c>
      <c r="C82" s="5" t="s">
        <v>457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465</v>
      </c>
      <c r="U84" t="str">
        <f>IF( _xlfn.IFNA(MATCH(LogTable2024[[#This Row],[My Category]], Buckets!$D$4:$D$35, 0), FALSE), ".", "E")</f>
        <v>.</v>
      </c>
    </row>
    <row r="85" spans="1:22" x14ac:dyDescent="0.25">
      <c r="A85" s="4">
        <v>45330</v>
      </c>
      <c r="B85" s="5" t="s">
        <v>477</v>
      </c>
      <c r="C85" s="5" t="s">
        <v>478</v>
      </c>
      <c r="D85" s="5" t="s">
        <v>476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466</v>
      </c>
      <c r="U87" t="str">
        <f>IF( _xlfn.IFNA(MATCH(LogTable2024[[#This Row],[My Category]], Buckets!$D$4:$D$35, 0), FALSE), ".", "E")</f>
        <v>.</v>
      </c>
    </row>
    <row r="88" spans="1:22" x14ac:dyDescent="0.25">
      <c r="A88" s="4">
        <v>45329</v>
      </c>
      <c r="B88" s="5" t="s">
        <v>479</v>
      </c>
      <c r="C88" s="5" t="s">
        <v>480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463</v>
      </c>
      <c r="U88" t="str">
        <f>IF( _xlfn.IFNA(MATCH(LogTable2024[[#This Row],[My Category]], Buckets!$D$4:$D$35, 0), FALSE), ".", "E")</f>
        <v>.</v>
      </c>
    </row>
    <row r="89" spans="1:22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x14ac:dyDescent="0.25">
      <c r="A90" s="4">
        <v>45327</v>
      </c>
      <c r="B90" s="5" t="s">
        <v>219</v>
      </c>
      <c r="C90" s="5" t="s">
        <v>470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x14ac:dyDescent="0.25">
      <c r="A92" s="4">
        <v>45327</v>
      </c>
      <c r="B92" s="5" t="s">
        <v>451</v>
      </c>
      <c r="C92" s="5" t="s">
        <v>452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x14ac:dyDescent="0.25">
      <c r="A94" s="4">
        <v>45324</v>
      </c>
      <c r="B94" s="5" t="s">
        <v>219</v>
      </c>
      <c r="C94" s="5" t="s">
        <v>471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x14ac:dyDescent="0.25">
      <c r="A102" s="4">
        <v>45313</v>
      </c>
      <c r="B102" s="5" t="s">
        <v>441</v>
      </c>
      <c r="C102" s="5" t="s">
        <v>442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x14ac:dyDescent="0.25">
      <c r="A103" s="4">
        <v>45312</v>
      </c>
      <c r="B103" s="5" t="s">
        <v>443</v>
      </c>
      <c r="C103" s="5" t="s">
        <v>444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x14ac:dyDescent="0.25">
      <c r="A104" s="4">
        <v>45312</v>
      </c>
      <c r="B104" s="5" t="s">
        <v>411</v>
      </c>
      <c r="C104" s="5" t="s">
        <v>412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x14ac:dyDescent="0.25">
      <c r="A105" s="4">
        <v>45310</v>
      </c>
      <c r="B105" s="5" t="s">
        <v>454</v>
      </c>
      <c r="C105" s="5" t="s">
        <v>455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x14ac:dyDescent="0.25">
      <c r="A107" s="4">
        <v>45310</v>
      </c>
      <c r="B107" s="5" t="s">
        <v>445</v>
      </c>
      <c r="C107" s="5" t="s">
        <v>446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x14ac:dyDescent="0.25">
      <c r="A109" s="4">
        <v>45310</v>
      </c>
      <c r="B109" s="5" t="s">
        <v>447</v>
      </c>
      <c r="C109" s="5" t="s">
        <v>448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463</v>
      </c>
      <c r="U109" t="str">
        <f>IF( _xlfn.IFNA(MATCH(LogTable2024[[#This Row],[My Category]], Buckets!$D$4:$D$35, 0), FALSE), ".", "E")</f>
        <v>.</v>
      </c>
    </row>
    <row r="110" spans="1:2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465</v>
      </c>
      <c r="U111" t="str">
        <f>IF( _xlfn.IFNA(MATCH(LogTable2024[[#This Row],[My Category]], Buckets!$D$4:$D$35, 0), FALSE), ".", "E")</f>
        <v>.</v>
      </c>
    </row>
    <row r="112" spans="1:21" x14ac:dyDescent="0.25">
      <c r="A112" s="4">
        <v>45304</v>
      </c>
      <c r="B112" s="5" t="s">
        <v>449</v>
      </c>
      <c r="C112" s="5" t="s">
        <v>450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463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45302</v>
      </c>
      <c r="B114" s="5" t="s">
        <v>456</v>
      </c>
      <c r="C114" s="5" t="s">
        <v>457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x14ac:dyDescent="0.25">
      <c r="A115" s="4">
        <v>45302</v>
      </c>
      <c r="B115" s="5" t="s">
        <v>451</v>
      </c>
      <c r="C115" s="5" t="s">
        <v>452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465</v>
      </c>
      <c r="U117" t="str">
        <f>IF( _xlfn.IFNA(MATCH(LogTable2024[[#This Row],[My Category]], Buckets!$D$4:$D$35, 0), FALSE), ".", "E")</f>
        <v>.</v>
      </c>
    </row>
    <row r="118" spans="1:22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466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45296</v>
      </c>
      <c r="B123" s="5" t="s">
        <v>92</v>
      </c>
      <c r="C123" s="5" t="s">
        <v>453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x14ac:dyDescent="0.25">
      <c r="A124" s="4">
        <v>45295</v>
      </c>
      <c r="B124" s="5" t="s">
        <v>219</v>
      </c>
      <c r="C124" s="5" t="s">
        <v>458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x14ac:dyDescent="0.25">
      <c r="A126" s="4">
        <v>45295</v>
      </c>
      <c r="B126" s="5" t="s">
        <v>221</v>
      </c>
      <c r="C126" s="5" t="s">
        <v>459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x14ac:dyDescent="0.25">
      <c r="A127" s="4">
        <v>45294</v>
      </c>
      <c r="B127" s="5" t="s">
        <v>224</v>
      </c>
      <c r="C127" s="5" t="s">
        <v>460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464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45293</v>
      </c>
      <c r="B129" s="5" t="s">
        <v>219</v>
      </c>
      <c r="C129" s="5" t="s">
        <v>461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440</v>
      </c>
    </row>
    <row r="133" spans="1:22" x14ac:dyDescent="0.25">
      <c r="A133" s="4">
        <v>45293</v>
      </c>
      <c r="B133" s="5" t="s">
        <v>221</v>
      </c>
      <c r="C133" s="5" t="s">
        <v>462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S1" workbookViewId="0">
      <selection activeCell="AH7" sqref="AH7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HX4" activePane="bottomRight" state="frozen"/>
      <selection pane="topRight" activeCell="E1" sqref="E1"/>
      <selection pane="bottomLeft" activeCell="A5" sqref="A5"/>
      <selection pane="bottomRight" activeCell="IJ19" sqref="IJ19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1.5703125" bestFit="1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1.5703125" bestFit="1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1.140625" customWidth="1"/>
    <col min="53" max="53" width="12" customWidth="1"/>
    <col min="54" max="54" width="13.140625" customWidth="1"/>
    <col min="55" max="55" width="12.5703125" customWidth="1"/>
    <col min="56" max="56" width="10.28515625" bestFit="1" customWidth="1"/>
    <col min="58" max="58" width="12.28515625" bestFit="1" customWidth="1"/>
    <col min="59" max="59" width="11.5703125" bestFit="1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1.5703125" bestFit="1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1.140625" customWidth="1"/>
    <col min="83" max="83" width="12" customWidth="1"/>
    <col min="84" max="84" width="13.140625" customWidth="1"/>
    <col min="85" max="85" width="12.5703125" customWidth="1"/>
    <col min="86" max="86" width="10.28515625" bestFit="1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1.140625" customWidth="1"/>
    <col min="113" max="113" width="12" customWidth="1"/>
    <col min="114" max="114" width="13.140625" customWidth="1"/>
    <col min="115" max="115" width="12.5703125" customWidth="1"/>
    <col min="116" max="116" width="10.28515625" bestFit="1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1.140625" customWidth="1"/>
    <col min="143" max="143" width="12" customWidth="1"/>
    <col min="144" max="144" width="13.140625" customWidth="1"/>
    <col min="145" max="145" width="12.5703125" customWidth="1"/>
    <col min="146" max="146" width="10.28515625" bestFit="1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1.140625" customWidth="1"/>
    <col min="173" max="173" width="12" customWidth="1"/>
    <col min="174" max="174" width="13.140625" customWidth="1"/>
    <col min="175" max="175" width="12.5703125" customWidth="1"/>
    <col min="176" max="176" width="10.28515625" bestFit="1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1.140625" customWidth="1"/>
    <col min="203" max="203" width="12" customWidth="1"/>
    <col min="204" max="204" width="13.140625" customWidth="1"/>
    <col min="205" max="205" width="12.5703125" customWidth="1"/>
    <col min="206" max="206" width="10.28515625" bestFit="1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1.140625" customWidth="1"/>
    <col min="233" max="233" width="12" customWidth="1"/>
    <col min="234" max="234" width="13.140625" customWidth="1"/>
    <col min="235" max="235" width="12.5703125" customWidth="1"/>
    <col min="236" max="236" width="10.28515625" bestFit="1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403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7" t="s">
        <v>402</v>
      </c>
      <c r="G2" s="47"/>
      <c r="H2" s="47"/>
      <c r="J2" t="s">
        <v>373</v>
      </c>
      <c r="K2" s="26" t="s">
        <v>374</v>
      </c>
      <c r="L2" t="s">
        <v>375</v>
      </c>
      <c r="M2" t="s">
        <v>376</v>
      </c>
      <c r="N2" t="s">
        <v>377</v>
      </c>
      <c r="O2" t="s">
        <v>378</v>
      </c>
      <c r="P2" t="s">
        <v>379</v>
      </c>
      <c r="Q2" t="s">
        <v>387</v>
      </c>
      <c r="R2" t="s">
        <v>380</v>
      </c>
      <c r="S2" t="s">
        <v>381</v>
      </c>
      <c r="T2" t="s">
        <v>384</v>
      </c>
      <c r="U2" t="s">
        <v>382</v>
      </c>
      <c r="V2" t="s">
        <v>391</v>
      </c>
      <c r="W2" t="s">
        <v>393</v>
      </c>
      <c r="X2" t="s">
        <v>398</v>
      </c>
      <c r="AB2" s="47" t="s">
        <v>400</v>
      </c>
      <c r="AC2" s="47"/>
      <c r="AD2" s="47"/>
      <c r="AE2" s="47" t="s">
        <v>401</v>
      </c>
      <c r="AF2" s="47"/>
      <c r="AG2" s="47"/>
      <c r="AH2" s="47"/>
      <c r="AI2" s="47"/>
      <c r="AJ2" s="47" t="s">
        <v>402</v>
      </c>
      <c r="AK2" s="47"/>
      <c r="AL2" s="47"/>
      <c r="AN2" t="s">
        <v>373</v>
      </c>
      <c r="AO2" s="26" t="s">
        <v>374</v>
      </c>
      <c r="AP2" t="s">
        <v>375</v>
      </c>
      <c r="AQ2" t="s">
        <v>376</v>
      </c>
      <c r="AR2" t="s">
        <v>377</v>
      </c>
      <c r="AS2" t="s">
        <v>378</v>
      </c>
      <c r="AT2" t="s">
        <v>379</v>
      </c>
      <c r="AU2" t="s">
        <v>387</v>
      </c>
      <c r="AV2" t="s">
        <v>380</v>
      </c>
      <c r="AW2" t="s">
        <v>381</v>
      </c>
      <c r="AX2" t="s">
        <v>384</v>
      </c>
      <c r="AY2" t="s">
        <v>382</v>
      </c>
      <c r="AZ2" t="s">
        <v>391</v>
      </c>
      <c r="BA2" t="s">
        <v>393</v>
      </c>
      <c r="BB2" t="s">
        <v>398</v>
      </c>
      <c r="BF2" s="47" t="s">
        <v>400</v>
      </c>
      <c r="BG2" s="47"/>
      <c r="BH2" s="47"/>
      <c r="BI2" s="47" t="s">
        <v>401</v>
      </c>
      <c r="BJ2" s="47"/>
      <c r="BK2" s="47"/>
      <c r="BL2" s="47"/>
      <c r="BM2" s="47"/>
      <c r="BN2" s="47" t="s">
        <v>402</v>
      </c>
      <c r="BO2" s="47"/>
      <c r="BP2" s="47"/>
      <c r="BR2" t="s">
        <v>373</v>
      </c>
      <c r="BS2" s="26" t="s">
        <v>374</v>
      </c>
      <c r="BT2" t="s">
        <v>375</v>
      </c>
      <c r="BU2" t="s">
        <v>376</v>
      </c>
      <c r="BV2" t="s">
        <v>377</v>
      </c>
      <c r="BW2" t="s">
        <v>378</v>
      </c>
      <c r="BX2" t="s">
        <v>379</v>
      </c>
      <c r="BY2" t="s">
        <v>387</v>
      </c>
      <c r="BZ2" t="s">
        <v>380</v>
      </c>
      <c r="CA2" t="s">
        <v>381</v>
      </c>
      <c r="CB2" t="s">
        <v>384</v>
      </c>
      <c r="CC2" t="s">
        <v>382</v>
      </c>
      <c r="CD2" t="s">
        <v>391</v>
      </c>
      <c r="CE2" t="s">
        <v>393</v>
      </c>
      <c r="CF2" t="s">
        <v>398</v>
      </c>
      <c r="CJ2" s="47" t="s">
        <v>400</v>
      </c>
      <c r="CK2" s="47"/>
      <c r="CL2" s="47"/>
      <c r="CM2" s="47" t="s">
        <v>401</v>
      </c>
      <c r="CN2" s="47"/>
      <c r="CO2" s="47"/>
      <c r="CP2" s="47"/>
      <c r="CQ2" s="47"/>
      <c r="CR2" s="47" t="s">
        <v>402</v>
      </c>
      <c r="CS2" s="47"/>
      <c r="CT2" s="47"/>
      <c r="CV2" t="s">
        <v>373</v>
      </c>
      <c r="CW2" s="26" t="s">
        <v>374</v>
      </c>
      <c r="CX2" t="s">
        <v>375</v>
      </c>
      <c r="CY2" t="s">
        <v>376</v>
      </c>
      <c r="CZ2" t="s">
        <v>377</v>
      </c>
      <c r="DA2" t="s">
        <v>378</v>
      </c>
      <c r="DB2" t="s">
        <v>379</v>
      </c>
      <c r="DC2" t="s">
        <v>387</v>
      </c>
      <c r="DD2" t="s">
        <v>380</v>
      </c>
      <c r="DE2" t="s">
        <v>381</v>
      </c>
      <c r="DF2" t="s">
        <v>384</v>
      </c>
      <c r="DG2" t="s">
        <v>382</v>
      </c>
      <c r="DH2" t="s">
        <v>391</v>
      </c>
      <c r="DI2" t="s">
        <v>393</v>
      </c>
      <c r="DJ2" t="s">
        <v>398</v>
      </c>
      <c r="DN2" s="47" t="s">
        <v>400</v>
      </c>
      <c r="DO2" s="47"/>
      <c r="DP2" s="47"/>
      <c r="DQ2" s="47" t="s">
        <v>401</v>
      </c>
      <c r="DR2" s="47"/>
      <c r="DS2" s="47"/>
      <c r="DT2" s="47"/>
      <c r="DU2" s="47"/>
      <c r="DV2" s="47" t="s">
        <v>402</v>
      </c>
      <c r="DW2" s="47"/>
      <c r="DX2" s="47"/>
      <c r="DZ2" t="s">
        <v>373</v>
      </c>
      <c r="EA2" s="26" t="s">
        <v>374</v>
      </c>
      <c r="EB2" t="s">
        <v>375</v>
      </c>
      <c r="EC2" t="s">
        <v>376</v>
      </c>
      <c r="ED2" t="s">
        <v>377</v>
      </c>
      <c r="EE2" t="s">
        <v>378</v>
      </c>
      <c r="EF2" t="s">
        <v>379</v>
      </c>
      <c r="EG2" t="s">
        <v>387</v>
      </c>
      <c r="EH2" t="s">
        <v>380</v>
      </c>
      <c r="EI2" t="s">
        <v>381</v>
      </c>
      <c r="EJ2" t="s">
        <v>384</v>
      </c>
      <c r="EK2" t="s">
        <v>382</v>
      </c>
      <c r="EL2" t="s">
        <v>391</v>
      </c>
      <c r="EM2" t="s">
        <v>393</v>
      </c>
      <c r="EN2" t="s">
        <v>398</v>
      </c>
      <c r="ER2" s="47" t="s">
        <v>400</v>
      </c>
      <c r="ES2" s="47"/>
      <c r="ET2" s="47"/>
      <c r="EU2" s="47" t="s">
        <v>401</v>
      </c>
      <c r="EV2" s="47"/>
      <c r="EW2" s="47"/>
      <c r="EX2" s="47"/>
      <c r="EY2" s="47"/>
      <c r="EZ2" s="47" t="s">
        <v>402</v>
      </c>
      <c r="FA2" s="47"/>
      <c r="FB2" s="47"/>
      <c r="FD2" t="s">
        <v>373</v>
      </c>
      <c r="FE2" s="26" t="s">
        <v>374</v>
      </c>
      <c r="FF2" t="s">
        <v>375</v>
      </c>
      <c r="FG2" t="s">
        <v>376</v>
      </c>
      <c r="FH2" t="s">
        <v>377</v>
      </c>
      <c r="FI2" t="s">
        <v>378</v>
      </c>
      <c r="FJ2" t="s">
        <v>379</v>
      </c>
      <c r="FK2" t="s">
        <v>387</v>
      </c>
      <c r="FL2" t="s">
        <v>380</v>
      </c>
      <c r="FM2" t="s">
        <v>381</v>
      </c>
      <c r="FN2" t="s">
        <v>384</v>
      </c>
      <c r="FO2" t="s">
        <v>382</v>
      </c>
      <c r="FP2" t="s">
        <v>391</v>
      </c>
      <c r="FQ2" t="s">
        <v>393</v>
      </c>
      <c r="FR2" t="s">
        <v>398</v>
      </c>
      <c r="FV2" s="47" t="s">
        <v>400</v>
      </c>
      <c r="FW2" s="47"/>
      <c r="FX2" s="47"/>
      <c r="FY2" s="47" t="s">
        <v>401</v>
      </c>
      <c r="FZ2" s="47"/>
      <c r="GA2" s="47"/>
      <c r="GB2" s="47"/>
      <c r="GC2" s="47"/>
      <c r="GD2" s="47" t="s">
        <v>402</v>
      </c>
      <c r="GE2" s="47"/>
      <c r="GF2" s="47"/>
      <c r="GH2" t="s">
        <v>373</v>
      </c>
      <c r="GI2" s="26" t="s">
        <v>374</v>
      </c>
      <c r="GJ2" t="s">
        <v>375</v>
      </c>
      <c r="GK2" t="s">
        <v>376</v>
      </c>
      <c r="GL2" t="s">
        <v>377</v>
      </c>
      <c r="GM2" t="s">
        <v>378</v>
      </c>
      <c r="GN2" t="s">
        <v>379</v>
      </c>
      <c r="GO2" t="s">
        <v>387</v>
      </c>
      <c r="GP2" t="s">
        <v>380</v>
      </c>
      <c r="GQ2" t="s">
        <v>381</v>
      </c>
      <c r="GR2" t="s">
        <v>384</v>
      </c>
      <c r="GS2" t="s">
        <v>382</v>
      </c>
      <c r="GT2" t="s">
        <v>391</v>
      </c>
      <c r="GU2" t="s">
        <v>393</v>
      </c>
      <c r="GV2" t="s">
        <v>398</v>
      </c>
      <c r="GZ2" s="47" t="s">
        <v>400</v>
      </c>
      <c r="HA2" s="47"/>
      <c r="HB2" s="47"/>
      <c r="HC2" s="47" t="s">
        <v>401</v>
      </c>
      <c r="HD2" s="47"/>
      <c r="HE2" s="47"/>
      <c r="HF2" s="47"/>
      <c r="HG2" s="47"/>
      <c r="HH2" s="47" t="s">
        <v>402</v>
      </c>
      <c r="HI2" s="47"/>
      <c r="HJ2" s="47"/>
      <c r="HL2" t="s">
        <v>373</v>
      </c>
      <c r="HM2" s="26" t="s">
        <v>374</v>
      </c>
      <c r="HN2" t="s">
        <v>375</v>
      </c>
      <c r="HO2" t="s">
        <v>376</v>
      </c>
      <c r="HP2" t="s">
        <v>377</v>
      </c>
      <c r="HQ2" t="s">
        <v>378</v>
      </c>
      <c r="HR2" t="s">
        <v>379</v>
      </c>
      <c r="HS2" t="s">
        <v>387</v>
      </c>
      <c r="HT2" t="s">
        <v>380</v>
      </c>
      <c r="HU2" t="s">
        <v>381</v>
      </c>
      <c r="HV2" t="s">
        <v>384</v>
      </c>
      <c r="HW2" t="s">
        <v>382</v>
      </c>
      <c r="HX2" t="s">
        <v>391</v>
      </c>
      <c r="HY2" t="s">
        <v>393</v>
      </c>
      <c r="HZ2" t="s">
        <v>398</v>
      </c>
      <c r="ID2" s="47" t="s">
        <v>400</v>
      </c>
      <c r="IE2" s="47"/>
      <c r="IF2" s="47"/>
      <c r="IG2" s="47" t="s">
        <v>401</v>
      </c>
      <c r="IH2" s="47"/>
      <c r="II2" s="47"/>
      <c r="IJ2" s="47"/>
      <c r="IK2" s="47"/>
      <c r="IL2" s="47" t="s">
        <v>402</v>
      </c>
      <c r="IM2" s="47"/>
      <c r="IN2" s="47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372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386</v>
      </c>
      <c r="R3" t="s">
        <v>332</v>
      </c>
      <c r="S3" t="s">
        <v>367</v>
      </c>
      <c r="T3" t="s">
        <v>383</v>
      </c>
      <c r="U3" t="s">
        <v>388</v>
      </c>
      <c r="V3" t="s">
        <v>389</v>
      </c>
      <c r="W3" t="s">
        <v>392</v>
      </c>
      <c r="X3" t="s">
        <v>395</v>
      </c>
      <c r="Y3" t="s">
        <v>396</v>
      </c>
      <c r="Z3" t="s">
        <v>397</v>
      </c>
      <c r="AB3" t="s">
        <v>399</v>
      </c>
      <c r="AC3" t="s">
        <v>333</v>
      </c>
      <c r="AD3" t="s">
        <v>332</v>
      </c>
      <c r="AE3" t="s">
        <v>467</v>
      </c>
      <c r="AF3" t="s">
        <v>468</v>
      </c>
      <c r="AG3" t="s">
        <v>370</v>
      </c>
      <c r="AH3" t="s">
        <v>469</v>
      </c>
      <c r="AI3" t="s">
        <v>332</v>
      </c>
      <c r="AJ3" t="s">
        <v>399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386</v>
      </c>
      <c r="AV3" t="s">
        <v>332</v>
      </c>
      <c r="AW3" t="s">
        <v>367</v>
      </c>
      <c r="AX3" t="s">
        <v>383</v>
      </c>
      <c r="AY3" t="s">
        <v>388</v>
      </c>
      <c r="AZ3" t="s">
        <v>389</v>
      </c>
      <c r="BA3" t="s">
        <v>392</v>
      </c>
      <c r="BB3" t="s">
        <v>395</v>
      </c>
      <c r="BC3" t="s">
        <v>396</v>
      </c>
      <c r="BD3" t="s">
        <v>397</v>
      </c>
      <c r="BF3" t="s">
        <v>399</v>
      </c>
      <c r="BG3" t="s">
        <v>333</v>
      </c>
      <c r="BH3" t="s">
        <v>332</v>
      </c>
      <c r="BI3" t="s">
        <v>467</v>
      </c>
      <c r="BJ3" t="s">
        <v>468</v>
      </c>
      <c r="BK3" t="s">
        <v>370</v>
      </c>
      <c r="BL3" t="s">
        <v>469</v>
      </c>
      <c r="BM3" t="s">
        <v>332</v>
      </c>
      <c r="BN3" t="s">
        <v>399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386</v>
      </c>
      <c r="BZ3" t="s">
        <v>332</v>
      </c>
      <c r="CA3" t="s">
        <v>367</v>
      </c>
      <c r="CB3" t="s">
        <v>383</v>
      </c>
      <c r="CC3" t="s">
        <v>388</v>
      </c>
      <c r="CD3" t="s">
        <v>389</v>
      </c>
      <c r="CE3" t="s">
        <v>392</v>
      </c>
      <c r="CF3" t="s">
        <v>395</v>
      </c>
      <c r="CG3" t="s">
        <v>396</v>
      </c>
      <c r="CH3" t="s">
        <v>397</v>
      </c>
      <c r="CJ3" t="s">
        <v>399</v>
      </c>
      <c r="CK3" t="s">
        <v>333</v>
      </c>
      <c r="CL3" t="s">
        <v>332</v>
      </c>
      <c r="CM3" t="s">
        <v>467</v>
      </c>
      <c r="CN3" t="s">
        <v>468</v>
      </c>
      <c r="CO3" t="s">
        <v>370</v>
      </c>
      <c r="CP3" t="s">
        <v>469</v>
      </c>
      <c r="CQ3" t="s">
        <v>332</v>
      </c>
      <c r="CR3" t="s">
        <v>399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386</v>
      </c>
      <c r="DD3" t="s">
        <v>332</v>
      </c>
      <c r="DE3" t="s">
        <v>367</v>
      </c>
      <c r="DF3" t="s">
        <v>383</v>
      </c>
      <c r="DG3" t="s">
        <v>388</v>
      </c>
      <c r="DH3" t="s">
        <v>389</v>
      </c>
      <c r="DI3" t="s">
        <v>392</v>
      </c>
      <c r="DJ3" t="s">
        <v>395</v>
      </c>
      <c r="DK3" t="s">
        <v>396</v>
      </c>
      <c r="DL3" t="s">
        <v>397</v>
      </c>
      <c r="DN3" t="s">
        <v>399</v>
      </c>
      <c r="DO3" t="s">
        <v>333</v>
      </c>
      <c r="DP3" t="s">
        <v>332</v>
      </c>
      <c r="DQ3" t="s">
        <v>467</v>
      </c>
      <c r="DR3" t="s">
        <v>468</v>
      </c>
      <c r="DS3" t="s">
        <v>370</v>
      </c>
      <c r="DT3" t="s">
        <v>469</v>
      </c>
      <c r="DU3" t="s">
        <v>332</v>
      </c>
      <c r="DV3" t="s">
        <v>399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386</v>
      </c>
      <c r="EH3" t="s">
        <v>332</v>
      </c>
      <c r="EI3" t="s">
        <v>367</v>
      </c>
      <c r="EJ3" t="s">
        <v>383</v>
      </c>
      <c r="EK3" t="s">
        <v>388</v>
      </c>
      <c r="EL3" t="s">
        <v>389</v>
      </c>
      <c r="EM3" t="s">
        <v>392</v>
      </c>
      <c r="EN3" t="s">
        <v>395</v>
      </c>
      <c r="EO3" t="s">
        <v>396</v>
      </c>
      <c r="EP3" t="s">
        <v>397</v>
      </c>
      <c r="ER3" t="s">
        <v>399</v>
      </c>
      <c r="ES3" t="s">
        <v>333</v>
      </c>
      <c r="ET3" t="s">
        <v>332</v>
      </c>
      <c r="EU3" t="s">
        <v>467</v>
      </c>
      <c r="EV3" t="s">
        <v>468</v>
      </c>
      <c r="EW3" t="s">
        <v>370</v>
      </c>
      <c r="EX3" t="s">
        <v>469</v>
      </c>
      <c r="EY3" t="s">
        <v>332</v>
      </c>
      <c r="EZ3" t="s">
        <v>399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386</v>
      </c>
      <c r="FL3" t="s">
        <v>332</v>
      </c>
      <c r="FM3" t="s">
        <v>367</v>
      </c>
      <c r="FN3" t="s">
        <v>383</v>
      </c>
      <c r="FO3" t="s">
        <v>388</v>
      </c>
      <c r="FP3" t="s">
        <v>389</v>
      </c>
      <c r="FQ3" t="s">
        <v>392</v>
      </c>
      <c r="FR3" t="s">
        <v>395</v>
      </c>
      <c r="FS3" t="s">
        <v>396</v>
      </c>
      <c r="FT3" t="s">
        <v>397</v>
      </c>
      <c r="FV3" t="s">
        <v>399</v>
      </c>
      <c r="FW3" t="s">
        <v>333</v>
      </c>
      <c r="FX3" t="s">
        <v>332</v>
      </c>
      <c r="FY3" t="s">
        <v>467</v>
      </c>
      <c r="FZ3" t="s">
        <v>468</v>
      </c>
      <c r="GA3" t="s">
        <v>370</v>
      </c>
      <c r="GB3" t="s">
        <v>469</v>
      </c>
      <c r="GC3" t="s">
        <v>332</v>
      </c>
      <c r="GD3" t="s">
        <v>399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386</v>
      </c>
      <c r="GP3" t="s">
        <v>332</v>
      </c>
      <c r="GQ3" t="s">
        <v>367</v>
      </c>
      <c r="GR3" t="s">
        <v>383</v>
      </c>
      <c r="GS3" t="s">
        <v>388</v>
      </c>
      <c r="GT3" t="s">
        <v>389</v>
      </c>
      <c r="GU3" t="s">
        <v>392</v>
      </c>
      <c r="GV3" t="s">
        <v>395</v>
      </c>
      <c r="GW3" t="s">
        <v>396</v>
      </c>
      <c r="GX3" t="s">
        <v>397</v>
      </c>
      <c r="GZ3" t="s">
        <v>399</v>
      </c>
      <c r="HA3" t="s">
        <v>333</v>
      </c>
      <c r="HB3" t="s">
        <v>332</v>
      </c>
      <c r="HC3" t="s">
        <v>467</v>
      </c>
      <c r="HD3" t="s">
        <v>468</v>
      </c>
      <c r="HE3" t="s">
        <v>370</v>
      </c>
      <c r="HF3" t="s">
        <v>469</v>
      </c>
      <c r="HG3" t="s">
        <v>332</v>
      </c>
      <c r="HH3" t="s">
        <v>399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386</v>
      </c>
      <c r="HT3" t="s">
        <v>332</v>
      </c>
      <c r="HU3" t="s">
        <v>367</v>
      </c>
      <c r="HV3" t="s">
        <v>383</v>
      </c>
      <c r="HW3" t="s">
        <v>388</v>
      </c>
      <c r="HX3" t="s">
        <v>389</v>
      </c>
      <c r="HY3" t="s">
        <v>392</v>
      </c>
      <c r="HZ3" t="s">
        <v>395</v>
      </c>
      <c r="IA3" t="s">
        <v>396</v>
      </c>
      <c r="IB3" t="s">
        <v>397</v>
      </c>
      <c r="ID3" t="s">
        <v>399</v>
      </c>
      <c r="IE3" t="s">
        <v>333</v>
      </c>
      <c r="IF3" t="s">
        <v>332</v>
      </c>
      <c r="IG3" t="s">
        <v>467</v>
      </c>
      <c r="IH3" t="s">
        <v>468</v>
      </c>
      <c r="II3" t="s">
        <v>370</v>
      </c>
      <c r="IJ3" t="s">
        <v>469</v>
      </c>
      <c r="IK3" t="s">
        <v>332</v>
      </c>
      <c r="IL3" t="s">
        <v>399</v>
      </c>
      <c r="IM3" t="s">
        <v>333</v>
      </c>
      <c r="IN3" t="s">
        <v>332</v>
      </c>
    </row>
    <row r="4" spans="1:24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8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G4</f>
        <v>640</v>
      </c>
      <c r="AD4" t="b">
        <f>H4</f>
        <v>1</v>
      </c>
      <c r="AE4" s="43" t="e">
        <f>NA()</f>
        <v>#N/A</v>
      </c>
      <c r="AF4" s="42"/>
      <c r="AG4" s="43" t="e">
        <f>NA()</f>
        <v>#N/A</v>
      </c>
      <c r="AH4" s="42"/>
      <c r="AI4" s="43"/>
      <c r="AJ4" s="31">
        <f>IF(ISBLANK(AF4), AB4, AF4)</f>
        <v>640</v>
      </c>
      <c r="AK4" s="31">
        <f>IF(ISBLANK(AH4), AC4, AH4)</f>
        <v>640</v>
      </c>
      <c r="AL4" t="b">
        <f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31">
        <f>AX$41/Buckets_10_23[[#Totals],[NC To Fill]]*Buckets_10_23[[#This Row],[NC To Fill]]</f>
        <v>0</v>
      </c>
      <c r="BA4" s="31">
        <f>Buckets_10_23[[#This Row],[Crit Filled]]+Buckets_10_23[[#This Row],[Scaled]]</f>
        <v>640</v>
      </c>
      <c r="BB4" s="31">
        <f>Buckets_10_23[[#This Row],[NC Filled]]</f>
        <v>640</v>
      </c>
      <c r="BC4" s="31">
        <f>Buckets_10_23[[#This Row],[Capacity]]-Buckets_10_23[[#This Row],[Final]]</f>
        <v>0</v>
      </c>
      <c r="BD4" s="33">
        <f>IF(Buckets_10_23[[#This Row],[Capacity]]=0, 1, Buckets_10_23[[#This Row],[Final]]/Buckets_10_23[[#This Row],[Capacity]])</f>
        <v>1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3" t="e">
        <f>NA()</f>
        <v>#N/A</v>
      </c>
      <c r="BJ4" s="42"/>
      <c r="BK4" s="43" t="e">
        <f>NA()</f>
        <v>#N/A</v>
      </c>
      <c r="BL4" s="42"/>
      <c r="BM4" s="43"/>
      <c r="BN4" s="31">
        <f>IF(ISBLANK(BJ4), BF4, BJ4)</f>
        <v>640</v>
      </c>
      <c r="BO4" s="31">
        <f t="shared" ref="BO4:BO35" si="1">IF(ISBLANK(BL4), BG4, BL4)</f>
        <v>640</v>
      </c>
      <c r="BP4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31">
        <f>CB$41/Buckets_11_23[[#Totals],[NC To Fill]]*Buckets_11_23[[#This Row],[NC To Fill]]</f>
        <v>0</v>
      </c>
      <c r="CE4" s="31">
        <f>Buckets_11_23[[#This Row],[Crit Filled]]+Buckets_11_23[[#This Row],[Scaled]]</f>
        <v>640</v>
      </c>
      <c r="CF4" s="31">
        <f>Buckets_11_23[[#This Row],[NC Filled]]</f>
        <v>640</v>
      </c>
      <c r="CG4" s="31">
        <f>Buckets_11_23[[#This Row],[Capacity]]-Buckets_11_23[[#This Row],[Final]]</f>
        <v>0</v>
      </c>
      <c r="CH4" s="33">
        <f>IF(Buckets_11_23[[#This Row],[Capacity]]=0, 1, Buckets_11_23[[#This Row],[Final]]/Buckets_11_23[[#This Row],[Capacity]])</f>
        <v>1</v>
      </c>
      <c r="CJ4" s="40">
        <f>Buckets_11_23[[#This Row],[Final]]</f>
        <v>640</v>
      </c>
      <c r="CK4" s="40">
        <f>Buckets_11_23[[#This Row],[Capacity]]</f>
        <v>640</v>
      </c>
      <c r="CL4" s="41" t="b">
        <f>BP4</f>
        <v>1</v>
      </c>
      <c r="CM4" s="42"/>
      <c r="CN4" s="42"/>
      <c r="CO4" s="42" t="e">
        <f>NA()</f>
        <v>#N/A</v>
      </c>
      <c r="CP4" s="42"/>
      <c r="CQ4" s="43"/>
      <c r="CR4" s="40">
        <f>IF(NOT(ISBLANK(CN4)), CN4,
IF(NOT(ISBLANK(CM4)), CJ4+CM4,
CJ4))</f>
        <v>640</v>
      </c>
      <c r="CS4" s="40">
        <f t="shared" ref="CS4:CS35" si="3">IF(ISBLANK(CP4), CK4, CP4)</f>
        <v>640</v>
      </c>
      <c r="CT4" s="41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31">
        <f>DF$41/Buckets_12_23[[#Totals],[NC To Fill]]*Buckets_12_23[[#This Row],[NC To Fill]]</f>
        <v>0</v>
      </c>
      <c r="DI4" s="31">
        <f>Buckets_12_23[[#This Row],[Crit Filled]]+Buckets_12_23[[#This Row],[Scaled]]</f>
        <v>640</v>
      </c>
      <c r="DJ4" s="31">
        <f>Buckets_12_23[[#This Row],[NC Filled]]</f>
        <v>640</v>
      </c>
      <c r="DK4" s="31">
        <f>Buckets_12_23[[#This Row],[Capacity]]-Buckets_12_23[[#This Row],[Final]]</f>
        <v>0</v>
      </c>
      <c r="DL4" s="33">
        <f>IF(Buckets_12_23[[#This Row],[Capacity]]=0, 1, Buckets_12_23[[#This Row],[Final]]/Buckets_12_23[[#This Row],[Capacity]])</f>
        <v>1</v>
      </c>
      <c r="DN4" s="40">
        <f>Buckets_12_23[[#This Row],[Final]]</f>
        <v>640</v>
      </c>
      <c r="DO4" s="40">
        <f>Buckets_12_23[[#This Row],[Capacity]]</f>
        <v>640</v>
      </c>
      <c r="DP4" s="41" t="b">
        <f>CT4</f>
        <v>1</v>
      </c>
      <c r="DQ4" s="42"/>
      <c r="DR4" s="42"/>
      <c r="DS4" s="42" t="e">
        <f>NA()</f>
        <v>#N/A</v>
      </c>
      <c r="DT4" s="42"/>
      <c r="DU4" s="43"/>
      <c r="DV4" s="40">
        <f>IF(NOT(ISBLANK(DR4)), DR4,
IF(NOT(ISBLANK(DQ4)), DN4+DQ4,
DN4))</f>
        <v>640</v>
      </c>
      <c r="DW4" s="40">
        <f t="shared" ref="DW4:DW35" si="5">IF(ISBLANK(DT4), DO4, DT4)</f>
        <v>640</v>
      </c>
      <c r="DX4" s="41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31">
        <f>EJ$41/Buckets_1_24[[#Totals],[NC To Fill]]*Buckets_1_24[[#This Row],[NC To Fill]]</f>
        <v>0</v>
      </c>
      <c r="EM4" s="31">
        <f>Buckets_1_24[[#This Row],[Crit Filled]]+Buckets_1_24[[#This Row],[Scaled]]</f>
        <v>640</v>
      </c>
      <c r="EN4" s="31">
        <f>Buckets_1_24[[#This Row],[NC Filled]]</f>
        <v>640</v>
      </c>
      <c r="EO4" s="31">
        <f>Buckets_1_24[[#This Row],[Capacity]]-Buckets_1_24[[#This Row],[Final]]</f>
        <v>0</v>
      </c>
      <c r="EP4" s="33">
        <f>IF(Buckets_1_24[[#This Row],[Capacity]]=0, 1, Buckets_1_24[[#This Row],[Final]]/Buckets_1_24[[#This Row],[Capacity]])</f>
        <v>1</v>
      </c>
      <c r="ER4" s="40">
        <f>Buckets_1_24[[#This Row],[Final]]</f>
        <v>640</v>
      </c>
      <c r="ES4" s="40">
        <f>Buckets_1_24[[#This Row],[Capacity]]</f>
        <v>640</v>
      </c>
      <c r="ET4" s="41" t="b">
        <f>DX4</f>
        <v>1</v>
      </c>
      <c r="EU4" s="42"/>
      <c r="EV4" s="42"/>
      <c r="EW4" s="42"/>
      <c r="EX4" s="42">
        <v>0</v>
      </c>
      <c r="EY4" s="43"/>
      <c r="EZ4" s="40">
        <f>IF(NOT(ISBLANK(EV4)), EV4,
IF(NOT(ISBLANK(EU4)), ER4+EU4,
ER4))</f>
        <v>640</v>
      </c>
      <c r="FA4" s="40">
        <f>IF(NOT(ISBLANK(EX4)), EX4,
IF(NOT(ISBLANK(EW4)), ES4+EW4,
ES4))</f>
        <v>0</v>
      </c>
      <c r="FB4" s="41" t="b">
        <f t="shared" ref="FB4:FB35" si="7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31">
        <f>FN$41/Buckets_2_24[[#Totals],[NC To Fill]]*Buckets_2_24[[#This Row],[NC To Fill]]</f>
        <v>0</v>
      </c>
      <c r="FQ4" s="31">
        <f>Buckets_2_24[[#This Row],[Crit Filled]]+Buckets_2_24[[#This Row],[Scaled]]</f>
        <v>0</v>
      </c>
      <c r="FR4" s="31">
        <f>Buckets_2_24[[#This Row],[NC Filled]]</f>
        <v>0</v>
      </c>
      <c r="FS4" s="31">
        <f>Buckets_2_24[[#This Row],[Capacity]]-Buckets_2_24[[#This Row],[Final]]</f>
        <v>0</v>
      </c>
      <c r="FT4" s="33">
        <f>IF(Buckets_2_24[[#This Row],[Capacity]]=0, 1, Buckets_2_24[[#This Row],[Final]]/Buckets_2_24[[#This Row],[Capacity]])</f>
        <v>1</v>
      </c>
      <c r="FV4" s="40">
        <f>Buckets_2_24[[#This Row],[Final]]</f>
        <v>0</v>
      </c>
      <c r="FW4" s="40">
        <f>Buckets_2_24[[#This Row],[Capacity]]</f>
        <v>0</v>
      </c>
      <c r="FX4" s="41" t="b">
        <f>FB4</f>
        <v>1</v>
      </c>
      <c r="FY4" s="42"/>
      <c r="FZ4" s="42"/>
      <c r="GA4" s="42"/>
      <c r="GB4" s="42"/>
      <c r="GC4" s="43"/>
      <c r="GD4" s="40">
        <f>IF(NOT(ISBLANK(FZ4)), FZ4,
IF(NOT(ISBLANK(FY4)), FV4+FY4,
FV4))</f>
        <v>0</v>
      </c>
      <c r="GE4" s="40">
        <f>IF(NOT(ISBLANK(GB4)), GB4,
IF(NOT(ISBLANK(GA4)), FW4+GA4,
FW4))</f>
        <v>0</v>
      </c>
      <c r="GF4" s="41" t="b">
        <f t="shared" ref="GF4:GF35" si="8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31">
        <f>GR$41/Buckets_3_24[[#Totals],[NC To Fill]]*Buckets_3_24[[#This Row],[NC To Fill]]</f>
        <v>0</v>
      </c>
      <c r="GU4" s="31">
        <f>Buckets_3_24[[#This Row],[Crit Filled]]+Buckets_3_24[[#This Row],[Scaled]]</f>
        <v>0</v>
      </c>
      <c r="GV4" s="31">
        <f>Buckets_3_24[[#This Row],[NC Filled]]</f>
        <v>0</v>
      </c>
      <c r="GW4" s="31">
        <f>Buckets_3_24[[#This Row],[Capacity]]-Buckets_3_24[[#This Row],[Final]]</f>
        <v>0</v>
      </c>
      <c r="GX4" s="33">
        <f>IF(Buckets_3_24[[#This Row],[Capacity]]=0, 1, Buckets_3_24[[#This Row],[Final]]/Buckets_3_24[[#This Row],[Capacity]])</f>
        <v>1</v>
      </c>
      <c r="GZ4" s="40">
        <f>Buckets_3_24[[#This Row],[Final]]</f>
        <v>0</v>
      </c>
      <c r="HA4" s="40">
        <f>Buckets_3_24[[#This Row],[Capacity]]</f>
        <v>0</v>
      </c>
      <c r="HB4" s="41" t="b">
        <f>GF4</f>
        <v>1</v>
      </c>
      <c r="HC4" s="42"/>
      <c r="HD4" s="42"/>
      <c r="HE4" s="42"/>
      <c r="HF4" s="42"/>
      <c r="HG4" s="43"/>
      <c r="HH4" s="40">
        <f>IF(NOT(ISBLANK(HD4)), HD4,
IF(NOT(ISBLANK(HC4)), GZ4+HC4,
GZ4))</f>
        <v>0</v>
      </c>
      <c r="HI4" s="40">
        <f>IF(NOT(ISBLANK(HF4)), HF4,
IF(NOT(ISBLANK(HE4)), HA4+HE4,
HA4))</f>
        <v>0</v>
      </c>
      <c r="HJ4" s="41" t="b">
        <f t="shared" ref="HJ4:HJ35" si="9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31">
        <f>HV$41/Buckets_4_24[[#Totals],[NC To Fill]]*Buckets_4_24[[#This Row],[NC To Fill]]</f>
        <v>0</v>
      </c>
      <c r="HY4" s="31">
        <f>Buckets_4_24[[#This Row],[Crit Filled]]+Buckets_4_24[[#This Row],[Scaled]]</f>
        <v>0</v>
      </c>
      <c r="HZ4" s="31">
        <f>Buckets_4_24[[#This Row],[NC Filled]]</f>
        <v>0</v>
      </c>
      <c r="IA4" s="31">
        <f>Buckets_4_24[[#This Row],[Capacity]]-Buckets_4_24[[#This Row],[Final]]</f>
        <v>0</v>
      </c>
      <c r="IB4" s="33">
        <f>IF(Buckets_4_24[[#This Row],[Capacity]]=0, 1, Buckets_4_24[[#This Row],[Final]]/Buckets_4_24[[#This Row],[Capacity]])</f>
        <v>1</v>
      </c>
      <c r="ID4" s="40">
        <f>Buckets_4_24[[#This Row],[Final]]</f>
        <v>0</v>
      </c>
      <c r="IE4" s="40">
        <f>Buckets_4_24[[#This Row],[Capacity]]</f>
        <v>0</v>
      </c>
      <c r="IF4" s="41" t="b">
        <f>HJ4</f>
        <v>1</v>
      </c>
      <c r="IG4" s="42"/>
      <c r="IH4" s="42"/>
      <c r="II4" s="42"/>
      <c r="IJ4" s="42"/>
      <c r="IK4" s="43"/>
      <c r="IL4" s="40">
        <f>IF(NOT(ISBLANK(IH4)), IH4,
IF(NOT(ISBLANK(IG4)), ID4+IG4,
ID4))</f>
        <v>0</v>
      </c>
      <c r="IM4" s="40">
        <f>IF(NOT(ISBLANK(IJ4)), IJ4,
IF(NOT(ISBLANK(II4)), IE4+II4,
IE4))</f>
        <v>0</v>
      </c>
      <c r="IN4" s="41" t="b">
        <f t="shared" ref="IN4:IN35" si="10">IF(ISBLANK(IK4), IF4, IK4)</f>
        <v>1</v>
      </c>
    </row>
    <row r="5" spans="1:24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8">
        <v>400</v>
      </c>
      <c r="H5" t="b">
        <v>1</v>
      </c>
      <c r="J5" s="29">
        <f t="shared" ref="J5:J35" si="11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2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 t="shared" ref="AC5:AC35" si="13">G5</f>
        <v>400</v>
      </c>
      <c r="AD5" t="b">
        <f t="shared" ref="AD5:AD35" si="14">H5</f>
        <v>1</v>
      </c>
      <c r="AE5" s="43" t="e">
        <f>NA()</f>
        <v>#N/A</v>
      </c>
      <c r="AF5" s="42"/>
      <c r="AG5" s="43" t="e">
        <f>NA()</f>
        <v>#N/A</v>
      </c>
      <c r="AH5" s="42"/>
      <c r="AI5" s="43"/>
      <c r="AJ5" s="31">
        <f t="shared" ref="AJ5:AJ35" si="15">IF(ISBLANK(AF5), AB5, AF5)</f>
        <v>400</v>
      </c>
      <c r="AK5" s="31">
        <f t="shared" ref="AK5:AK35" si="16">IF(ISBLANK(AH5), AC5, AH5)</f>
        <v>400</v>
      </c>
      <c r="AL5" t="b">
        <f t="shared" ref="AL5:AL35" si="17">IF(ISBLANK(AI5), AD5, AI5)</f>
        <v>1</v>
      </c>
      <c r="AN5" s="29">
        <f t="shared" ref="AN5:AN35" si="18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19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31">
        <f>AX$41/Buckets_10_23[[#Totals],[NC To Fill]]*Buckets_10_23[[#This Row],[NC To Fill]]</f>
        <v>0</v>
      </c>
      <c r="BA5" s="31">
        <f>Buckets_10_23[[#This Row],[Crit Filled]]+Buckets_10_23[[#This Row],[Scaled]]</f>
        <v>400</v>
      </c>
      <c r="BB5" s="31">
        <f>Buckets_10_23[[#This Row],[NC Filled]]</f>
        <v>400</v>
      </c>
      <c r="BC5" s="31">
        <f>Buckets_10_23[[#This Row],[Capacity]]-Buckets_10_23[[#This Row],[Final]]</f>
        <v>0</v>
      </c>
      <c r="BD5" s="33">
        <f>IF(Buckets_10_23[[#This Row],[Capacity]]=0, 1, Buckets_10_23[[#This Row],[Final]]/Buckets_10_23[[#This Row],[Capacity]])</f>
        <v>1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0">AL5</f>
        <v>1</v>
      </c>
      <c r="BI5" s="43" t="e">
        <f>NA()</f>
        <v>#N/A</v>
      </c>
      <c r="BJ5" s="42"/>
      <c r="BK5" s="43" t="e">
        <f>NA()</f>
        <v>#N/A</v>
      </c>
      <c r="BL5" s="42"/>
      <c r="BM5" s="43"/>
      <c r="BN5" s="31">
        <f t="shared" ref="BN5:BN35" si="21">IF(ISBLANK(BJ5), BF5, BJ5)</f>
        <v>400</v>
      </c>
      <c r="BO5" s="31">
        <f t="shared" si="1"/>
        <v>400</v>
      </c>
      <c r="BP5" t="b">
        <f t="shared" si="2"/>
        <v>1</v>
      </c>
      <c r="BR5" s="29">
        <f t="shared" ref="BR5:BR35" si="22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3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31">
        <f>CB$41/Buckets_11_23[[#Totals],[NC To Fill]]*Buckets_11_23[[#This Row],[NC To Fill]]</f>
        <v>0</v>
      </c>
      <c r="CE5" s="31">
        <f>Buckets_11_23[[#This Row],[Crit Filled]]+Buckets_11_23[[#This Row],[Scaled]]</f>
        <v>400</v>
      </c>
      <c r="CF5" s="31">
        <f>Buckets_11_23[[#This Row],[NC Filled]]</f>
        <v>400</v>
      </c>
      <c r="CG5" s="31">
        <f>Buckets_11_23[[#This Row],[Capacity]]-Buckets_11_23[[#This Row],[Final]]</f>
        <v>0</v>
      </c>
      <c r="CH5" s="33">
        <f>IF(Buckets_11_23[[#This Row],[Capacity]]=0, 1, Buckets_11_23[[#This Row],[Final]]/Buckets_11_23[[#This Row],[Capacity]])</f>
        <v>1</v>
      </c>
      <c r="CJ5" s="40">
        <f>Buckets_11_23[[#This Row],[Final]]</f>
        <v>400</v>
      </c>
      <c r="CK5" s="40">
        <f>Buckets_11_23[[#This Row],[Capacity]]</f>
        <v>400</v>
      </c>
      <c r="CL5" s="41" t="b">
        <f t="shared" ref="CL5:CL35" si="24">BP5</f>
        <v>1</v>
      </c>
      <c r="CM5" s="42"/>
      <c r="CN5" s="42"/>
      <c r="CO5" s="42" t="e">
        <f>NA()</f>
        <v>#N/A</v>
      </c>
      <c r="CP5" s="42"/>
      <c r="CQ5" s="43"/>
      <c r="CR5" s="40">
        <f t="shared" ref="CR5:CR35" si="25">IF(NOT(ISBLANK(CN5)), CN5,
IF(NOT(ISBLANK(CM5)), CJ5+CM5,
CJ5))</f>
        <v>400</v>
      </c>
      <c r="CS5" s="40">
        <f t="shared" si="3"/>
        <v>400</v>
      </c>
      <c r="CT5" s="41" t="b">
        <f t="shared" si="4"/>
        <v>1</v>
      </c>
      <c r="CV5" s="29">
        <f t="shared" ref="CV5:CV35" si="26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7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31">
        <f>DF$41/Buckets_12_23[[#Totals],[NC To Fill]]*Buckets_12_23[[#This Row],[NC To Fill]]</f>
        <v>0</v>
      </c>
      <c r="DI5" s="31">
        <f>Buckets_12_23[[#This Row],[Crit Filled]]+Buckets_12_23[[#This Row],[Scaled]]</f>
        <v>400</v>
      </c>
      <c r="DJ5" s="31">
        <f>Buckets_12_23[[#This Row],[NC Filled]]</f>
        <v>400</v>
      </c>
      <c r="DK5" s="31">
        <f>Buckets_12_23[[#This Row],[Capacity]]-Buckets_12_23[[#This Row],[Final]]</f>
        <v>0</v>
      </c>
      <c r="DL5" s="33">
        <f>IF(Buckets_12_23[[#This Row],[Capacity]]=0, 1, Buckets_12_23[[#This Row],[Final]]/Buckets_12_23[[#This Row],[Capacity]])</f>
        <v>1</v>
      </c>
      <c r="DN5" s="40">
        <f>Buckets_12_23[[#This Row],[Final]]</f>
        <v>400</v>
      </c>
      <c r="DO5" s="40">
        <f>Buckets_12_23[[#This Row],[Capacity]]</f>
        <v>400</v>
      </c>
      <c r="DP5" s="41" t="b">
        <f t="shared" ref="DP5:DP35" si="28">CT5</f>
        <v>1</v>
      </c>
      <c r="DQ5" s="42"/>
      <c r="DR5" s="42"/>
      <c r="DS5" s="42" t="e">
        <f>NA()</f>
        <v>#N/A</v>
      </c>
      <c r="DT5" s="42"/>
      <c r="DU5" s="43"/>
      <c r="DV5" s="40">
        <f t="shared" ref="DV5:DV35" si="29">IF(NOT(ISBLANK(DR5)), DR5,
IF(NOT(ISBLANK(DQ5)), DN5+DQ5,
DN5))</f>
        <v>400</v>
      </c>
      <c r="DW5" s="40">
        <f t="shared" si="5"/>
        <v>400</v>
      </c>
      <c r="DX5" s="41" t="b">
        <f t="shared" si="6"/>
        <v>1</v>
      </c>
      <c r="DZ5" s="29">
        <f t="shared" ref="DZ5:DZ35" si="30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1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31">
        <f>EJ$41/Buckets_1_24[[#Totals],[NC To Fill]]*Buckets_1_24[[#This Row],[NC To Fill]]</f>
        <v>0</v>
      </c>
      <c r="EM5" s="31">
        <f>Buckets_1_24[[#This Row],[Crit Filled]]+Buckets_1_24[[#This Row],[Scaled]]</f>
        <v>400</v>
      </c>
      <c r="EN5" s="31">
        <f>Buckets_1_24[[#This Row],[NC Filled]]</f>
        <v>400</v>
      </c>
      <c r="EO5" s="31">
        <f>Buckets_1_24[[#This Row],[Capacity]]-Buckets_1_24[[#This Row],[Final]]</f>
        <v>0</v>
      </c>
      <c r="EP5" s="33">
        <f>IF(Buckets_1_24[[#This Row],[Capacity]]=0, 1, Buckets_1_24[[#This Row],[Final]]/Buckets_1_24[[#This Row],[Capacity]])</f>
        <v>1</v>
      </c>
      <c r="ER5" s="40">
        <f>Buckets_1_24[[#This Row],[Final]]</f>
        <v>400</v>
      </c>
      <c r="ES5" s="40">
        <f>Buckets_1_24[[#This Row],[Capacity]]</f>
        <v>400</v>
      </c>
      <c r="ET5" s="41" t="b">
        <f t="shared" ref="ET5:ET35" si="32">DX5</f>
        <v>1</v>
      </c>
      <c r="EU5" s="42"/>
      <c r="EV5" s="42"/>
      <c r="EW5" s="42"/>
      <c r="EX5" s="42"/>
      <c r="EY5" s="43"/>
      <c r="EZ5" s="40">
        <f t="shared" ref="EZ5:EZ35" si="33">IF(NOT(ISBLANK(EV5)), EV5,
IF(NOT(ISBLANK(EU5)), ER5+EU5,
ER5))</f>
        <v>400</v>
      </c>
      <c r="FA5" s="40">
        <f t="shared" ref="FA5:FA35" si="34">IF(NOT(ISBLANK(EX5)), EX5,
IF(NOT(ISBLANK(EW5)), ES5+EW5,
ES5))</f>
        <v>400</v>
      </c>
      <c r="FB5" s="41" t="b">
        <f t="shared" si="7"/>
        <v>1</v>
      </c>
      <c r="FD5" s="29">
        <f t="shared" ref="FD5:FD35" si="35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6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31">
        <f>FN$41/Buckets_2_24[[#Totals],[NC To Fill]]*Buckets_2_24[[#This Row],[NC To Fill]]</f>
        <v>0</v>
      </c>
      <c r="FQ5" s="31">
        <f>Buckets_2_24[[#This Row],[Crit Filled]]+Buckets_2_24[[#This Row],[Scaled]]</f>
        <v>400</v>
      </c>
      <c r="FR5" s="31">
        <f>Buckets_2_24[[#This Row],[NC Filled]]</f>
        <v>400</v>
      </c>
      <c r="FS5" s="31">
        <f>Buckets_2_24[[#This Row],[Capacity]]-Buckets_2_24[[#This Row],[Final]]</f>
        <v>0</v>
      </c>
      <c r="FT5" s="33">
        <f>IF(Buckets_2_24[[#This Row],[Capacity]]=0, 1, Buckets_2_24[[#This Row],[Final]]/Buckets_2_24[[#This Row],[Capacity]])</f>
        <v>1</v>
      </c>
      <c r="FV5" s="40">
        <f>Buckets_2_24[[#This Row],[Final]]</f>
        <v>400</v>
      </c>
      <c r="FW5" s="40">
        <f>Buckets_2_24[[#This Row],[Capacity]]</f>
        <v>400</v>
      </c>
      <c r="FX5" s="41" t="b">
        <f t="shared" ref="FX5:FX35" si="37">FB5</f>
        <v>1</v>
      </c>
      <c r="FY5" s="42"/>
      <c r="FZ5" s="42"/>
      <c r="GA5" s="42"/>
      <c r="GB5" s="42"/>
      <c r="GC5" s="43"/>
      <c r="GD5" s="40">
        <f t="shared" ref="GD5:GD35" si="38">IF(NOT(ISBLANK(FZ5)), FZ5,
IF(NOT(ISBLANK(FY5)), FV5+FY5,
FV5))</f>
        <v>400</v>
      </c>
      <c r="GE5" s="40">
        <f t="shared" ref="GE5:GE35" si="39">IF(NOT(ISBLANK(GB5)), GB5,
IF(NOT(ISBLANK(GA5)), FW5+GA5,
FW5))</f>
        <v>400</v>
      </c>
      <c r="GF5" s="41" t="b">
        <f t="shared" si="8"/>
        <v>1</v>
      </c>
      <c r="GH5" s="29">
        <f t="shared" ref="GH5:GH35" si="40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1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31">
        <f>GR$41/Buckets_3_24[[#Totals],[NC To Fill]]*Buckets_3_24[[#This Row],[NC To Fill]]</f>
        <v>0</v>
      </c>
      <c r="GU5" s="31">
        <f>Buckets_3_24[[#This Row],[Crit Filled]]+Buckets_3_24[[#This Row],[Scaled]]</f>
        <v>400</v>
      </c>
      <c r="GV5" s="31">
        <f>Buckets_3_24[[#This Row],[NC Filled]]</f>
        <v>400</v>
      </c>
      <c r="GW5" s="31">
        <f>Buckets_3_24[[#This Row],[Capacity]]-Buckets_3_24[[#This Row],[Final]]</f>
        <v>0</v>
      </c>
      <c r="GX5" s="33">
        <f>IF(Buckets_3_24[[#This Row],[Capacity]]=0, 1, Buckets_3_24[[#This Row],[Final]]/Buckets_3_24[[#This Row],[Capacity]])</f>
        <v>1</v>
      </c>
      <c r="GZ5" s="40">
        <f>Buckets_3_24[[#This Row],[Final]]</f>
        <v>400</v>
      </c>
      <c r="HA5" s="40">
        <f>Buckets_3_24[[#This Row],[Capacity]]</f>
        <v>400</v>
      </c>
      <c r="HB5" s="41" t="b">
        <f t="shared" ref="HB5:HB35" si="42">GF5</f>
        <v>1</v>
      </c>
      <c r="HC5" s="42"/>
      <c r="HD5" s="42"/>
      <c r="HE5" s="42"/>
      <c r="HF5" s="42"/>
      <c r="HG5" s="43"/>
      <c r="HH5" s="40">
        <f t="shared" ref="HH5:HH35" si="43">IF(NOT(ISBLANK(HD5)), HD5,
IF(NOT(ISBLANK(HC5)), GZ5+HC5,
GZ5))</f>
        <v>400</v>
      </c>
      <c r="HI5" s="40">
        <f t="shared" ref="HI5:HI35" si="44">IF(NOT(ISBLANK(HF5)), HF5,
IF(NOT(ISBLANK(HE5)), HA5+HE5,
HA5))</f>
        <v>400</v>
      </c>
      <c r="HJ5" s="41" t="b">
        <f t="shared" si="9"/>
        <v>1</v>
      </c>
      <c r="HL5" s="29">
        <f t="shared" ref="HL5:HL35" si="45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6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31">
        <f>HV$41/Buckets_4_24[[#Totals],[NC To Fill]]*Buckets_4_24[[#This Row],[NC To Fill]]</f>
        <v>0</v>
      </c>
      <c r="HY5" s="31">
        <f>Buckets_4_24[[#This Row],[Crit Filled]]+Buckets_4_24[[#This Row],[Scaled]]</f>
        <v>400</v>
      </c>
      <c r="HZ5" s="31">
        <f>Buckets_4_24[[#This Row],[NC Filled]]</f>
        <v>400</v>
      </c>
      <c r="IA5" s="31">
        <f>Buckets_4_24[[#This Row],[Capacity]]-Buckets_4_24[[#This Row],[Final]]</f>
        <v>0</v>
      </c>
      <c r="IB5" s="33">
        <f>IF(Buckets_4_24[[#This Row],[Capacity]]=0, 1, Buckets_4_24[[#This Row],[Final]]/Buckets_4_24[[#This Row],[Capacity]])</f>
        <v>1</v>
      </c>
      <c r="ID5" s="40">
        <f>Buckets_4_24[[#This Row],[Final]]</f>
        <v>400</v>
      </c>
      <c r="IE5" s="40">
        <f>Buckets_4_24[[#This Row],[Capacity]]</f>
        <v>400</v>
      </c>
      <c r="IF5" s="41" t="b">
        <f t="shared" ref="IF5:IF35" si="47">HJ5</f>
        <v>1</v>
      </c>
      <c r="IG5" s="42"/>
      <c r="IH5" s="42"/>
      <c r="II5" s="42"/>
      <c r="IJ5" s="42"/>
      <c r="IK5" s="43"/>
      <c r="IL5" s="40">
        <f t="shared" ref="IL5:IL35" si="48">IF(NOT(ISBLANK(IH5)), IH5,
IF(NOT(ISBLANK(IG5)), ID5+IG5,
ID5))</f>
        <v>400</v>
      </c>
      <c r="IM5" s="40">
        <f t="shared" ref="IM5:IM35" si="49">IF(NOT(ISBLANK(IJ5)), IJ5,
IF(NOT(ISBLANK(II5)), IE5+II5,
IE5))</f>
        <v>400</v>
      </c>
      <c r="IN5" s="41" t="b">
        <f t="shared" si="10"/>
        <v>1</v>
      </c>
    </row>
    <row r="6" spans="1:24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8">
        <v>300</v>
      </c>
      <c r="H6" t="b">
        <v>0</v>
      </c>
      <c r="J6" s="29">
        <f t="shared" si="11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2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 t="shared" si="13"/>
        <v>300</v>
      </c>
      <c r="AD6" t="b">
        <f t="shared" si="14"/>
        <v>0</v>
      </c>
      <c r="AE6" s="43" t="e">
        <f>NA()</f>
        <v>#N/A</v>
      </c>
      <c r="AF6" s="42"/>
      <c r="AG6" s="43" t="e">
        <f>NA()</f>
        <v>#N/A</v>
      </c>
      <c r="AH6" s="42"/>
      <c r="AI6" s="43"/>
      <c r="AJ6" s="31">
        <f t="shared" si="15"/>
        <v>264.26556025624274</v>
      </c>
      <c r="AK6" s="31">
        <f t="shared" si="16"/>
        <v>300</v>
      </c>
      <c r="AL6" t="b">
        <f t="shared" si="17"/>
        <v>0</v>
      </c>
      <c r="AN6" s="29">
        <f t="shared" si="18"/>
        <v>264.26556025624274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226.00556025624275</v>
      </c>
      <c r="AQ6" s="29">
        <f t="shared" si="19"/>
        <v>300</v>
      </c>
      <c r="AR6" s="29">
        <f>Buckets_10_23[[#This Row],[Capacity]]-Buckets_10_23[[#This Row],[After T]]</f>
        <v>73.994439743757255</v>
      </c>
      <c r="AS6" s="29">
        <f>MAX(-Buckets_10_23[[#This Row],[Cap Diff]], 0)</f>
        <v>0</v>
      </c>
      <c r="AT6" s="29">
        <f>Buckets_10_23[[#This Row],[After T]]-Buckets_10_23[[#This Row],[Slush]]</f>
        <v>226.00556025624275</v>
      </c>
      <c r="AU6" s="29">
        <f>Buckets_10_23[[#This Row],[Capacity]]-Buckets_10_23[[#This Row],[Before Fill]]</f>
        <v>73.994439743757255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226.00556025624275</v>
      </c>
      <c r="AY6" s="29">
        <f>IF(NOT(Buckets_10_23[[#This Row],[Is Crit]]), Buckets_10_23[[#This Row],[S Cap Diff]], 0)</f>
        <v>73.994439743757255</v>
      </c>
      <c r="AZ6" s="31">
        <f>AX$41/Buckets_10_23[[#Totals],[NC To Fill]]*Buckets_10_23[[#This Row],[NC To Fill]]</f>
        <v>43.950650377612725</v>
      </c>
      <c r="BA6" s="31">
        <f>Buckets_10_23[[#This Row],[Crit Filled]]+Buckets_10_23[[#This Row],[Scaled]]</f>
        <v>269.95621063385545</v>
      </c>
      <c r="BB6" s="31">
        <f>Buckets_10_23[[#This Row],[NC Filled]]</f>
        <v>269.95621063385545</v>
      </c>
      <c r="BC6" s="31">
        <f>Buckets_10_23[[#This Row],[Capacity]]-Buckets_10_23[[#This Row],[Final]]</f>
        <v>30.043789366144551</v>
      </c>
      <c r="BD6" s="33">
        <f>IF(Buckets_10_23[[#This Row],[Capacity]]=0, 1, Buckets_10_23[[#This Row],[Final]]/Buckets_10_23[[#This Row],[Capacity]])</f>
        <v>0.89985403544618481</v>
      </c>
      <c r="BF6" s="31">
        <f>Buckets_10_23[[#This Row],[Final]]</f>
        <v>269.95621063385545</v>
      </c>
      <c r="BG6" s="31">
        <f>Buckets_10_23[[#This Row],[Capacity]]</f>
        <v>300</v>
      </c>
      <c r="BH6" t="b">
        <f t="shared" si="20"/>
        <v>0</v>
      </c>
      <c r="BI6" s="43" t="e">
        <f>NA()</f>
        <v>#N/A</v>
      </c>
      <c r="BJ6" s="42"/>
      <c r="BK6" s="43" t="e">
        <f>NA()</f>
        <v>#N/A</v>
      </c>
      <c r="BL6" s="42"/>
      <c r="BM6" s="43"/>
      <c r="BN6" s="31">
        <f t="shared" si="21"/>
        <v>269.95621063385545</v>
      </c>
      <c r="BO6" s="31">
        <f t="shared" si="1"/>
        <v>300</v>
      </c>
      <c r="BP6" t="b">
        <f t="shared" si="2"/>
        <v>0</v>
      </c>
      <c r="BR6" s="29">
        <f t="shared" si="22"/>
        <v>269.95621063385545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63.416210633855428</v>
      </c>
      <c r="BU6" s="29">
        <f t="shared" si="23"/>
        <v>300</v>
      </c>
      <c r="BV6" s="29">
        <f>Buckets_11_23[[#This Row],[Capacity]]-Buckets_11_23[[#This Row],[After T]]</f>
        <v>236.58378936614457</v>
      </c>
      <c r="BW6" s="29">
        <f>MAX(-Buckets_11_23[[#This Row],[Cap Diff]], 0)</f>
        <v>0</v>
      </c>
      <c r="BX6" s="29">
        <f>Buckets_11_23[[#This Row],[After T]]-Buckets_11_23[[#This Row],[Slush]]</f>
        <v>63.416210633855428</v>
      </c>
      <c r="BY6" s="29">
        <f>Buckets_11_23[[#This Row],[Capacity]]-Buckets_11_23[[#This Row],[Before Fill]]</f>
        <v>236.58378936614457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63.416210633855428</v>
      </c>
      <c r="CC6" s="29">
        <f>IF(NOT(Buckets_11_23[[#This Row],[Is Crit]]), Buckets_11_23[[#This Row],[S Cap Diff]], 0)</f>
        <v>236.58378936614457</v>
      </c>
      <c r="CD6" s="31">
        <f>CB$41/Buckets_11_23[[#Totals],[NC To Fill]]*Buckets_11_23[[#This Row],[NC To Fill]]</f>
        <v>233.31965256718959</v>
      </c>
      <c r="CE6" s="31">
        <f>Buckets_11_23[[#This Row],[Crit Filled]]+Buckets_11_23[[#This Row],[Scaled]]</f>
        <v>296.73586320104505</v>
      </c>
      <c r="CF6" s="31">
        <f>Buckets_11_23[[#This Row],[NC Filled]]</f>
        <v>296.73586320104505</v>
      </c>
      <c r="CG6" s="31">
        <f>Buckets_11_23[[#This Row],[Capacity]]-Buckets_11_23[[#This Row],[Final]]</f>
        <v>3.2641367989549508</v>
      </c>
      <c r="CH6" s="33">
        <f>IF(Buckets_11_23[[#This Row],[Capacity]]=0, 1, Buckets_11_23[[#This Row],[Final]]/Buckets_11_23[[#This Row],[Capacity]])</f>
        <v>0.98911954400348345</v>
      </c>
      <c r="CJ6" s="40">
        <f>Buckets_11_23[[#This Row],[Final]]</f>
        <v>296.73586320104505</v>
      </c>
      <c r="CK6" s="40">
        <f>Buckets_11_23[[#This Row],[Capacity]]</f>
        <v>300</v>
      </c>
      <c r="CL6" s="41" t="b">
        <f t="shared" si="24"/>
        <v>0</v>
      </c>
      <c r="CM6" s="42"/>
      <c r="CN6" s="42"/>
      <c r="CO6" s="42" t="e">
        <f>NA()</f>
        <v>#N/A</v>
      </c>
      <c r="CP6" s="42"/>
      <c r="CQ6" s="43" t="b">
        <v>1</v>
      </c>
      <c r="CR6" s="40">
        <f t="shared" si="25"/>
        <v>296.73586320104505</v>
      </c>
      <c r="CS6" s="40">
        <f t="shared" si="3"/>
        <v>300</v>
      </c>
      <c r="CT6" s="41" t="b">
        <f t="shared" si="4"/>
        <v>1</v>
      </c>
      <c r="CV6" s="29">
        <f t="shared" si="26"/>
        <v>296.73586320104505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272.26586320104502</v>
      </c>
      <c r="CY6" s="29">
        <f t="shared" si="27"/>
        <v>300</v>
      </c>
      <c r="CZ6" s="29">
        <f>Buckets_12_23[[#This Row],[Capacity]]-Buckets_12_23[[#This Row],[After T]]</f>
        <v>27.734136798954978</v>
      </c>
      <c r="DA6" s="29">
        <f>MAX(-Buckets_12_23[[#This Row],[Cap Diff]], 0)</f>
        <v>0</v>
      </c>
      <c r="DB6" s="29">
        <f>Buckets_12_23[[#This Row],[After T]]-Buckets_12_23[[#This Row],[Slush]]</f>
        <v>272.26586320104502</v>
      </c>
      <c r="DC6" s="29">
        <f>Buckets_12_23[[#This Row],[Capacity]]-Buckets_12_23[[#This Row],[Before Fill]]</f>
        <v>27.734136798954978</v>
      </c>
      <c r="DD6" t="b">
        <f>OR(CT6, Buckets_12_23[[#This Row],[After T]]&lt;0)</f>
        <v>1</v>
      </c>
      <c r="DE6" s="29">
        <f>IF(Buckets_12_23[[#This Row],[Is Crit]], Buckets_12_23[[#This Row],[S Cap Diff]], 0)</f>
        <v>27.734136798954978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31">
        <f>DF$41/Buckets_12_23[[#Totals],[NC To Fill]]*Buckets_12_23[[#This Row],[NC To Fill]]</f>
        <v>0</v>
      </c>
      <c r="DI6" s="31">
        <f>Buckets_12_23[[#This Row],[Crit Filled]]+Buckets_12_23[[#This Row],[Scaled]]</f>
        <v>300</v>
      </c>
      <c r="DJ6" s="31">
        <f>Buckets_12_23[[#This Row],[NC Filled]]</f>
        <v>300</v>
      </c>
      <c r="DK6" s="31">
        <f>Buckets_12_23[[#This Row],[Capacity]]-Buckets_12_23[[#This Row],[Final]]</f>
        <v>0</v>
      </c>
      <c r="DL6" s="33">
        <f>IF(Buckets_12_23[[#This Row],[Capacity]]=0, 1, Buckets_12_23[[#This Row],[Final]]/Buckets_12_23[[#This Row],[Capacity]])</f>
        <v>1</v>
      </c>
      <c r="DN6" s="40">
        <f>Buckets_12_23[[#This Row],[Final]]</f>
        <v>300</v>
      </c>
      <c r="DO6" s="40">
        <f>Buckets_12_23[[#This Row],[Capacity]]</f>
        <v>300</v>
      </c>
      <c r="DP6" s="41" t="b">
        <f t="shared" si="28"/>
        <v>1</v>
      </c>
      <c r="DQ6" s="42"/>
      <c r="DR6" s="42"/>
      <c r="DS6" s="42" t="e">
        <f>NA()</f>
        <v>#N/A</v>
      </c>
      <c r="DT6" s="42"/>
      <c r="DU6" s="43"/>
      <c r="DV6" s="40">
        <f t="shared" si="29"/>
        <v>300</v>
      </c>
      <c r="DW6" s="40">
        <f t="shared" si="5"/>
        <v>300</v>
      </c>
      <c r="DX6" s="41" t="b">
        <f t="shared" si="6"/>
        <v>1</v>
      </c>
      <c r="DZ6" s="29">
        <f t="shared" si="30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1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31">
        <f>EJ$41/Buckets_1_24[[#Totals],[NC To Fill]]*Buckets_1_24[[#This Row],[NC To Fill]]</f>
        <v>0</v>
      </c>
      <c r="EM6" s="31">
        <f>Buckets_1_24[[#This Row],[Crit Filled]]+Buckets_1_24[[#This Row],[Scaled]]</f>
        <v>300</v>
      </c>
      <c r="EN6" s="31">
        <f>Buckets_1_24[[#This Row],[NC Filled]]</f>
        <v>300</v>
      </c>
      <c r="EO6" s="31">
        <f>Buckets_1_24[[#This Row],[Capacity]]-Buckets_1_24[[#This Row],[Final]]</f>
        <v>0</v>
      </c>
      <c r="EP6" s="33">
        <f>IF(Buckets_1_24[[#This Row],[Capacity]]=0, 1, Buckets_1_24[[#This Row],[Final]]/Buckets_1_24[[#This Row],[Capacity]])</f>
        <v>1</v>
      </c>
      <c r="ER6" s="40">
        <f>Buckets_1_24[[#This Row],[Final]]</f>
        <v>300</v>
      </c>
      <c r="ES6" s="40">
        <f>Buckets_1_24[[#This Row],[Capacity]]</f>
        <v>300</v>
      </c>
      <c r="ET6" s="41" t="b">
        <f t="shared" si="32"/>
        <v>1</v>
      </c>
      <c r="EU6" s="42"/>
      <c r="EV6" s="42"/>
      <c r="EW6" s="42"/>
      <c r="EX6" s="42"/>
      <c r="EY6" s="43"/>
      <c r="EZ6" s="40">
        <f t="shared" si="33"/>
        <v>300</v>
      </c>
      <c r="FA6" s="40">
        <f t="shared" si="34"/>
        <v>300</v>
      </c>
      <c r="FB6" s="41" t="b">
        <f t="shared" si="7"/>
        <v>1</v>
      </c>
      <c r="FD6" s="29">
        <f t="shared" si="35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6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31">
        <f>FN$41/Buckets_2_24[[#Totals],[NC To Fill]]*Buckets_2_24[[#This Row],[NC To Fill]]</f>
        <v>0</v>
      </c>
      <c r="FQ6" s="31">
        <f>Buckets_2_24[[#This Row],[Crit Filled]]+Buckets_2_24[[#This Row],[Scaled]]</f>
        <v>300</v>
      </c>
      <c r="FR6" s="31">
        <f>Buckets_2_24[[#This Row],[NC Filled]]</f>
        <v>300</v>
      </c>
      <c r="FS6" s="31">
        <f>Buckets_2_24[[#This Row],[Capacity]]-Buckets_2_24[[#This Row],[Final]]</f>
        <v>0</v>
      </c>
      <c r="FT6" s="33">
        <f>IF(Buckets_2_24[[#This Row],[Capacity]]=0, 1, Buckets_2_24[[#This Row],[Final]]/Buckets_2_24[[#This Row],[Capacity]])</f>
        <v>1</v>
      </c>
      <c r="FV6" s="40">
        <f>Buckets_2_24[[#This Row],[Final]]</f>
        <v>300</v>
      </c>
      <c r="FW6" s="40">
        <f>Buckets_2_24[[#This Row],[Capacity]]</f>
        <v>300</v>
      </c>
      <c r="FX6" s="41" t="b">
        <f t="shared" si="37"/>
        <v>1</v>
      </c>
      <c r="FY6" s="42"/>
      <c r="FZ6" s="42"/>
      <c r="GA6" s="42"/>
      <c r="GB6" s="42">
        <v>500</v>
      </c>
      <c r="GC6" s="43"/>
      <c r="GD6" s="40">
        <f t="shared" si="38"/>
        <v>300</v>
      </c>
      <c r="GE6" s="40">
        <f t="shared" si="39"/>
        <v>500</v>
      </c>
      <c r="GF6" s="41" t="b">
        <f t="shared" si="8"/>
        <v>1</v>
      </c>
      <c r="GH6" s="29">
        <f t="shared" si="40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1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31">
        <f>GR$41/Buckets_3_24[[#Totals],[NC To Fill]]*Buckets_3_24[[#This Row],[NC To Fill]]</f>
        <v>0</v>
      </c>
      <c r="GU6" s="31">
        <f>Buckets_3_24[[#This Row],[Crit Filled]]+Buckets_3_24[[#This Row],[Scaled]]</f>
        <v>500</v>
      </c>
      <c r="GV6" s="31">
        <f>Buckets_3_24[[#This Row],[NC Filled]]</f>
        <v>500</v>
      </c>
      <c r="GW6" s="31">
        <f>Buckets_3_24[[#This Row],[Capacity]]-Buckets_3_24[[#This Row],[Final]]</f>
        <v>0</v>
      </c>
      <c r="GX6" s="33">
        <f>IF(Buckets_3_24[[#This Row],[Capacity]]=0, 1, Buckets_3_24[[#This Row],[Final]]/Buckets_3_24[[#This Row],[Capacity]])</f>
        <v>1</v>
      </c>
      <c r="GZ6" s="40">
        <f>Buckets_3_24[[#This Row],[Final]]</f>
        <v>500</v>
      </c>
      <c r="HA6" s="40">
        <f>Buckets_3_24[[#This Row],[Capacity]]</f>
        <v>500</v>
      </c>
      <c r="HB6" s="41" t="b">
        <f t="shared" si="42"/>
        <v>1</v>
      </c>
      <c r="HC6" s="42"/>
      <c r="HD6" s="42"/>
      <c r="HE6" s="42"/>
      <c r="HF6" s="42"/>
      <c r="HG6" s="43"/>
      <c r="HH6" s="40">
        <f t="shared" si="43"/>
        <v>500</v>
      </c>
      <c r="HI6" s="40">
        <f t="shared" si="44"/>
        <v>500</v>
      </c>
      <c r="HJ6" s="41" t="b">
        <f t="shared" si="9"/>
        <v>1</v>
      </c>
      <c r="HL6" s="29">
        <f t="shared" si="45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6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31">
        <f>HV$41/Buckets_4_24[[#Totals],[NC To Fill]]*Buckets_4_24[[#This Row],[NC To Fill]]</f>
        <v>0</v>
      </c>
      <c r="HY6" s="31">
        <f>Buckets_4_24[[#This Row],[Crit Filled]]+Buckets_4_24[[#This Row],[Scaled]]</f>
        <v>500</v>
      </c>
      <c r="HZ6" s="31">
        <f>Buckets_4_24[[#This Row],[NC Filled]]</f>
        <v>500</v>
      </c>
      <c r="IA6" s="31">
        <f>Buckets_4_24[[#This Row],[Capacity]]-Buckets_4_24[[#This Row],[Final]]</f>
        <v>0</v>
      </c>
      <c r="IB6" s="33">
        <f>IF(Buckets_4_24[[#This Row],[Capacity]]=0, 1, Buckets_4_24[[#This Row],[Final]]/Buckets_4_24[[#This Row],[Capacity]])</f>
        <v>1</v>
      </c>
      <c r="ID6" s="40">
        <f>Buckets_4_24[[#This Row],[Final]]</f>
        <v>500</v>
      </c>
      <c r="IE6" s="40">
        <f>Buckets_4_24[[#This Row],[Capacity]]</f>
        <v>500</v>
      </c>
      <c r="IF6" s="41" t="b">
        <f t="shared" si="47"/>
        <v>1</v>
      </c>
      <c r="IG6" s="42"/>
      <c r="IH6" s="42"/>
      <c r="II6" s="42"/>
      <c r="IJ6" s="42"/>
      <c r="IK6" s="43"/>
      <c r="IL6" s="40">
        <f t="shared" si="48"/>
        <v>500</v>
      </c>
      <c r="IM6" s="40">
        <f t="shared" si="49"/>
        <v>500</v>
      </c>
      <c r="IN6" s="41" t="b">
        <f t="shared" si="10"/>
        <v>1</v>
      </c>
    </row>
    <row r="7" spans="1:24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8">
        <v>100</v>
      </c>
      <c r="H7" t="b">
        <v>1</v>
      </c>
      <c r="J7" s="29">
        <f t="shared" si="11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2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 t="shared" si="13"/>
        <v>100</v>
      </c>
      <c r="AD7" t="b">
        <f t="shared" si="14"/>
        <v>1</v>
      </c>
      <c r="AE7" s="43" t="e">
        <f>NA()</f>
        <v>#N/A</v>
      </c>
      <c r="AF7" s="42"/>
      <c r="AG7" s="43" t="e">
        <f>NA()</f>
        <v>#N/A</v>
      </c>
      <c r="AH7" s="42"/>
      <c r="AI7" s="43"/>
      <c r="AJ7" s="31">
        <f t="shared" si="15"/>
        <v>100</v>
      </c>
      <c r="AK7" s="31">
        <f t="shared" si="16"/>
        <v>100</v>
      </c>
      <c r="AL7" t="b">
        <f t="shared" si="17"/>
        <v>1</v>
      </c>
      <c r="AN7" s="29">
        <f t="shared" si="18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19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31">
        <f>AX$41/Buckets_10_23[[#Totals],[NC To Fill]]*Buckets_10_23[[#This Row],[NC To Fill]]</f>
        <v>0</v>
      </c>
      <c r="BA7" s="31">
        <f>Buckets_10_23[[#This Row],[Crit Filled]]+Buckets_10_23[[#This Row],[Scaled]]</f>
        <v>100</v>
      </c>
      <c r="BB7" s="31">
        <f>Buckets_10_23[[#This Row],[NC Filled]]</f>
        <v>100</v>
      </c>
      <c r="BC7" s="31">
        <f>Buckets_10_23[[#This Row],[Capacity]]-Buckets_10_23[[#This Row],[Final]]</f>
        <v>0</v>
      </c>
      <c r="BD7" s="33">
        <f>IF(Buckets_10_23[[#This Row],[Capacity]]=0, 1, Buckets_10_23[[#This Row],[Final]]/Buckets_10_23[[#This Row],[Capacity]])</f>
        <v>1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0"/>
        <v>1</v>
      </c>
      <c r="BI7" s="43" t="e">
        <f>NA()</f>
        <v>#N/A</v>
      </c>
      <c r="BJ7" s="42"/>
      <c r="BK7" s="43" t="e">
        <f>NA()</f>
        <v>#N/A</v>
      </c>
      <c r="BL7" s="42"/>
      <c r="BM7" s="43"/>
      <c r="BN7" s="31">
        <f t="shared" si="21"/>
        <v>100</v>
      </c>
      <c r="BO7" s="31">
        <f t="shared" si="1"/>
        <v>100</v>
      </c>
      <c r="BP7" t="b">
        <f t="shared" si="2"/>
        <v>1</v>
      </c>
      <c r="BR7" s="29">
        <f t="shared" si="22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3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31">
        <f>CB$41/Buckets_11_23[[#Totals],[NC To Fill]]*Buckets_11_23[[#This Row],[NC To Fill]]</f>
        <v>0</v>
      </c>
      <c r="CE7" s="31">
        <f>Buckets_11_23[[#This Row],[Crit Filled]]+Buckets_11_23[[#This Row],[Scaled]]</f>
        <v>100</v>
      </c>
      <c r="CF7" s="31">
        <f>Buckets_11_23[[#This Row],[NC Filled]]</f>
        <v>100</v>
      </c>
      <c r="CG7" s="31">
        <f>Buckets_11_23[[#This Row],[Capacity]]-Buckets_11_23[[#This Row],[Final]]</f>
        <v>0</v>
      </c>
      <c r="CH7" s="33">
        <f>IF(Buckets_11_23[[#This Row],[Capacity]]=0, 1, Buckets_11_23[[#This Row],[Final]]/Buckets_11_23[[#This Row],[Capacity]])</f>
        <v>1</v>
      </c>
      <c r="CJ7" s="40">
        <f>Buckets_11_23[[#This Row],[Final]]</f>
        <v>100</v>
      </c>
      <c r="CK7" s="40">
        <f>Buckets_11_23[[#This Row],[Capacity]]</f>
        <v>100</v>
      </c>
      <c r="CL7" s="41" t="b">
        <f t="shared" si="24"/>
        <v>1</v>
      </c>
      <c r="CM7" s="42"/>
      <c r="CN7" s="42"/>
      <c r="CO7" s="42" t="e">
        <f>NA()</f>
        <v>#N/A</v>
      </c>
      <c r="CP7" s="42"/>
      <c r="CQ7" s="43"/>
      <c r="CR7" s="40">
        <f t="shared" si="25"/>
        <v>100</v>
      </c>
      <c r="CS7" s="40">
        <f t="shared" si="3"/>
        <v>100</v>
      </c>
      <c r="CT7" s="41" t="b">
        <f t="shared" si="4"/>
        <v>1</v>
      </c>
      <c r="CV7" s="29">
        <f t="shared" si="26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7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31">
        <f>DF$41/Buckets_12_23[[#Totals],[NC To Fill]]*Buckets_12_23[[#This Row],[NC To Fill]]</f>
        <v>0</v>
      </c>
      <c r="DI7" s="31">
        <f>Buckets_12_23[[#This Row],[Crit Filled]]+Buckets_12_23[[#This Row],[Scaled]]</f>
        <v>100</v>
      </c>
      <c r="DJ7" s="31">
        <f>Buckets_12_23[[#This Row],[NC Filled]]</f>
        <v>100</v>
      </c>
      <c r="DK7" s="31">
        <f>Buckets_12_23[[#This Row],[Capacity]]-Buckets_12_23[[#This Row],[Final]]</f>
        <v>0</v>
      </c>
      <c r="DL7" s="33">
        <f>IF(Buckets_12_23[[#This Row],[Capacity]]=0, 1, Buckets_12_23[[#This Row],[Final]]/Buckets_12_23[[#This Row],[Capacity]])</f>
        <v>1</v>
      </c>
      <c r="DN7" s="40">
        <f>Buckets_12_23[[#This Row],[Final]]</f>
        <v>100</v>
      </c>
      <c r="DO7" s="40">
        <f>Buckets_12_23[[#This Row],[Capacity]]</f>
        <v>100</v>
      </c>
      <c r="DP7" s="41" t="b">
        <f t="shared" si="28"/>
        <v>1</v>
      </c>
      <c r="DQ7" s="42"/>
      <c r="DR7" s="42"/>
      <c r="DS7" s="42" t="e">
        <f>NA()</f>
        <v>#N/A</v>
      </c>
      <c r="DT7" s="42"/>
      <c r="DU7" s="43"/>
      <c r="DV7" s="40">
        <f t="shared" si="29"/>
        <v>100</v>
      </c>
      <c r="DW7" s="40">
        <f t="shared" si="5"/>
        <v>100</v>
      </c>
      <c r="DX7" s="41" t="b">
        <f t="shared" si="6"/>
        <v>1</v>
      </c>
      <c r="DZ7" s="29">
        <f t="shared" si="30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1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31">
        <f>EJ$41/Buckets_1_24[[#Totals],[NC To Fill]]*Buckets_1_24[[#This Row],[NC To Fill]]</f>
        <v>0</v>
      </c>
      <c r="EM7" s="31">
        <f>Buckets_1_24[[#This Row],[Crit Filled]]+Buckets_1_24[[#This Row],[Scaled]]</f>
        <v>100</v>
      </c>
      <c r="EN7" s="31">
        <f>Buckets_1_24[[#This Row],[NC Filled]]</f>
        <v>100</v>
      </c>
      <c r="EO7" s="31">
        <f>Buckets_1_24[[#This Row],[Capacity]]-Buckets_1_24[[#This Row],[Final]]</f>
        <v>0</v>
      </c>
      <c r="EP7" s="33">
        <f>IF(Buckets_1_24[[#This Row],[Capacity]]=0, 1, Buckets_1_24[[#This Row],[Final]]/Buckets_1_24[[#This Row],[Capacity]])</f>
        <v>1</v>
      </c>
      <c r="ER7" s="40">
        <f>Buckets_1_24[[#This Row],[Final]]</f>
        <v>100</v>
      </c>
      <c r="ES7" s="40">
        <f>Buckets_1_24[[#This Row],[Capacity]]</f>
        <v>100</v>
      </c>
      <c r="ET7" s="41" t="b">
        <f t="shared" si="32"/>
        <v>1</v>
      </c>
      <c r="EU7" s="42"/>
      <c r="EV7" s="42"/>
      <c r="EW7" s="42"/>
      <c r="EX7" s="42"/>
      <c r="EY7" s="43"/>
      <c r="EZ7" s="40">
        <f t="shared" si="33"/>
        <v>100</v>
      </c>
      <c r="FA7" s="40">
        <f t="shared" si="34"/>
        <v>100</v>
      </c>
      <c r="FB7" s="41" t="b">
        <f t="shared" si="7"/>
        <v>1</v>
      </c>
      <c r="FD7" s="29">
        <f t="shared" si="35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6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31">
        <f>FN$41/Buckets_2_24[[#Totals],[NC To Fill]]*Buckets_2_24[[#This Row],[NC To Fill]]</f>
        <v>0</v>
      </c>
      <c r="FQ7" s="31">
        <f>Buckets_2_24[[#This Row],[Crit Filled]]+Buckets_2_24[[#This Row],[Scaled]]</f>
        <v>100</v>
      </c>
      <c r="FR7" s="31">
        <f>Buckets_2_24[[#This Row],[NC Filled]]</f>
        <v>100</v>
      </c>
      <c r="FS7" s="31">
        <f>Buckets_2_24[[#This Row],[Capacity]]-Buckets_2_24[[#This Row],[Final]]</f>
        <v>0</v>
      </c>
      <c r="FT7" s="33">
        <f>IF(Buckets_2_24[[#This Row],[Capacity]]=0, 1, Buckets_2_24[[#This Row],[Final]]/Buckets_2_24[[#This Row],[Capacity]])</f>
        <v>1</v>
      </c>
      <c r="FV7" s="40">
        <f>Buckets_2_24[[#This Row],[Final]]</f>
        <v>100</v>
      </c>
      <c r="FW7" s="40">
        <f>Buckets_2_24[[#This Row],[Capacity]]</f>
        <v>100</v>
      </c>
      <c r="FX7" s="41" t="b">
        <f t="shared" si="37"/>
        <v>1</v>
      </c>
      <c r="FY7" s="42"/>
      <c r="FZ7" s="42"/>
      <c r="GA7" s="42"/>
      <c r="GB7" s="42"/>
      <c r="GC7" s="43"/>
      <c r="GD7" s="40">
        <f t="shared" si="38"/>
        <v>100</v>
      </c>
      <c r="GE7" s="40">
        <f t="shared" si="39"/>
        <v>100</v>
      </c>
      <c r="GF7" s="41" t="b">
        <f t="shared" si="8"/>
        <v>1</v>
      </c>
      <c r="GH7" s="29">
        <f t="shared" si="40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1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31">
        <f>GR$41/Buckets_3_24[[#Totals],[NC To Fill]]*Buckets_3_24[[#This Row],[NC To Fill]]</f>
        <v>0</v>
      </c>
      <c r="GU7" s="31">
        <f>Buckets_3_24[[#This Row],[Crit Filled]]+Buckets_3_24[[#This Row],[Scaled]]</f>
        <v>100</v>
      </c>
      <c r="GV7" s="31">
        <f>Buckets_3_24[[#This Row],[NC Filled]]</f>
        <v>100</v>
      </c>
      <c r="GW7" s="31">
        <f>Buckets_3_24[[#This Row],[Capacity]]-Buckets_3_24[[#This Row],[Final]]</f>
        <v>0</v>
      </c>
      <c r="GX7" s="33">
        <f>IF(Buckets_3_24[[#This Row],[Capacity]]=0, 1, Buckets_3_24[[#This Row],[Final]]/Buckets_3_24[[#This Row],[Capacity]])</f>
        <v>1</v>
      </c>
      <c r="GZ7" s="40">
        <f>Buckets_3_24[[#This Row],[Final]]</f>
        <v>100</v>
      </c>
      <c r="HA7" s="40">
        <f>Buckets_3_24[[#This Row],[Capacity]]</f>
        <v>100</v>
      </c>
      <c r="HB7" s="41" t="b">
        <f t="shared" si="42"/>
        <v>1</v>
      </c>
      <c r="HC7" s="42"/>
      <c r="HD7" s="42"/>
      <c r="HE7" s="42"/>
      <c r="HF7" s="42"/>
      <c r="HG7" s="43"/>
      <c r="HH7" s="40">
        <f t="shared" si="43"/>
        <v>100</v>
      </c>
      <c r="HI7" s="40">
        <f t="shared" si="44"/>
        <v>100</v>
      </c>
      <c r="HJ7" s="41" t="b">
        <f t="shared" si="9"/>
        <v>1</v>
      </c>
      <c r="HL7" s="29">
        <f t="shared" si="45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6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31">
        <f>HV$41/Buckets_4_24[[#Totals],[NC To Fill]]*Buckets_4_24[[#This Row],[NC To Fill]]</f>
        <v>0</v>
      </c>
      <c r="HY7" s="31">
        <f>Buckets_4_24[[#This Row],[Crit Filled]]+Buckets_4_24[[#This Row],[Scaled]]</f>
        <v>100</v>
      </c>
      <c r="HZ7" s="31">
        <f>Buckets_4_24[[#This Row],[NC Filled]]</f>
        <v>100</v>
      </c>
      <c r="IA7" s="31">
        <f>Buckets_4_24[[#This Row],[Capacity]]-Buckets_4_24[[#This Row],[Final]]</f>
        <v>0</v>
      </c>
      <c r="IB7" s="33">
        <f>IF(Buckets_4_24[[#This Row],[Capacity]]=0, 1, Buckets_4_24[[#This Row],[Final]]/Buckets_4_24[[#This Row],[Capacity]])</f>
        <v>1</v>
      </c>
      <c r="ID7" s="40">
        <f>Buckets_4_24[[#This Row],[Final]]</f>
        <v>100</v>
      </c>
      <c r="IE7" s="40">
        <f>Buckets_4_24[[#This Row],[Capacity]]</f>
        <v>100</v>
      </c>
      <c r="IF7" s="41" t="b">
        <f t="shared" si="47"/>
        <v>1</v>
      </c>
      <c r="IG7" s="42"/>
      <c r="IH7" s="42"/>
      <c r="II7" s="42"/>
      <c r="IJ7" s="42"/>
      <c r="IK7" s="43"/>
      <c r="IL7" s="40">
        <f t="shared" si="48"/>
        <v>100</v>
      </c>
      <c r="IM7" s="40">
        <f t="shared" si="49"/>
        <v>100</v>
      </c>
      <c r="IN7" s="41" t="b">
        <f t="shared" si="10"/>
        <v>1</v>
      </c>
    </row>
    <row r="8" spans="1:24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8">
        <v>500</v>
      </c>
      <c r="H8" t="b">
        <v>0</v>
      </c>
      <c r="J8" s="29">
        <f t="shared" si="11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2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 t="shared" si="13"/>
        <v>500</v>
      </c>
      <c r="AD8" t="b">
        <f t="shared" si="14"/>
        <v>0</v>
      </c>
      <c r="AE8" s="43" t="e">
        <f>NA()</f>
        <v>#N/A</v>
      </c>
      <c r="AF8" s="42"/>
      <c r="AG8" s="43" t="e">
        <f>NA()</f>
        <v>#N/A</v>
      </c>
      <c r="AH8" s="42"/>
      <c r="AI8" s="43"/>
      <c r="AJ8" s="31">
        <f t="shared" si="15"/>
        <v>436.40879854831962</v>
      </c>
      <c r="AK8" s="31">
        <f t="shared" si="16"/>
        <v>500</v>
      </c>
      <c r="AL8" t="b">
        <f t="shared" si="17"/>
        <v>0</v>
      </c>
      <c r="AN8" s="29">
        <f t="shared" si="18"/>
        <v>436.40879854831962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436.40879854831962</v>
      </c>
      <c r="AQ8" s="29">
        <f t="shared" si="19"/>
        <v>500</v>
      </c>
      <c r="AR8" s="29">
        <f>Buckets_10_23[[#This Row],[Capacity]]-Buckets_10_23[[#This Row],[After T]]</f>
        <v>63.591201451680377</v>
      </c>
      <c r="AS8" s="29">
        <f>MAX(-Buckets_10_23[[#This Row],[Cap Diff]], 0)</f>
        <v>0</v>
      </c>
      <c r="AT8" s="29">
        <f>Buckets_10_23[[#This Row],[After T]]-Buckets_10_23[[#This Row],[Slush]]</f>
        <v>436.40879854831962</v>
      </c>
      <c r="AU8" s="29">
        <f>Buckets_10_23[[#This Row],[Capacity]]-Buckets_10_23[[#This Row],[Before Fill]]</f>
        <v>63.591201451680377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436.40879854831962</v>
      </c>
      <c r="AY8" s="29">
        <f>IF(NOT(Buckets_10_23[[#This Row],[Is Crit]]), Buckets_10_23[[#This Row],[S Cap Diff]], 0)</f>
        <v>63.591201451680377</v>
      </c>
      <c r="AZ8" s="31">
        <f>AX$41/Buckets_10_23[[#Totals],[NC To Fill]]*Buckets_10_23[[#This Row],[NC To Fill]]</f>
        <v>37.77141460593247</v>
      </c>
      <c r="BA8" s="31">
        <f>Buckets_10_23[[#This Row],[Crit Filled]]+Buckets_10_23[[#This Row],[Scaled]]</f>
        <v>474.1802131542521</v>
      </c>
      <c r="BB8" s="31">
        <f>Buckets_10_23[[#This Row],[NC Filled]]</f>
        <v>474.1802131542521</v>
      </c>
      <c r="BC8" s="31">
        <f>Buckets_10_23[[#This Row],[Capacity]]-Buckets_10_23[[#This Row],[Final]]</f>
        <v>25.819786845747899</v>
      </c>
      <c r="BD8" s="33">
        <f>IF(Buckets_10_23[[#This Row],[Capacity]]=0, 1, Buckets_10_23[[#This Row],[Final]]/Buckets_10_23[[#This Row],[Capacity]])</f>
        <v>0.94836042630850426</v>
      </c>
      <c r="BF8" s="31">
        <f>Buckets_10_23[[#This Row],[Final]]</f>
        <v>474.1802131542521</v>
      </c>
      <c r="BG8" s="31">
        <f>Buckets_10_23[[#This Row],[Capacity]]</f>
        <v>500</v>
      </c>
      <c r="BH8" t="b">
        <f t="shared" si="20"/>
        <v>0</v>
      </c>
      <c r="BI8" s="43" t="e">
        <f>NA()</f>
        <v>#N/A</v>
      </c>
      <c r="BJ8" s="42"/>
      <c r="BK8" s="43" t="e">
        <f>NA()</f>
        <v>#N/A</v>
      </c>
      <c r="BL8" s="42"/>
      <c r="BM8" s="43"/>
      <c r="BN8" s="31">
        <f t="shared" si="21"/>
        <v>474.1802131542521</v>
      </c>
      <c r="BO8" s="31">
        <f t="shared" si="1"/>
        <v>500</v>
      </c>
      <c r="BP8" t="b">
        <f t="shared" si="2"/>
        <v>0</v>
      </c>
      <c r="BR8" s="29">
        <f t="shared" si="22"/>
        <v>474.1802131542521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-1015.3997868457478</v>
      </c>
      <c r="BU8" s="29">
        <f t="shared" si="23"/>
        <v>500</v>
      </c>
      <c r="BV8" s="29">
        <f>Buckets_11_23[[#This Row],[Capacity]]-Buckets_11_23[[#This Row],[After T]]</f>
        <v>1515.3997868457477</v>
      </c>
      <c r="BW8" s="29">
        <f>MAX(-Buckets_11_23[[#This Row],[Cap Diff]], 0)</f>
        <v>0</v>
      </c>
      <c r="BX8" s="29">
        <f>Buckets_11_23[[#This Row],[After T]]-Buckets_11_23[[#This Row],[Slush]]</f>
        <v>-1015.3997868457478</v>
      </c>
      <c r="BY8" s="29">
        <f>Buckets_11_23[[#This Row],[Capacity]]-Buckets_11_23[[#This Row],[Before Fill]]</f>
        <v>1515.3997868457477</v>
      </c>
      <c r="BZ8" t="b">
        <f>OR(BP8, Buckets_11_23[[#This Row],[After T]]&lt;0)</f>
        <v>1</v>
      </c>
      <c r="CA8" s="29">
        <f>IF(Buckets_11_23[[#This Row],[Is Crit]], Buckets_11_23[[#This Row],[S Cap Diff]], 0)</f>
        <v>1515.3997868457477</v>
      </c>
      <c r="CB8" s="29">
        <f>Buckets_11_23[[#This Row],[Before Fill]]+Buckets_11_23[[#This Row],[Crit To Fill]]</f>
        <v>499.99999999999989</v>
      </c>
      <c r="CC8" s="29">
        <f>IF(NOT(Buckets_11_23[[#This Row],[Is Crit]]), Buckets_11_23[[#This Row],[S Cap Diff]], 0)</f>
        <v>0</v>
      </c>
      <c r="CD8" s="31">
        <f>CB$41/Buckets_11_23[[#Totals],[NC To Fill]]*Buckets_11_23[[#This Row],[NC To Fill]]</f>
        <v>0</v>
      </c>
      <c r="CE8" s="31">
        <f>Buckets_11_23[[#This Row],[Crit Filled]]+Buckets_11_23[[#This Row],[Scaled]]</f>
        <v>499.99999999999989</v>
      </c>
      <c r="CF8" s="31">
        <f>Buckets_11_23[[#This Row],[NC Filled]]</f>
        <v>499.99999999999989</v>
      </c>
      <c r="CG8" s="31">
        <f>Buckets_11_23[[#This Row],[Capacity]]-Buckets_11_23[[#This Row],[Final]]</f>
        <v>0</v>
      </c>
      <c r="CH8" s="33">
        <f>IF(Buckets_11_23[[#This Row],[Capacity]]=0, 1, Buckets_11_23[[#This Row],[Final]]/Buckets_11_23[[#This Row],[Capacity]])</f>
        <v>0.99999999999999978</v>
      </c>
      <c r="CJ8" s="40">
        <f>Buckets_11_23[[#This Row],[Final]]</f>
        <v>499.99999999999989</v>
      </c>
      <c r="CK8" s="40">
        <f>Buckets_11_23[[#This Row],[Capacity]]</f>
        <v>500</v>
      </c>
      <c r="CL8" s="41" t="b">
        <f t="shared" si="24"/>
        <v>0</v>
      </c>
      <c r="CM8" s="42">
        <v>1790</v>
      </c>
      <c r="CN8" s="42"/>
      <c r="CO8" s="42" t="e">
        <f>NA()</f>
        <v>#N/A</v>
      </c>
      <c r="CP8" s="42"/>
      <c r="CQ8" s="43"/>
      <c r="CR8" s="40">
        <f t="shared" si="25"/>
        <v>2290</v>
      </c>
      <c r="CS8" s="40">
        <f t="shared" si="3"/>
        <v>500</v>
      </c>
      <c r="CT8" s="41" t="b">
        <f t="shared" si="4"/>
        <v>0</v>
      </c>
      <c r="CV8" s="29">
        <f t="shared" si="26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7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31">
        <f>DF$41/Buckets_12_23[[#Totals],[NC To Fill]]*Buckets_12_23[[#This Row],[NC To Fill]]</f>
        <v>195.69018718617301</v>
      </c>
      <c r="DI8" s="31">
        <f>Buckets_12_23[[#This Row],[Crit Filled]]+Buckets_12_23[[#This Row],[Scaled]]</f>
        <v>267.69018718617303</v>
      </c>
      <c r="DJ8" s="31">
        <f>Buckets_12_23[[#This Row],[NC Filled]]</f>
        <v>267.69018718617303</v>
      </c>
      <c r="DK8" s="31">
        <f>Buckets_12_23[[#This Row],[Capacity]]-Buckets_12_23[[#This Row],[Final]]</f>
        <v>232.30981281382697</v>
      </c>
      <c r="DL8" s="33">
        <f>IF(Buckets_12_23[[#This Row],[Capacity]]=0, 1, Buckets_12_23[[#This Row],[Final]]/Buckets_12_23[[#This Row],[Capacity]])</f>
        <v>0.53538037437234609</v>
      </c>
      <c r="DN8" s="40">
        <f>Buckets_12_23[[#This Row],[Final]]</f>
        <v>267.69018718617303</v>
      </c>
      <c r="DO8" s="40">
        <f>Buckets_12_23[[#This Row],[Capacity]]</f>
        <v>500</v>
      </c>
      <c r="DP8" s="41" t="b">
        <f t="shared" si="28"/>
        <v>0</v>
      </c>
      <c r="DQ8" s="42"/>
      <c r="DR8" s="42"/>
      <c r="DS8" s="42" t="e">
        <f>NA()</f>
        <v>#N/A</v>
      </c>
      <c r="DT8" s="42"/>
      <c r="DU8" s="43"/>
      <c r="DV8" s="40">
        <f t="shared" si="29"/>
        <v>267.69018718617303</v>
      </c>
      <c r="DW8" s="40">
        <f t="shared" si="5"/>
        <v>500</v>
      </c>
      <c r="DX8" s="41" t="b">
        <f t="shared" si="6"/>
        <v>0</v>
      </c>
      <c r="DZ8" s="29">
        <f t="shared" si="30"/>
        <v>267.69018718617303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-232.30981281382697</v>
      </c>
      <c r="EC8" s="29">
        <f t="shared" si="31"/>
        <v>500</v>
      </c>
      <c r="ED8" s="29">
        <f>Buckets_1_24[[#This Row],[Capacity]]-Buckets_1_24[[#This Row],[After T]]</f>
        <v>732.30981281382697</v>
      </c>
      <c r="EE8" s="29">
        <f>MAX(-Buckets_1_24[[#This Row],[Cap Diff]], 0)</f>
        <v>0</v>
      </c>
      <c r="EF8" s="29">
        <f>Buckets_1_24[[#This Row],[After T]]-Buckets_1_24[[#This Row],[Slush]]</f>
        <v>-232.30981281382697</v>
      </c>
      <c r="EG8" s="29">
        <f>Buckets_1_24[[#This Row],[Capacity]]-Buckets_1_24[[#This Row],[Before Fill]]</f>
        <v>732.30981281382697</v>
      </c>
      <c r="EH8" t="b">
        <f>OR(DX8, Buckets_1_24[[#This Row],[After T]]&lt;0)</f>
        <v>1</v>
      </c>
      <c r="EI8" s="29">
        <f>IF(Buckets_1_24[[#This Row],[Is Crit]], Buckets_1_24[[#This Row],[S Cap Diff]], 0)</f>
        <v>732.30981281382697</v>
      </c>
      <c r="EJ8" s="29">
        <f>Buckets_1_24[[#This Row],[Before Fill]]+Buckets_1_24[[#This Row],[Crit To Fill]]</f>
        <v>500</v>
      </c>
      <c r="EK8" s="29">
        <f>IF(NOT(Buckets_1_24[[#This Row],[Is Crit]]), Buckets_1_24[[#This Row],[S Cap Diff]], 0)</f>
        <v>0</v>
      </c>
      <c r="EL8" s="31">
        <f>EJ$41/Buckets_1_24[[#Totals],[NC To Fill]]*Buckets_1_24[[#This Row],[NC To Fill]]</f>
        <v>0</v>
      </c>
      <c r="EM8" s="31">
        <f>Buckets_1_24[[#This Row],[Crit Filled]]+Buckets_1_24[[#This Row],[Scaled]]</f>
        <v>500</v>
      </c>
      <c r="EN8" s="31">
        <f>Buckets_1_24[[#This Row],[NC Filled]]</f>
        <v>500</v>
      </c>
      <c r="EO8" s="31">
        <f>Buckets_1_24[[#This Row],[Capacity]]-Buckets_1_24[[#This Row],[Final]]</f>
        <v>0</v>
      </c>
      <c r="EP8" s="33">
        <f>IF(Buckets_1_24[[#This Row],[Capacity]]=0, 1, Buckets_1_24[[#This Row],[Final]]/Buckets_1_24[[#This Row],[Capacity]])</f>
        <v>1</v>
      </c>
      <c r="ER8" s="40">
        <f>Buckets_1_24[[#This Row],[Final]]</f>
        <v>500</v>
      </c>
      <c r="ES8" s="40">
        <f>Buckets_1_24[[#This Row],[Capacity]]</f>
        <v>500</v>
      </c>
      <c r="ET8" s="41" t="b">
        <f t="shared" si="32"/>
        <v>0</v>
      </c>
      <c r="EU8" s="42"/>
      <c r="EV8" s="42"/>
      <c r="EW8" s="42"/>
      <c r="EX8" s="42"/>
      <c r="EY8" s="43"/>
      <c r="EZ8" s="40">
        <f t="shared" si="33"/>
        <v>500</v>
      </c>
      <c r="FA8" s="40">
        <f t="shared" si="34"/>
        <v>500</v>
      </c>
      <c r="FB8" s="41" t="b">
        <f t="shared" si="7"/>
        <v>0</v>
      </c>
      <c r="FD8" s="29">
        <f t="shared" si="35"/>
        <v>500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6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31">
        <f>FN$41/Buckets_2_24[[#Totals],[NC To Fill]]*Buckets_2_24[[#This Row],[NC To Fill]]</f>
        <v>481.6728664884011</v>
      </c>
      <c r="FQ8" s="31">
        <f>Buckets_2_24[[#This Row],[Crit Filled]]+Buckets_2_24[[#This Row],[Scaled]]</f>
        <v>481.6728664884011</v>
      </c>
      <c r="FR8" s="31">
        <f>Buckets_2_24[[#This Row],[NC Filled]]</f>
        <v>481.6728664884011</v>
      </c>
      <c r="FS8" s="31">
        <f>Buckets_2_24[[#This Row],[Capacity]]-Buckets_2_24[[#This Row],[Final]]</f>
        <v>18.327133511598902</v>
      </c>
      <c r="FT8" s="33">
        <f>IF(Buckets_2_24[[#This Row],[Capacity]]=0, 1, Buckets_2_24[[#This Row],[Final]]/Buckets_2_24[[#This Row],[Capacity]])</f>
        <v>0.96334573297680215</v>
      </c>
      <c r="FV8" s="40">
        <f>Buckets_2_24[[#This Row],[Final]]</f>
        <v>481.6728664884011</v>
      </c>
      <c r="FW8" s="40">
        <f>Buckets_2_24[[#This Row],[Capacity]]</f>
        <v>500</v>
      </c>
      <c r="FX8" s="41" t="b">
        <f t="shared" si="37"/>
        <v>0</v>
      </c>
      <c r="FY8" s="42"/>
      <c r="FZ8" s="42"/>
      <c r="GA8" s="42"/>
      <c r="GB8" s="42"/>
      <c r="GC8" s="43"/>
      <c r="GD8" s="40">
        <f t="shared" si="38"/>
        <v>481.6728664884011</v>
      </c>
      <c r="GE8" s="40">
        <f t="shared" si="39"/>
        <v>500</v>
      </c>
      <c r="GF8" s="41" t="b">
        <f t="shared" si="8"/>
        <v>0</v>
      </c>
      <c r="GH8" s="29">
        <f t="shared" si="40"/>
        <v>481.6728664884011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-18.327133511598902</v>
      </c>
      <c r="GK8" s="29">
        <f t="shared" si="41"/>
        <v>500</v>
      </c>
      <c r="GL8" s="29">
        <f>Buckets_3_24[[#This Row],[Capacity]]-Buckets_3_24[[#This Row],[After T]]</f>
        <v>518.32713351159896</v>
      </c>
      <c r="GM8" s="29">
        <f>MAX(-Buckets_3_24[[#This Row],[Cap Diff]], 0)</f>
        <v>0</v>
      </c>
      <c r="GN8" s="29">
        <f>Buckets_3_24[[#This Row],[After T]]-Buckets_3_24[[#This Row],[Slush]]</f>
        <v>-18.327133511598902</v>
      </c>
      <c r="GO8" s="29">
        <f>Buckets_3_24[[#This Row],[Capacity]]-Buckets_3_24[[#This Row],[Before Fill]]</f>
        <v>518.32713351159896</v>
      </c>
      <c r="GP8" t="b">
        <f>OR(GF8, Buckets_3_24[[#This Row],[After T]]&lt;0)</f>
        <v>1</v>
      </c>
      <c r="GQ8" s="29">
        <f>IF(Buckets_3_24[[#This Row],[Is Crit]], Buckets_3_24[[#This Row],[S Cap Diff]], 0)</f>
        <v>518.32713351159896</v>
      </c>
      <c r="GR8" s="29">
        <f>Buckets_3_24[[#This Row],[Before Fill]]+Buckets_3_24[[#This Row],[Crit To Fill]]</f>
        <v>500.00000000000006</v>
      </c>
      <c r="GS8" s="29">
        <f>IF(NOT(Buckets_3_24[[#This Row],[Is Crit]]), Buckets_3_24[[#This Row],[S Cap Diff]], 0)</f>
        <v>0</v>
      </c>
      <c r="GT8" s="31">
        <f>GR$41/Buckets_3_24[[#Totals],[NC To Fill]]*Buckets_3_24[[#This Row],[NC To Fill]]</f>
        <v>0</v>
      </c>
      <c r="GU8" s="31">
        <f>Buckets_3_24[[#This Row],[Crit Filled]]+Buckets_3_24[[#This Row],[Scaled]]</f>
        <v>500.00000000000006</v>
      </c>
      <c r="GV8" s="31">
        <f>Buckets_3_24[[#This Row],[NC Filled]]</f>
        <v>500.00000000000006</v>
      </c>
      <c r="GW8" s="31">
        <f>Buckets_3_24[[#This Row],[Capacity]]-Buckets_3_24[[#This Row],[Final]]</f>
        <v>0</v>
      </c>
      <c r="GX8" s="33">
        <f>IF(Buckets_3_24[[#This Row],[Capacity]]=0, 1, Buckets_3_24[[#This Row],[Final]]/Buckets_3_24[[#This Row],[Capacity]])</f>
        <v>1.0000000000000002</v>
      </c>
      <c r="GZ8" s="40">
        <f>Buckets_3_24[[#This Row],[Final]]</f>
        <v>500.00000000000006</v>
      </c>
      <c r="HA8" s="40">
        <f>Buckets_3_24[[#This Row],[Capacity]]</f>
        <v>500</v>
      </c>
      <c r="HB8" s="41" t="b">
        <f t="shared" si="42"/>
        <v>0</v>
      </c>
      <c r="HC8" s="42"/>
      <c r="HD8" s="42"/>
      <c r="HE8" s="42"/>
      <c r="HF8" s="42">
        <v>1500</v>
      </c>
      <c r="HG8" s="43"/>
      <c r="HH8" s="40">
        <f t="shared" si="43"/>
        <v>500.00000000000006</v>
      </c>
      <c r="HI8" s="40">
        <f t="shared" si="44"/>
        <v>1500</v>
      </c>
      <c r="HJ8" s="41" t="b">
        <f t="shared" si="9"/>
        <v>0</v>
      </c>
      <c r="HL8" s="29">
        <f t="shared" si="45"/>
        <v>500.00000000000006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6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31">
        <f>HV$41/Buckets_4_24[[#Totals],[NC To Fill]]*Buckets_4_24[[#This Row],[NC To Fill]]</f>
        <v>978.8694094933245</v>
      </c>
      <c r="HY8" s="31">
        <f>Buckets_4_24[[#This Row],[Crit Filled]]+Buckets_4_24[[#This Row],[Scaled]]</f>
        <v>978.8694094933245</v>
      </c>
      <c r="HZ8" s="31">
        <f>Buckets_4_24[[#This Row],[NC Filled]]</f>
        <v>978.8694094933245</v>
      </c>
      <c r="IA8" s="31">
        <f>Buckets_4_24[[#This Row],[Capacity]]-Buckets_4_24[[#This Row],[Final]]</f>
        <v>521.1305905066755</v>
      </c>
      <c r="IB8" s="33">
        <f>IF(Buckets_4_24[[#This Row],[Capacity]]=0, 1, Buckets_4_24[[#This Row],[Final]]/Buckets_4_24[[#This Row],[Capacity]])</f>
        <v>0.65257960632888301</v>
      </c>
      <c r="ID8" s="40">
        <f>Buckets_4_24[[#This Row],[Final]]</f>
        <v>978.8694094933245</v>
      </c>
      <c r="IE8" s="40">
        <f>Buckets_4_24[[#This Row],[Capacity]]</f>
        <v>1500</v>
      </c>
      <c r="IF8" s="41" t="b">
        <f t="shared" si="47"/>
        <v>0</v>
      </c>
      <c r="IG8" s="42"/>
      <c r="IH8" s="42"/>
      <c r="II8" s="42"/>
      <c r="IJ8" s="42"/>
      <c r="IK8" s="43"/>
      <c r="IL8" s="40">
        <f t="shared" si="48"/>
        <v>978.8694094933245</v>
      </c>
      <c r="IM8" s="40">
        <f t="shared" si="49"/>
        <v>1500</v>
      </c>
      <c r="IN8" s="41" t="b">
        <f t="shared" si="10"/>
        <v>0</v>
      </c>
    </row>
    <row r="9" spans="1:24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8">
        <v>300</v>
      </c>
      <c r="H9" t="b">
        <v>0</v>
      </c>
      <c r="J9" s="29">
        <f t="shared" si="11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2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 t="shared" si="13"/>
        <v>300</v>
      </c>
      <c r="AD9" t="b">
        <f t="shared" si="14"/>
        <v>0</v>
      </c>
      <c r="AE9" s="43" t="e">
        <f>NA()</f>
        <v>#N/A</v>
      </c>
      <c r="AF9" s="42"/>
      <c r="AG9" s="43" t="e">
        <f>NA()</f>
        <v>#N/A</v>
      </c>
      <c r="AH9" s="42"/>
      <c r="AI9" s="43"/>
      <c r="AJ9" s="31">
        <f t="shared" si="15"/>
        <v>274.5635194193278</v>
      </c>
      <c r="AK9" s="31">
        <f t="shared" si="16"/>
        <v>300</v>
      </c>
      <c r="AL9" t="b">
        <f t="shared" si="17"/>
        <v>0</v>
      </c>
      <c r="AN9" s="29">
        <f t="shared" si="18"/>
        <v>274.5635194193278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249.5635194193278</v>
      </c>
      <c r="AQ9" s="29">
        <f t="shared" si="19"/>
        <v>300</v>
      </c>
      <c r="AR9" s="29">
        <f>Buckets_10_23[[#This Row],[Capacity]]-Buckets_10_23[[#This Row],[After T]]</f>
        <v>50.436480580672196</v>
      </c>
      <c r="AS9" s="29">
        <f>MAX(-Buckets_10_23[[#This Row],[Cap Diff]], 0)</f>
        <v>0</v>
      </c>
      <c r="AT9" s="29">
        <f>Buckets_10_23[[#This Row],[After T]]-Buckets_10_23[[#This Row],[Slush]]</f>
        <v>249.5635194193278</v>
      </c>
      <c r="AU9" s="29">
        <f>Buckets_10_23[[#This Row],[Capacity]]-Buckets_10_23[[#This Row],[Before Fill]]</f>
        <v>50.436480580672196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249.5635194193278</v>
      </c>
      <c r="AY9" s="29">
        <f>IF(NOT(Buckets_10_23[[#This Row],[Is Crit]]), Buckets_10_23[[#This Row],[S Cap Diff]], 0)</f>
        <v>50.436480580672196</v>
      </c>
      <c r="AZ9" s="31">
        <f>AX$41/Buckets_10_23[[#Totals],[NC To Fill]]*Buckets_10_23[[#This Row],[NC To Fill]]</f>
        <v>29.957874293728896</v>
      </c>
      <c r="BA9" s="31">
        <f>Buckets_10_23[[#This Row],[Crit Filled]]+Buckets_10_23[[#This Row],[Scaled]]</f>
        <v>279.52139371305668</v>
      </c>
      <c r="BB9" s="31">
        <f>Buckets_10_23[[#This Row],[NC Filled]]</f>
        <v>279.52139371305668</v>
      </c>
      <c r="BC9" s="31">
        <f>Buckets_10_23[[#This Row],[Capacity]]-Buckets_10_23[[#This Row],[Final]]</f>
        <v>20.478606286943318</v>
      </c>
      <c r="BD9" s="33">
        <f>IF(Buckets_10_23[[#This Row],[Capacity]]=0, 1, Buckets_10_23[[#This Row],[Final]]/Buckets_10_23[[#This Row],[Capacity]])</f>
        <v>0.93173797904352229</v>
      </c>
      <c r="BF9" s="31">
        <f>Buckets_10_23[[#This Row],[Final]]</f>
        <v>279.52139371305668</v>
      </c>
      <c r="BG9" s="31">
        <f>Buckets_10_23[[#This Row],[Capacity]]</f>
        <v>300</v>
      </c>
      <c r="BH9" t="b">
        <f t="shared" si="20"/>
        <v>0</v>
      </c>
      <c r="BI9" s="43" t="e">
        <f>NA()</f>
        <v>#N/A</v>
      </c>
      <c r="BJ9" s="42"/>
      <c r="BK9" s="43" t="e">
        <f>NA()</f>
        <v>#N/A</v>
      </c>
      <c r="BL9" s="42"/>
      <c r="BM9" s="43"/>
      <c r="BN9" s="31">
        <f t="shared" si="21"/>
        <v>279.52139371305668</v>
      </c>
      <c r="BO9" s="31">
        <f t="shared" si="1"/>
        <v>300</v>
      </c>
      <c r="BP9" t="b">
        <f t="shared" si="2"/>
        <v>0</v>
      </c>
      <c r="BR9" s="29">
        <f t="shared" si="22"/>
        <v>279.52139371305668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202.8113937130567</v>
      </c>
      <c r="BU9" s="29">
        <f t="shared" si="23"/>
        <v>300</v>
      </c>
      <c r="BV9" s="29">
        <f>Buckets_11_23[[#This Row],[Capacity]]-Buckets_11_23[[#This Row],[After T]]</f>
        <v>97.188606286943298</v>
      </c>
      <c r="BW9" s="29">
        <f>MAX(-Buckets_11_23[[#This Row],[Cap Diff]], 0)</f>
        <v>0</v>
      </c>
      <c r="BX9" s="29">
        <f>Buckets_11_23[[#This Row],[After T]]-Buckets_11_23[[#This Row],[Slush]]</f>
        <v>202.8113937130567</v>
      </c>
      <c r="BY9" s="29">
        <f>Buckets_11_23[[#This Row],[Capacity]]-Buckets_11_23[[#This Row],[Before Fill]]</f>
        <v>97.188606286943298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202.8113937130567</v>
      </c>
      <c r="CC9" s="29">
        <f>IF(NOT(Buckets_11_23[[#This Row],[Is Crit]]), Buckets_11_23[[#This Row],[S Cap Diff]], 0)</f>
        <v>97.188606286943298</v>
      </c>
      <c r="CD9" s="31">
        <f>CB$41/Buckets_11_23[[#Totals],[NC To Fill]]*Buckets_11_23[[#This Row],[NC To Fill]]</f>
        <v>95.847699088397277</v>
      </c>
      <c r="CE9" s="31">
        <f>Buckets_11_23[[#This Row],[Crit Filled]]+Buckets_11_23[[#This Row],[Scaled]]</f>
        <v>298.65909280145399</v>
      </c>
      <c r="CF9" s="31">
        <f>Buckets_11_23[[#This Row],[NC Filled]]</f>
        <v>298.65909280145399</v>
      </c>
      <c r="CG9" s="31">
        <f>Buckets_11_23[[#This Row],[Capacity]]-Buckets_11_23[[#This Row],[Final]]</f>
        <v>1.3409071985460059</v>
      </c>
      <c r="CH9" s="33">
        <f>IF(Buckets_11_23[[#This Row],[Capacity]]=0, 1, Buckets_11_23[[#This Row],[Final]]/Buckets_11_23[[#This Row],[Capacity]])</f>
        <v>0.99553030933817999</v>
      </c>
      <c r="CJ9" s="40">
        <f>Buckets_11_23[[#This Row],[Final]]</f>
        <v>298.65909280145399</v>
      </c>
      <c r="CK9" s="40">
        <f>Buckets_11_23[[#This Row],[Capacity]]</f>
        <v>300</v>
      </c>
      <c r="CL9" s="41" t="b">
        <f t="shared" si="24"/>
        <v>0</v>
      </c>
      <c r="CM9" s="42"/>
      <c r="CN9" s="42"/>
      <c r="CO9" s="42" t="e">
        <f>NA()</f>
        <v>#N/A</v>
      </c>
      <c r="CP9" s="42">
        <v>500</v>
      </c>
      <c r="CQ9" s="43"/>
      <c r="CR9" s="40">
        <f t="shared" si="25"/>
        <v>298.65909280145399</v>
      </c>
      <c r="CS9" s="40">
        <f t="shared" si="3"/>
        <v>500</v>
      </c>
      <c r="CT9" s="41" t="b">
        <f t="shared" si="4"/>
        <v>0</v>
      </c>
      <c r="CV9" s="29">
        <f t="shared" si="26"/>
        <v>298.65909280145399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207.899092801454</v>
      </c>
      <c r="CY9" s="29">
        <f t="shared" si="27"/>
        <v>500</v>
      </c>
      <c r="CZ9" s="29">
        <f>Buckets_12_23[[#This Row],[Capacity]]-Buckets_12_23[[#This Row],[After T]]</f>
        <v>292.100907198546</v>
      </c>
      <c r="DA9" s="29">
        <f>MAX(-Buckets_12_23[[#This Row],[Cap Diff]], 0)</f>
        <v>0</v>
      </c>
      <c r="DB9" s="29">
        <f>Buckets_12_23[[#This Row],[After T]]-Buckets_12_23[[#This Row],[Slush]]</f>
        <v>207.899092801454</v>
      </c>
      <c r="DC9" s="29">
        <f>Buckets_12_23[[#This Row],[Capacity]]-Buckets_12_23[[#This Row],[Before Fill]]</f>
        <v>292.100907198546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207.899092801454</v>
      </c>
      <c r="DG9" s="29">
        <f>IF(NOT(Buckets_12_23[[#This Row],[Is Crit]]), Buckets_12_23[[#This Row],[S Cap Diff]], 0)</f>
        <v>292.100907198546</v>
      </c>
      <c r="DH9" s="31">
        <f>DF$41/Buckets_12_23[[#Totals],[NC To Fill]]*Buckets_12_23[[#This Row],[NC To Fill]]</f>
        <v>133.55439534330472</v>
      </c>
      <c r="DI9" s="31">
        <f>Buckets_12_23[[#This Row],[Crit Filled]]+Buckets_12_23[[#This Row],[Scaled]]</f>
        <v>341.45348814475869</v>
      </c>
      <c r="DJ9" s="31">
        <f>Buckets_12_23[[#This Row],[NC Filled]]</f>
        <v>341.45348814475869</v>
      </c>
      <c r="DK9" s="31">
        <f>Buckets_12_23[[#This Row],[Capacity]]-Buckets_12_23[[#This Row],[Final]]</f>
        <v>158.54651185524131</v>
      </c>
      <c r="DL9" s="33">
        <f>IF(Buckets_12_23[[#This Row],[Capacity]]=0, 1, Buckets_12_23[[#This Row],[Final]]/Buckets_12_23[[#This Row],[Capacity]])</f>
        <v>0.68290697628951735</v>
      </c>
      <c r="DN9" s="40">
        <f>Buckets_12_23[[#This Row],[Final]]</f>
        <v>341.45348814475869</v>
      </c>
      <c r="DO9" s="40">
        <f>Buckets_12_23[[#This Row],[Capacity]]</f>
        <v>500</v>
      </c>
      <c r="DP9" s="41" t="b">
        <f t="shared" si="28"/>
        <v>0</v>
      </c>
      <c r="DQ9" s="42"/>
      <c r="DR9" s="42"/>
      <c r="DS9" s="42" t="e">
        <f>NA()</f>
        <v>#N/A</v>
      </c>
      <c r="DT9" s="42"/>
      <c r="DU9" s="43"/>
      <c r="DV9" s="40">
        <f t="shared" si="29"/>
        <v>341.45348814475869</v>
      </c>
      <c r="DW9" s="40">
        <f t="shared" si="5"/>
        <v>500</v>
      </c>
      <c r="DX9" s="41" t="b">
        <f t="shared" si="6"/>
        <v>0</v>
      </c>
      <c r="DZ9" s="29">
        <f t="shared" si="30"/>
        <v>341.45348814475869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289.55348814475872</v>
      </c>
      <c r="EC9" s="29">
        <f t="shared" si="31"/>
        <v>500</v>
      </c>
      <c r="ED9" s="29">
        <f>Buckets_1_24[[#This Row],[Capacity]]-Buckets_1_24[[#This Row],[After T]]</f>
        <v>210.44651185524128</v>
      </c>
      <c r="EE9" s="29">
        <f>MAX(-Buckets_1_24[[#This Row],[Cap Diff]], 0)</f>
        <v>0</v>
      </c>
      <c r="EF9" s="29">
        <f>Buckets_1_24[[#This Row],[After T]]-Buckets_1_24[[#This Row],[Slush]]</f>
        <v>289.55348814475872</v>
      </c>
      <c r="EG9" s="29">
        <f>Buckets_1_24[[#This Row],[Capacity]]-Buckets_1_24[[#This Row],[Before Fill]]</f>
        <v>210.44651185524128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289.55348814475872</v>
      </c>
      <c r="EK9" s="29">
        <f>IF(NOT(Buckets_1_24[[#This Row],[Is Crit]]), Buckets_1_24[[#This Row],[S Cap Diff]], 0)</f>
        <v>210.44651185524128</v>
      </c>
      <c r="EL9" s="31">
        <f>EJ$41/Buckets_1_24[[#Totals],[NC To Fill]]*Buckets_1_24[[#This Row],[NC To Fill]]</f>
        <v>129.21256315031209</v>
      </c>
      <c r="EM9" s="31">
        <f>Buckets_1_24[[#This Row],[Crit Filled]]+Buckets_1_24[[#This Row],[Scaled]]</f>
        <v>418.76605129507084</v>
      </c>
      <c r="EN9" s="31">
        <f>Buckets_1_24[[#This Row],[NC Filled]]</f>
        <v>418.76605129507084</v>
      </c>
      <c r="EO9" s="31">
        <f>Buckets_1_24[[#This Row],[Capacity]]-Buckets_1_24[[#This Row],[Final]]</f>
        <v>81.233948704929162</v>
      </c>
      <c r="EP9" s="33">
        <f>IF(Buckets_1_24[[#This Row],[Capacity]]=0, 1, Buckets_1_24[[#This Row],[Final]]/Buckets_1_24[[#This Row],[Capacity]])</f>
        <v>0.83753210259014166</v>
      </c>
      <c r="ER9" s="40">
        <f>Buckets_1_24[[#This Row],[Final]]</f>
        <v>418.76605129507084</v>
      </c>
      <c r="ES9" s="40">
        <f>Buckets_1_24[[#This Row],[Capacity]]</f>
        <v>500</v>
      </c>
      <c r="ET9" s="41" t="b">
        <f t="shared" si="32"/>
        <v>0</v>
      </c>
      <c r="EU9" s="42"/>
      <c r="EV9" s="42"/>
      <c r="EW9" s="42"/>
      <c r="EX9" s="42"/>
      <c r="EY9" s="43"/>
      <c r="EZ9" s="40">
        <f t="shared" si="33"/>
        <v>418.76605129507084</v>
      </c>
      <c r="FA9" s="40">
        <f t="shared" si="34"/>
        <v>500</v>
      </c>
      <c r="FB9" s="41" t="b">
        <f t="shared" si="7"/>
        <v>0</v>
      </c>
      <c r="FD9" s="29">
        <f t="shared" si="35"/>
        <v>418.76605129507084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418.76605129507084</v>
      </c>
      <c r="FG9" s="29">
        <f t="shared" si="36"/>
        <v>500</v>
      </c>
      <c r="FH9" s="29">
        <f>Buckets_2_24[[#This Row],[Capacity]]-Buckets_2_24[[#This Row],[After T]]</f>
        <v>81.233948704929162</v>
      </c>
      <c r="FI9" s="29">
        <f>MAX(-Buckets_2_24[[#This Row],[Cap Diff]], 0)</f>
        <v>0</v>
      </c>
      <c r="FJ9" s="29">
        <f>Buckets_2_24[[#This Row],[After T]]-Buckets_2_24[[#This Row],[Slush]]</f>
        <v>418.76605129507084</v>
      </c>
      <c r="FK9" s="29">
        <f>Buckets_2_24[[#This Row],[Capacity]]-Buckets_2_24[[#This Row],[Before Fill]]</f>
        <v>81.233948704929162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418.76605129507084</v>
      </c>
      <c r="FO9" s="29">
        <f>IF(NOT(Buckets_2_24[[#This Row],[Is Crit]]), Buckets_2_24[[#This Row],[S Cap Diff]], 0)</f>
        <v>81.233948704929162</v>
      </c>
      <c r="FP9" s="31">
        <f>FN$41/Buckets_2_24[[#Totals],[NC To Fill]]*Buckets_2_24[[#This Row],[NC To Fill]]</f>
        <v>78.256377857749925</v>
      </c>
      <c r="FQ9" s="31">
        <f>Buckets_2_24[[#This Row],[Crit Filled]]+Buckets_2_24[[#This Row],[Scaled]]</f>
        <v>497.02242915282079</v>
      </c>
      <c r="FR9" s="31">
        <f>Buckets_2_24[[#This Row],[NC Filled]]</f>
        <v>497.02242915282079</v>
      </c>
      <c r="FS9" s="31">
        <f>Buckets_2_24[[#This Row],[Capacity]]-Buckets_2_24[[#This Row],[Final]]</f>
        <v>2.9775708471792086</v>
      </c>
      <c r="FT9" s="33">
        <f>IF(Buckets_2_24[[#This Row],[Capacity]]=0, 1, Buckets_2_24[[#This Row],[Final]]/Buckets_2_24[[#This Row],[Capacity]])</f>
        <v>0.9940448583056416</v>
      </c>
      <c r="FV9" s="40">
        <f>Buckets_2_24[[#This Row],[Final]]</f>
        <v>497.02242915282079</v>
      </c>
      <c r="FW9" s="40">
        <f>Buckets_2_24[[#This Row],[Capacity]]</f>
        <v>500</v>
      </c>
      <c r="FX9" s="41" t="b">
        <f t="shared" si="37"/>
        <v>0</v>
      </c>
      <c r="FY9" s="42"/>
      <c r="FZ9" s="42"/>
      <c r="GA9" s="42"/>
      <c r="GB9" s="42"/>
      <c r="GC9" s="43"/>
      <c r="GD9" s="40">
        <f t="shared" si="38"/>
        <v>497.02242915282079</v>
      </c>
      <c r="GE9" s="40">
        <f t="shared" si="39"/>
        <v>500</v>
      </c>
      <c r="GF9" s="41" t="b">
        <f t="shared" si="8"/>
        <v>0</v>
      </c>
      <c r="GH9" s="29">
        <f t="shared" si="40"/>
        <v>497.02242915282079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497.02242915282079</v>
      </c>
      <c r="GK9" s="29">
        <f t="shared" si="41"/>
        <v>500</v>
      </c>
      <c r="GL9" s="29">
        <f>Buckets_3_24[[#This Row],[Capacity]]-Buckets_3_24[[#This Row],[After T]]</f>
        <v>2.9775708471792086</v>
      </c>
      <c r="GM9" s="29">
        <f>MAX(-Buckets_3_24[[#This Row],[Cap Diff]], 0)</f>
        <v>0</v>
      </c>
      <c r="GN9" s="29">
        <f>Buckets_3_24[[#This Row],[After T]]-Buckets_3_24[[#This Row],[Slush]]</f>
        <v>497.02242915282079</v>
      </c>
      <c r="GO9" s="29">
        <f>Buckets_3_24[[#This Row],[Capacity]]-Buckets_3_24[[#This Row],[Before Fill]]</f>
        <v>2.9775708471792086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497.02242915282079</v>
      </c>
      <c r="GS9" s="29">
        <f>IF(NOT(Buckets_3_24[[#This Row],[Is Crit]]), Buckets_3_24[[#This Row],[S Cap Diff]], 0)</f>
        <v>2.9775708471792086</v>
      </c>
      <c r="GT9" s="31">
        <f>GR$41/Buckets_3_24[[#Totals],[NC To Fill]]*Buckets_3_24[[#This Row],[NC To Fill]]</f>
        <v>2.891932301359601</v>
      </c>
      <c r="GU9" s="31">
        <f>Buckets_3_24[[#This Row],[Crit Filled]]+Buckets_3_24[[#This Row],[Scaled]]</f>
        <v>499.91436145418038</v>
      </c>
      <c r="GV9" s="31">
        <f>Buckets_3_24[[#This Row],[NC Filled]]</f>
        <v>499.91436145418038</v>
      </c>
      <c r="GW9" s="31">
        <f>Buckets_3_24[[#This Row],[Capacity]]-Buckets_3_24[[#This Row],[Final]]</f>
        <v>8.5638545819620049E-2</v>
      </c>
      <c r="GX9" s="33">
        <f>IF(Buckets_3_24[[#This Row],[Capacity]]=0, 1, Buckets_3_24[[#This Row],[Final]]/Buckets_3_24[[#This Row],[Capacity]])</f>
        <v>0.99982872290836078</v>
      </c>
      <c r="GZ9" s="40">
        <f>Buckets_3_24[[#This Row],[Final]]</f>
        <v>499.91436145418038</v>
      </c>
      <c r="HA9" s="40">
        <f>Buckets_3_24[[#This Row],[Capacity]]</f>
        <v>500</v>
      </c>
      <c r="HB9" s="41" t="b">
        <f t="shared" si="42"/>
        <v>0</v>
      </c>
      <c r="HC9" s="42"/>
      <c r="HD9" s="42"/>
      <c r="HE9" s="42"/>
      <c r="HF9" s="42"/>
      <c r="HG9" s="43"/>
      <c r="HH9" s="40">
        <f t="shared" si="43"/>
        <v>499.91436145418038</v>
      </c>
      <c r="HI9" s="40">
        <f t="shared" si="44"/>
        <v>500</v>
      </c>
      <c r="HJ9" s="41" t="b">
        <f t="shared" si="9"/>
        <v>0</v>
      </c>
      <c r="HL9" s="29">
        <f t="shared" si="45"/>
        <v>499.91436145418038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499.91436145418038</v>
      </c>
      <c r="HO9" s="29">
        <f t="shared" si="46"/>
        <v>500</v>
      </c>
      <c r="HP9" s="29">
        <f>Buckets_4_24[[#This Row],[Capacity]]-Buckets_4_24[[#This Row],[After T]]</f>
        <v>8.5638545819620049E-2</v>
      </c>
      <c r="HQ9" s="29">
        <f>MAX(-Buckets_4_24[[#This Row],[Cap Diff]], 0)</f>
        <v>0</v>
      </c>
      <c r="HR9" s="29">
        <f>Buckets_4_24[[#This Row],[After T]]-Buckets_4_24[[#This Row],[Slush]]</f>
        <v>499.91436145418038</v>
      </c>
      <c r="HS9" s="29">
        <f>Buckets_4_24[[#This Row],[Capacity]]-Buckets_4_24[[#This Row],[Before Fill]]</f>
        <v>8.5638545819620049E-2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499.91436145418038</v>
      </c>
      <c r="HW9" s="29">
        <f>IF(NOT(Buckets_4_24[[#This Row],[Is Crit]]), Buckets_4_24[[#This Row],[S Cap Diff]], 0)</f>
        <v>8.5638545819620049E-2</v>
      </c>
      <c r="HX9" s="31">
        <f>HV$41/Buckets_4_24[[#Totals],[NC To Fill]]*Buckets_4_24[[#This Row],[NC To Fill]]</f>
        <v>5.588596851754566E-2</v>
      </c>
      <c r="HY9" s="31">
        <f>Buckets_4_24[[#This Row],[Crit Filled]]+Buckets_4_24[[#This Row],[Scaled]]</f>
        <v>499.97024742269792</v>
      </c>
      <c r="HZ9" s="31">
        <f>Buckets_4_24[[#This Row],[NC Filled]]</f>
        <v>499.97024742269792</v>
      </c>
      <c r="IA9" s="31">
        <f>Buckets_4_24[[#This Row],[Capacity]]-Buckets_4_24[[#This Row],[Final]]</f>
        <v>2.9752577302076588E-2</v>
      </c>
      <c r="IB9" s="33">
        <f>IF(Buckets_4_24[[#This Row],[Capacity]]=0, 1, Buckets_4_24[[#This Row],[Final]]/Buckets_4_24[[#This Row],[Capacity]])</f>
        <v>0.99994049484539582</v>
      </c>
      <c r="ID9" s="40">
        <f>Buckets_4_24[[#This Row],[Final]]</f>
        <v>499.97024742269792</v>
      </c>
      <c r="IE9" s="40">
        <f>Buckets_4_24[[#This Row],[Capacity]]</f>
        <v>500</v>
      </c>
      <c r="IF9" s="41" t="b">
        <f t="shared" si="47"/>
        <v>0</v>
      </c>
      <c r="IG9" s="42"/>
      <c r="IH9" s="42"/>
      <c r="II9" s="42"/>
      <c r="IJ9" s="42"/>
      <c r="IK9" s="43"/>
      <c r="IL9" s="40">
        <f t="shared" si="48"/>
        <v>499.97024742269792</v>
      </c>
      <c r="IM9" s="40">
        <f t="shared" si="49"/>
        <v>500</v>
      </c>
      <c r="IN9" s="41" t="b">
        <f t="shared" si="10"/>
        <v>0</v>
      </c>
    </row>
    <row r="10" spans="1:24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8">
        <v>200</v>
      </c>
      <c r="H10" t="b">
        <v>0</v>
      </c>
      <c r="J10" s="29">
        <f t="shared" si="11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2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 t="shared" si="13"/>
        <v>200</v>
      </c>
      <c r="AD10" t="b">
        <f t="shared" si="14"/>
        <v>0</v>
      </c>
      <c r="AE10" s="43" t="e">
        <f>NA()</f>
        <v>#N/A</v>
      </c>
      <c r="AF10" s="42"/>
      <c r="AG10" s="43" t="e">
        <f>NA()</f>
        <v>#N/A</v>
      </c>
      <c r="AH10" s="42"/>
      <c r="AI10" s="43"/>
      <c r="AJ10" s="31">
        <f t="shared" si="15"/>
        <v>179.15480416413916</v>
      </c>
      <c r="AK10" s="31">
        <f t="shared" si="16"/>
        <v>200</v>
      </c>
      <c r="AL10" t="b">
        <f t="shared" si="17"/>
        <v>0</v>
      </c>
      <c r="AN10" s="29">
        <f t="shared" si="18"/>
        <v>179.15480416413916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165.25480416413916</v>
      </c>
      <c r="AQ10" s="29">
        <f t="shared" si="19"/>
        <v>200</v>
      </c>
      <c r="AR10" s="29">
        <f>Buckets_10_23[[#This Row],[Capacity]]-Buckets_10_23[[#This Row],[After T]]</f>
        <v>34.745195835860841</v>
      </c>
      <c r="AS10" s="29">
        <f>MAX(-Buckets_10_23[[#This Row],[Cap Diff]], 0)</f>
        <v>0</v>
      </c>
      <c r="AT10" s="29">
        <f>Buckets_10_23[[#This Row],[After T]]-Buckets_10_23[[#This Row],[Slush]]</f>
        <v>165.25480416413916</v>
      </c>
      <c r="AU10" s="29">
        <f>Buckets_10_23[[#This Row],[Capacity]]-Buckets_10_23[[#This Row],[Before Fill]]</f>
        <v>34.745195835860841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165.25480416413916</v>
      </c>
      <c r="AY10" s="29">
        <f>IF(NOT(Buckets_10_23[[#This Row],[Is Crit]]), Buckets_10_23[[#This Row],[S Cap Diff]], 0)</f>
        <v>34.745195835860841</v>
      </c>
      <c r="AZ10" s="31">
        <f>AX$41/Buckets_10_23[[#Totals],[NC To Fill]]*Buckets_10_23[[#This Row],[NC To Fill]]</f>
        <v>20.637685206778542</v>
      </c>
      <c r="BA10" s="31">
        <f>Buckets_10_23[[#This Row],[Crit Filled]]+Buckets_10_23[[#This Row],[Scaled]]</f>
        <v>185.8924893709177</v>
      </c>
      <c r="BB10" s="31">
        <f>Buckets_10_23[[#This Row],[NC Filled]]</f>
        <v>185.8924893709177</v>
      </c>
      <c r="BC10" s="31">
        <f>Buckets_10_23[[#This Row],[Capacity]]-Buckets_10_23[[#This Row],[Final]]</f>
        <v>14.107510629082299</v>
      </c>
      <c r="BD10" s="33">
        <f>IF(Buckets_10_23[[#This Row],[Capacity]]=0, 1, Buckets_10_23[[#This Row],[Final]]/Buckets_10_23[[#This Row],[Capacity]])</f>
        <v>0.92946244685458845</v>
      </c>
      <c r="BF10" s="31">
        <f>Buckets_10_23[[#This Row],[Final]]</f>
        <v>185.8924893709177</v>
      </c>
      <c r="BG10" s="31">
        <f>Buckets_10_23[[#This Row],[Capacity]]</f>
        <v>200</v>
      </c>
      <c r="BH10" t="b">
        <f t="shared" si="20"/>
        <v>0</v>
      </c>
      <c r="BI10" s="43" t="e">
        <f>NA()</f>
        <v>#N/A</v>
      </c>
      <c r="BJ10" s="42"/>
      <c r="BK10" s="43" t="e">
        <f>NA()</f>
        <v>#N/A</v>
      </c>
      <c r="BL10" s="42"/>
      <c r="BM10" s="43"/>
      <c r="BN10" s="31">
        <f t="shared" si="21"/>
        <v>185.8924893709177</v>
      </c>
      <c r="BO10" s="31">
        <f t="shared" si="1"/>
        <v>200</v>
      </c>
      <c r="BP10" t="b">
        <f t="shared" si="2"/>
        <v>0</v>
      </c>
      <c r="BR10" s="29">
        <f t="shared" si="22"/>
        <v>185.8924893709177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171.9924893709177</v>
      </c>
      <c r="BU10" s="29">
        <f t="shared" si="23"/>
        <v>200</v>
      </c>
      <c r="BV10" s="29">
        <f>Buckets_11_23[[#This Row],[Capacity]]-Buckets_11_23[[#This Row],[After T]]</f>
        <v>28.007510629082304</v>
      </c>
      <c r="BW10" s="29">
        <f>MAX(-Buckets_11_23[[#This Row],[Cap Diff]], 0)</f>
        <v>0</v>
      </c>
      <c r="BX10" s="29">
        <f>Buckets_11_23[[#This Row],[After T]]-Buckets_11_23[[#This Row],[Slush]]</f>
        <v>171.9924893709177</v>
      </c>
      <c r="BY10" s="29">
        <f>Buckets_11_23[[#This Row],[Capacity]]-Buckets_11_23[[#This Row],[Before Fill]]</f>
        <v>28.007510629082304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171.9924893709177</v>
      </c>
      <c r="CC10" s="29">
        <f>IF(NOT(Buckets_11_23[[#This Row],[Is Crit]]), Buckets_11_23[[#This Row],[S Cap Diff]], 0)</f>
        <v>28.007510629082304</v>
      </c>
      <c r="CD10" s="31">
        <f>CB$41/Buckets_11_23[[#Totals],[NC To Fill]]*Buckets_11_23[[#This Row],[NC To Fill]]</f>
        <v>27.621092158330594</v>
      </c>
      <c r="CE10" s="31">
        <f>Buckets_11_23[[#This Row],[Crit Filled]]+Buckets_11_23[[#This Row],[Scaled]]</f>
        <v>199.61358152924828</v>
      </c>
      <c r="CF10" s="31">
        <f>Buckets_11_23[[#This Row],[NC Filled]]</f>
        <v>199.61358152924828</v>
      </c>
      <c r="CG10" s="31">
        <f>Buckets_11_23[[#This Row],[Capacity]]-Buckets_11_23[[#This Row],[Final]]</f>
        <v>0.38641847075172109</v>
      </c>
      <c r="CH10" s="33">
        <f>IF(Buckets_11_23[[#This Row],[Capacity]]=0, 1, Buckets_11_23[[#This Row],[Final]]/Buckets_11_23[[#This Row],[Capacity]])</f>
        <v>0.99806790764624143</v>
      </c>
      <c r="CJ10" s="40">
        <f>Buckets_11_23[[#This Row],[Final]]</f>
        <v>199.61358152924828</v>
      </c>
      <c r="CK10" s="40">
        <f>Buckets_11_23[[#This Row],[Capacity]]</f>
        <v>200</v>
      </c>
      <c r="CL10" s="41" t="b">
        <f t="shared" si="24"/>
        <v>0</v>
      </c>
      <c r="CM10" s="42"/>
      <c r="CN10" s="42"/>
      <c r="CO10" s="42" t="e">
        <f>NA()</f>
        <v>#N/A</v>
      </c>
      <c r="CP10" s="42">
        <v>500</v>
      </c>
      <c r="CQ10" s="43"/>
      <c r="CR10" s="40">
        <f t="shared" si="25"/>
        <v>199.61358152924828</v>
      </c>
      <c r="CS10" s="40">
        <f t="shared" si="3"/>
        <v>500</v>
      </c>
      <c r="CT10" s="41" t="b">
        <f t="shared" si="4"/>
        <v>0</v>
      </c>
      <c r="CV10" s="29">
        <f t="shared" si="26"/>
        <v>199.61358152924828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185.71358152924827</v>
      </c>
      <c r="CY10" s="29">
        <f t="shared" si="27"/>
        <v>500</v>
      </c>
      <c r="CZ10" s="29">
        <f>Buckets_12_23[[#This Row],[Capacity]]-Buckets_12_23[[#This Row],[After T]]</f>
        <v>314.28641847075176</v>
      </c>
      <c r="DA10" s="29">
        <f>MAX(-Buckets_12_23[[#This Row],[Cap Diff]], 0)</f>
        <v>0</v>
      </c>
      <c r="DB10" s="29">
        <f>Buckets_12_23[[#This Row],[After T]]-Buckets_12_23[[#This Row],[Slush]]</f>
        <v>185.71358152924827</v>
      </c>
      <c r="DC10" s="29">
        <f>Buckets_12_23[[#This Row],[Capacity]]-Buckets_12_23[[#This Row],[Before Fill]]</f>
        <v>314.28641847075176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185.71358152924827</v>
      </c>
      <c r="DG10" s="29">
        <f>IF(NOT(Buckets_12_23[[#This Row],[Is Crit]]), Buckets_12_23[[#This Row],[S Cap Diff]], 0)</f>
        <v>314.28641847075176</v>
      </c>
      <c r="DH10" s="31">
        <f>DF$41/Buckets_12_23[[#Totals],[NC To Fill]]*Buckets_12_23[[#This Row],[NC To Fill]]</f>
        <v>143.69805621638625</v>
      </c>
      <c r="DI10" s="31">
        <f>Buckets_12_23[[#This Row],[Crit Filled]]+Buckets_12_23[[#This Row],[Scaled]]</f>
        <v>329.41163774563449</v>
      </c>
      <c r="DJ10" s="31">
        <f>Buckets_12_23[[#This Row],[NC Filled]]</f>
        <v>329.41163774563449</v>
      </c>
      <c r="DK10" s="31">
        <f>Buckets_12_23[[#This Row],[Capacity]]-Buckets_12_23[[#This Row],[Final]]</f>
        <v>170.58836225436551</v>
      </c>
      <c r="DL10" s="33">
        <f>IF(Buckets_12_23[[#This Row],[Capacity]]=0, 1, Buckets_12_23[[#This Row],[Final]]/Buckets_12_23[[#This Row],[Capacity]])</f>
        <v>0.65882327549126896</v>
      </c>
      <c r="DN10" s="40">
        <f>Buckets_12_23[[#This Row],[Final]]</f>
        <v>329.41163774563449</v>
      </c>
      <c r="DO10" s="40">
        <f>Buckets_12_23[[#This Row],[Capacity]]</f>
        <v>500</v>
      </c>
      <c r="DP10" s="41" t="b">
        <f t="shared" si="28"/>
        <v>0</v>
      </c>
      <c r="DQ10" s="42"/>
      <c r="DR10" s="42"/>
      <c r="DS10" s="42" t="e">
        <f>NA()</f>
        <v>#N/A</v>
      </c>
      <c r="DT10" s="42"/>
      <c r="DU10" s="43"/>
      <c r="DV10" s="40">
        <f t="shared" si="29"/>
        <v>329.41163774563449</v>
      </c>
      <c r="DW10" s="40">
        <f t="shared" si="5"/>
        <v>500</v>
      </c>
      <c r="DX10" s="41" t="b">
        <f t="shared" si="6"/>
        <v>0</v>
      </c>
      <c r="DZ10" s="29">
        <f t="shared" si="30"/>
        <v>329.41163774563449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315.51163774563452</v>
      </c>
      <c r="EC10" s="29">
        <f t="shared" si="31"/>
        <v>500</v>
      </c>
      <c r="ED10" s="29">
        <f>Buckets_1_24[[#This Row],[Capacity]]-Buckets_1_24[[#This Row],[After T]]</f>
        <v>184.48836225436548</v>
      </c>
      <c r="EE10" s="29">
        <f>MAX(-Buckets_1_24[[#This Row],[Cap Diff]], 0)</f>
        <v>0</v>
      </c>
      <c r="EF10" s="29">
        <f>Buckets_1_24[[#This Row],[After T]]-Buckets_1_24[[#This Row],[Slush]]</f>
        <v>315.51163774563452</v>
      </c>
      <c r="EG10" s="29">
        <f>Buckets_1_24[[#This Row],[Capacity]]-Buckets_1_24[[#This Row],[Before Fill]]</f>
        <v>184.48836225436548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315.51163774563452</v>
      </c>
      <c r="EK10" s="29">
        <f>IF(NOT(Buckets_1_24[[#This Row],[Is Crit]]), Buckets_1_24[[#This Row],[S Cap Diff]], 0)</f>
        <v>184.48836225436548</v>
      </c>
      <c r="EL10" s="31">
        <f>EJ$41/Buckets_1_24[[#Totals],[NC To Fill]]*Buckets_1_24[[#This Row],[NC To Fill]]</f>
        <v>113.27445605127122</v>
      </c>
      <c r="EM10" s="31">
        <f>Buckets_1_24[[#This Row],[Crit Filled]]+Buckets_1_24[[#This Row],[Scaled]]</f>
        <v>428.78609379690573</v>
      </c>
      <c r="EN10" s="31">
        <f>Buckets_1_24[[#This Row],[NC Filled]]</f>
        <v>428.78609379690573</v>
      </c>
      <c r="EO10" s="31">
        <f>Buckets_1_24[[#This Row],[Capacity]]-Buckets_1_24[[#This Row],[Final]]</f>
        <v>71.213906203094268</v>
      </c>
      <c r="EP10" s="33">
        <f>IF(Buckets_1_24[[#This Row],[Capacity]]=0, 1, Buckets_1_24[[#This Row],[Final]]/Buckets_1_24[[#This Row],[Capacity]])</f>
        <v>0.85757218759381149</v>
      </c>
      <c r="ER10" s="40">
        <f>Buckets_1_24[[#This Row],[Final]]</f>
        <v>428.78609379690573</v>
      </c>
      <c r="ES10" s="40">
        <f>Buckets_1_24[[#This Row],[Capacity]]</f>
        <v>500</v>
      </c>
      <c r="ET10" s="41" t="b">
        <f t="shared" si="32"/>
        <v>0</v>
      </c>
      <c r="EU10" s="42"/>
      <c r="EV10" s="42"/>
      <c r="EW10" s="42"/>
      <c r="EX10" s="42"/>
      <c r="EY10" s="43"/>
      <c r="EZ10" s="40">
        <f t="shared" si="33"/>
        <v>428.78609379690573</v>
      </c>
      <c r="FA10" s="40">
        <f t="shared" si="34"/>
        <v>500</v>
      </c>
      <c r="FB10" s="41" t="b">
        <f t="shared" si="7"/>
        <v>0</v>
      </c>
      <c r="FD10" s="29">
        <f t="shared" si="35"/>
        <v>428.78609379690573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414.88609379690575</v>
      </c>
      <c r="FG10" s="29">
        <f t="shared" si="36"/>
        <v>500</v>
      </c>
      <c r="FH10" s="29">
        <f>Buckets_2_24[[#This Row],[Capacity]]-Buckets_2_24[[#This Row],[After T]]</f>
        <v>85.113906203094245</v>
      </c>
      <c r="FI10" s="29">
        <f>MAX(-Buckets_2_24[[#This Row],[Cap Diff]], 0)</f>
        <v>0</v>
      </c>
      <c r="FJ10" s="29">
        <f>Buckets_2_24[[#This Row],[After T]]-Buckets_2_24[[#This Row],[Slush]]</f>
        <v>414.88609379690575</v>
      </c>
      <c r="FK10" s="29">
        <f>Buckets_2_24[[#This Row],[Capacity]]-Buckets_2_24[[#This Row],[Before Fill]]</f>
        <v>85.113906203094245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414.88609379690575</v>
      </c>
      <c r="FO10" s="29">
        <f>IF(NOT(Buckets_2_24[[#This Row],[Is Crit]]), Buckets_2_24[[#This Row],[S Cap Diff]], 0)</f>
        <v>85.113906203094245</v>
      </c>
      <c r="FP10" s="31">
        <f>FN$41/Buckets_2_24[[#Totals],[NC To Fill]]*Buckets_2_24[[#This Row],[NC To Fill]]</f>
        <v>81.994118357738614</v>
      </c>
      <c r="FQ10" s="31">
        <f>Buckets_2_24[[#This Row],[Crit Filled]]+Buckets_2_24[[#This Row],[Scaled]]</f>
        <v>496.88021215464437</v>
      </c>
      <c r="FR10" s="31">
        <f>Buckets_2_24[[#This Row],[NC Filled]]</f>
        <v>496.88021215464437</v>
      </c>
      <c r="FS10" s="31">
        <f>Buckets_2_24[[#This Row],[Capacity]]-Buckets_2_24[[#This Row],[Final]]</f>
        <v>3.1197878453556314</v>
      </c>
      <c r="FT10" s="33">
        <f>IF(Buckets_2_24[[#This Row],[Capacity]]=0, 1, Buckets_2_24[[#This Row],[Final]]/Buckets_2_24[[#This Row],[Capacity]])</f>
        <v>0.99376042430928879</v>
      </c>
      <c r="FV10" s="40">
        <f>Buckets_2_24[[#This Row],[Final]]</f>
        <v>496.88021215464437</v>
      </c>
      <c r="FW10" s="40">
        <f>Buckets_2_24[[#This Row],[Capacity]]</f>
        <v>500</v>
      </c>
      <c r="FX10" s="41" t="b">
        <f t="shared" si="37"/>
        <v>0</v>
      </c>
      <c r="FY10" s="42"/>
      <c r="FZ10" s="42"/>
      <c r="GA10" s="42"/>
      <c r="GB10" s="42"/>
      <c r="GC10" s="43"/>
      <c r="GD10" s="40">
        <f t="shared" si="38"/>
        <v>496.88021215464437</v>
      </c>
      <c r="GE10" s="40">
        <f t="shared" si="39"/>
        <v>500</v>
      </c>
      <c r="GF10" s="41" t="b">
        <f t="shared" si="8"/>
        <v>0</v>
      </c>
      <c r="GH10" s="29">
        <f t="shared" si="40"/>
        <v>496.88021215464437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482.98021215464439</v>
      </c>
      <c r="GK10" s="29">
        <f t="shared" si="41"/>
        <v>500</v>
      </c>
      <c r="GL10" s="29">
        <f>Buckets_3_24[[#This Row],[Capacity]]-Buckets_3_24[[#This Row],[After T]]</f>
        <v>17.019787845355609</v>
      </c>
      <c r="GM10" s="29">
        <f>MAX(-Buckets_3_24[[#This Row],[Cap Diff]], 0)</f>
        <v>0</v>
      </c>
      <c r="GN10" s="29">
        <f>Buckets_3_24[[#This Row],[After T]]-Buckets_3_24[[#This Row],[Slush]]</f>
        <v>482.98021215464439</v>
      </c>
      <c r="GO10" s="29">
        <f>Buckets_3_24[[#This Row],[Capacity]]-Buckets_3_24[[#This Row],[Before Fill]]</f>
        <v>17.019787845355609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482.98021215464439</v>
      </c>
      <c r="GS10" s="29">
        <f>IF(NOT(Buckets_3_24[[#This Row],[Is Crit]]), Buckets_3_24[[#This Row],[S Cap Diff]], 0)</f>
        <v>17.019787845355609</v>
      </c>
      <c r="GT10" s="31">
        <f>GR$41/Buckets_3_24[[#Totals],[NC To Fill]]*Buckets_3_24[[#This Row],[NC To Fill]]</f>
        <v>16.530278122147749</v>
      </c>
      <c r="GU10" s="31">
        <f>Buckets_3_24[[#This Row],[Crit Filled]]+Buckets_3_24[[#This Row],[Scaled]]</f>
        <v>499.51049027679215</v>
      </c>
      <c r="GV10" s="31">
        <f>Buckets_3_24[[#This Row],[NC Filled]]</f>
        <v>499.51049027679215</v>
      </c>
      <c r="GW10" s="31">
        <f>Buckets_3_24[[#This Row],[Capacity]]-Buckets_3_24[[#This Row],[Final]]</f>
        <v>0.48950972320784558</v>
      </c>
      <c r="GX10" s="33">
        <f>IF(Buckets_3_24[[#This Row],[Capacity]]=0, 1, Buckets_3_24[[#This Row],[Final]]/Buckets_3_24[[#This Row],[Capacity]])</f>
        <v>0.99902098055358435</v>
      </c>
      <c r="GZ10" s="40">
        <f>Buckets_3_24[[#This Row],[Final]]</f>
        <v>499.51049027679215</v>
      </c>
      <c r="HA10" s="40">
        <f>Buckets_3_24[[#This Row],[Capacity]]</f>
        <v>500</v>
      </c>
      <c r="HB10" s="41" t="b">
        <f t="shared" si="42"/>
        <v>0</v>
      </c>
      <c r="HC10" s="42"/>
      <c r="HD10" s="42"/>
      <c r="HE10" s="42"/>
      <c r="HF10" s="42"/>
      <c r="HG10" s="43"/>
      <c r="HH10" s="40">
        <f t="shared" si="43"/>
        <v>499.51049027679215</v>
      </c>
      <c r="HI10" s="40">
        <f t="shared" si="44"/>
        <v>500</v>
      </c>
      <c r="HJ10" s="41" t="b">
        <f t="shared" si="9"/>
        <v>0</v>
      </c>
      <c r="HL10" s="29">
        <f t="shared" si="45"/>
        <v>499.51049027679215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485.61049027679218</v>
      </c>
      <c r="HO10" s="29">
        <f t="shared" si="46"/>
        <v>500</v>
      </c>
      <c r="HP10" s="29">
        <f>Buckets_4_24[[#This Row],[Capacity]]-Buckets_4_24[[#This Row],[After T]]</f>
        <v>14.389509723207823</v>
      </c>
      <c r="HQ10" s="29">
        <f>MAX(-Buckets_4_24[[#This Row],[Cap Diff]], 0)</f>
        <v>0</v>
      </c>
      <c r="HR10" s="29">
        <f>Buckets_4_24[[#This Row],[After T]]-Buckets_4_24[[#This Row],[Slush]]</f>
        <v>485.61049027679218</v>
      </c>
      <c r="HS10" s="29">
        <f>Buckets_4_24[[#This Row],[Capacity]]-Buckets_4_24[[#This Row],[Before Fill]]</f>
        <v>14.389509723207823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485.61049027679218</v>
      </c>
      <c r="HW10" s="29">
        <f>IF(NOT(Buckets_4_24[[#This Row],[Is Crit]]), Buckets_4_24[[#This Row],[S Cap Diff]], 0)</f>
        <v>14.389509723207823</v>
      </c>
      <c r="HX10" s="31">
        <f>HV$41/Buckets_4_24[[#Totals],[NC To Fill]]*Buckets_4_24[[#This Row],[NC To Fill]]</f>
        <v>9.3903005904365955</v>
      </c>
      <c r="HY10" s="31">
        <f>Buckets_4_24[[#This Row],[Crit Filled]]+Buckets_4_24[[#This Row],[Scaled]]</f>
        <v>495.00079086722877</v>
      </c>
      <c r="HZ10" s="31">
        <f>Buckets_4_24[[#This Row],[NC Filled]]</f>
        <v>495.00079086722877</v>
      </c>
      <c r="IA10" s="31">
        <f>Buckets_4_24[[#This Row],[Capacity]]-Buckets_4_24[[#This Row],[Final]]</f>
        <v>4.9992091327712274</v>
      </c>
      <c r="IB10" s="33">
        <f>IF(Buckets_4_24[[#This Row],[Capacity]]=0, 1, Buckets_4_24[[#This Row],[Final]]/Buckets_4_24[[#This Row],[Capacity]])</f>
        <v>0.99000158173445751</v>
      </c>
      <c r="ID10" s="40">
        <f>Buckets_4_24[[#This Row],[Final]]</f>
        <v>495.00079086722877</v>
      </c>
      <c r="IE10" s="40">
        <f>Buckets_4_24[[#This Row],[Capacity]]</f>
        <v>500</v>
      </c>
      <c r="IF10" s="41" t="b">
        <f t="shared" si="47"/>
        <v>0</v>
      </c>
      <c r="IG10" s="42"/>
      <c r="IH10" s="42"/>
      <c r="II10" s="42"/>
      <c r="IJ10" s="42"/>
      <c r="IK10" s="43"/>
      <c r="IL10" s="40">
        <f t="shared" si="48"/>
        <v>495.00079086722877</v>
      </c>
      <c r="IM10" s="40">
        <f t="shared" si="49"/>
        <v>500</v>
      </c>
      <c r="IN10" s="41" t="b">
        <f t="shared" si="10"/>
        <v>0</v>
      </c>
    </row>
    <row r="11" spans="1:24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8">
        <v>200</v>
      </c>
      <c r="H11" t="b">
        <v>0</v>
      </c>
      <c r="J11" s="29">
        <f t="shared" si="11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2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 t="shared" si="13"/>
        <v>200</v>
      </c>
      <c r="AD11" t="b">
        <f t="shared" si="14"/>
        <v>0</v>
      </c>
      <c r="AE11" s="43" t="e">
        <f>NA()</f>
        <v>#N/A</v>
      </c>
      <c r="AF11" s="42"/>
      <c r="AG11" s="43" t="e">
        <f>NA()</f>
        <v>#N/A</v>
      </c>
      <c r="AH11" s="42"/>
      <c r="AI11" s="43"/>
      <c r="AJ11" s="31">
        <f t="shared" si="15"/>
        <v>179.54779778911055</v>
      </c>
      <c r="AK11" s="31">
        <f t="shared" si="16"/>
        <v>200</v>
      </c>
      <c r="AL11" t="b">
        <f t="shared" si="17"/>
        <v>0</v>
      </c>
      <c r="AN11" s="29">
        <f t="shared" si="18"/>
        <v>179.54779778911055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163.31779778911056</v>
      </c>
      <c r="AQ11" s="29">
        <f t="shared" si="19"/>
        <v>200</v>
      </c>
      <c r="AR11" s="29">
        <f>Buckets_10_23[[#This Row],[Capacity]]-Buckets_10_23[[#This Row],[After T]]</f>
        <v>36.682202210889443</v>
      </c>
      <c r="AS11" s="29">
        <f>MAX(-Buckets_10_23[[#This Row],[Cap Diff]], 0)</f>
        <v>0</v>
      </c>
      <c r="AT11" s="29">
        <f>Buckets_10_23[[#This Row],[After T]]-Buckets_10_23[[#This Row],[Slush]]</f>
        <v>163.31779778911056</v>
      </c>
      <c r="AU11" s="29">
        <f>Buckets_10_23[[#This Row],[Capacity]]-Buckets_10_23[[#This Row],[Before Fill]]</f>
        <v>36.682202210889443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163.31779778911056</v>
      </c>
      <c r="AY11" s="29">
        <f>IF(NOT(Buckets_10_23[[#This Row],[Is Crit]]), Buckets_10_23[[#This Row],[S Cap Diff]], 0)</f>
        <v>36.682202210889443</v>
      </c>
      <c r="AZ11" s="31">
        <f>AX$41/Buckets_10_23[[#Totals],[NC To Fill]]*Buckets_10_23[[#This Row],[NC To Fill]]</f>
        <v>21.788213412180237</v>
      </c>
      <c r="BA11" s="31">
        <f>Buckets_10_23[[#This Row],[Crit Filled]]+Buckets_10_23[[#This Row],[Scaled]]</f>
        <v>185.10601120129078</v>
      </c>
      <c r="BB11" s="31">
        <f>Buckets_10_23[[#This Row],[NC Filled]]</f>
        <v>185.10601120129078</v>
      </c>
      <c r="BC11" s="31">
        <f>Buckets_10_23[[#This Row],[Capacity]]-Buckets_10_23[[#This Row],[Final]]</f>
        <v>14.893988798709216</v>
      </c>
      <c r="BD11" s="33">
        <f>IF(Buckets_10_23[[#This Row],[Capacity]]=0, 1, Buckets_10_23[[#This Row],[Final]]/Buckets_10_23[[#This Row],[Capacity]])</f>
        <v>0.92553005600645388</v>
      </c>
      <c r="BF11" s="31">
        <f>Buckets_10_23[[#This Row],[Final]]</f>
        <v>185.10601120129078</v>
      </c>
      <c r="BG11" s="31">
        <f>Buckets_10_23[[#This Row],[Capacity]]</f>
        <v>200</v>
      </c>
      <c r="BH11" t="b">
        <f t="shared" si="20"/>
        <v>0</v>
      </c>
      <c r="BI11" s="43" t="e">
        <f>NA()</f>
        <v>#N/A</v>
      </c>
      <c r="BJ11" s="42"/>
      <c r="BK11" s="43" t="e">
        <f>NA()</f>
        <v>#N/A</v>
      </c>
      <c r="BL11" s="42"/>
      <c r="BM11" s="43"/>
      <c r="BN11" s="31">
        <f t="shared" si="21"/>
        <v>185.10601120129078</v>
      </c>
      <c r="BO11" s="31">
        <f t="shared" si="1"/>
        <v>200</v>
      </c>
      <c r="BP11" t="b">
        <f t="shared" si="2"/>
        <v>0</v>
      </c>
      <c r="BR11" s="29">
        <f t="shared" si="22"/>
        <v>185.10601120129078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185.10601120129078</v>
      </c>
      <c r="BU11" s="29">
        <f t="shared" si="23"/>
        <v>200</v>
      </c>
      <c r="BV11" s="29">
        <f>Buckets_11_23[[#This Row],[Capacity]]-Buckets_11_23[[#This Row],[After T]]</f>
        <v>14.893988798709216</v>
      </c>
      <c r="BW11" s="29">
        <f>MAX(-Buckets_11_23[[#This Row],[Cap Diff]], 0)</f>
        <v>0</v>
      </c>
      <c r="BX11" s="29">
        <f>Buckets_11_23[[#This Row],[After T]]-Buckets_11_23[[#This Row],[Slush]]</f>
        <v>185.10601120129078</v>
      </c>
      <c r="BY11" s="29">
        <f>Buckets_11_23[[#This Row],[Capacity]]-Buckets_11_23[[#This Row],[Before Fill]]</f>
        <v>14.893988798709216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185.10601120129078</v>
      </c>
      <c r="CC11" s="29">
        <f>IF(NOT(Buckets_11_23[[#This Row],[Is Crit]]), Buckets_11_23[[#This Row],[S Cap Diff]], 0)</f>
        <v>14.893988798709216</v>
      </c>
      <c r="CD11" s="31">
        <f>CB$41/Buckets_11_23[[#Totals],[NC To Fill]]*Buckets_11_23[[#This Row],[NC To Fill]]</f>
        <v>14.68849704861365</v>
      </c>
      <c r="CE11" s="31">
        <f>Buckets_11_23[[#This Row],[Crit Filled]]+Buckets_11_23[[#This Row],[Scaled]]</f>
        <v>199.79450824990442</v>
      </c>
      <c r="CF11" s="31">
        <f>Buckets_11_23[[#This Row],[NC Filled]]</f>
        <v>199.79450824990442</v>
      </c>
      <c r="CG11" s="31">
        <f>Buckets_11_23[[#This Row],[Capacity]]-Buckets_11_23[[#This Row],[Final]]</f>
        <v>0.2054917500955753</v>
      </c>
      <c r="CH11" s="33">
        <f>IF(Buckets_11_23[[#This Row],[Capacity]]=0, 1, Buckets_11_23[[#This Row],[Final]]/Buckets_11_23[[#This Row],[Capacity]])</f>
        <v>0.99897254124952217</v>
      </c>
      <c r="CJ11" s="40">
        <f>Buckets_11_23[[#This Row],[Final]]</f>
        <v>199.79450824990442</v>
      </c>
      <c r="CK11" s="40">
        <f>Buckets_11_23[[#This Row],[Capacity]]</f>
        <v>200</v>
      </c>
      <c r="CL11" s="41" t="b">
        <f t="shared" si="24"/>
        <v>0</v>
      </c>
      <c r="CM11" s="42">
        <v>-70</v>
      </c>
      <c r="CN11" s="42"/>
      <c r="CO11" s="42" t="e">
        <f>NA()</f>
        <v>#N/A</v>
      </c>
      <c r="CP11" s="42">
        <v>500</v>
      </c>
      <c r="CQ11" s="43"/>
      <c r="CR11" s="40">
        <f t="shared" si="25"/>
        <v>129.79450824990442</v>
      </c>
      <c r="CS11" s="40">
        <f t="shared" si="3"/>
        <v>500</v>
      </c>
      <c r="CT11" s="41" t="b">
        <f t="shared" si="4"/>
        <v>0</v>
      </c>
      <c r="CV11" s="29">
        <f t="shared" si="26"/>
        <v>129.79450824990442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108.14450824990442</v>
      </c>
      <c r="CY11" s="29">
        <f t="shared" si="27"/>
        <v>500</v>
      </c>
      <c r="CZ11" s="29">
        <f>Buckets_12_23[[#This Row],[Capacity]]-Buckets_12_23[[#This Row],[After T]]</f>
        <v>391.85549175009555</v>
      </c>
      <c r="DA11" s="29">
        <f>MAX(-Buckets_12_23[[#This Row],[Cap Diff]], 0)</f>
        <v>0</v>
      </c>
      <c r="DB11" s="29">
        <f>Buckets_12_23[[#This Row],[After T]]-Buckets_12_23[[#This Row],[Slush]]</f>
        <v>108.14450824990442</v>
      </c>
      <c r="DC11" s="29">
        <f>Buckets_12_23[[#This Row],[Capacity]]-Buckets_12_23[[#This Row],[Before Fill]]</f>
        <v>391.85549175009555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108.14450824990442</v>
      </c>
      <c r="DG11" s="29">
        <f>IF(NOT(Buckets_12_23[[#This Row],[Is Crit]]), Buckets_12_23[[#This Row],[S Cap Diff]], 0)</f>
        <v>391.85549175009555</v>
      </c>
      <c r="DH11" s="31">
        <f>DF$41/Buckets_12_23[[#Totals],[NC To Fill]]*Buckets_12_23[[#This Row],[NC To Fill]]</f>
        <v>179.16419282828522</v>
      </c>
      <c r="DI11" s="31">
        <f>Buckets_12_23[[#This Row],[Crit Filled]]+Buckets_12_23[[#This Row],[Scaled]]</f>
        <v>287.30870107818964</v>
      </c>
      <c r="DJ11" s="31">
        <f>Buckets_12_23[[#This Row],[NC Filled]]</f>
        <v>287.30870107818964</v>
      </c>
      <c r="DK11" s="31">
        <f>Buckets_12_23[[#This Row],[Capacity]]-Buckets_12_23[[#This Row],[Final]]</f>
        <v>212.69129892181036</v>
      </c>
      <c r="DL11" s="33">
        <f>IF(Buckets_12_23[[#This Row],[Capacity]]=0, 1, Buckets_12_23[[#This Row],[Final]]/Buckets_12_23[[#This Row],[Capacity]])</f>
        <v>0.57461740215637924</v>
      </c>
      <c r="DN11" s="40">
        <f>Buckets_12_23[[#This Row],[Final]]</f>
        <v>287.30870107818964</v>
      </c>
      <c r="DO11" s="40">
        <f>Buckets_12_23[[#This Row],[Capacity]]</f>
        <v>500</v>
      </c>
      <c r="DP11" s="41" t="b">
        <f t="shared" si="28"/>
        <v>0</v>
      </c>
      <c r="DQ11" s="42"/>
      <c r="DR11" s="42"/>
      <c r="DS11" s="42" t="e">
        <f>NA()</f>
        <v>#N/A</v>
      </c>
      <c r="DT11" s="42"/>
      <c r="DU11" s="43"/>
      <c r="DV11" s="40">
        <f t="shared" si="29"/>
        <v>287.30870107818964</v>
      </c>
      <c r="DW11" s="40">
        <f t="shared" si="5"/>
        <v>500</v>
      </c>
      <c r="DX11" s="41" t="b">
        <f t="shared" si="6"/>
        <v>0</v>
      </c>
      <c r="DZ11" s="29">
        <f t="shared" si="30"/>
        <v>287.30870107818964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287.30870107818964</v>
      </c>
      <c r="EC11" s="29">
        <f t="shared" si="31"/>
        <v>500</v>
      </c>
      <c r="ED11" s="29">
        <f>Buckets_1_24[[#This Row],[Capacity]]-Buckets_1_24[[#This Row],[After T]]</f>
        <v>212.69129892181036</v>
      </c>
      <c r="EE11" s="29">
        <f>MAX(-Buckets_1_24[[#This Row],[Cap Diff]], 0)</f>
        <v>0</v>
      </c>
      <c r="EF11" s="29">
        <f>Buckets_1_24[[#This Row],[After T]]-Buckets_1_24[[#This Row],[Slush]]</f>
        <v>287.30870107818964</v>
      </c>
      <c r="EG11" s="29">
        <f>Buckets_1_24[[#This Row],[Capacity]]-Buckets_1_24[[#This Row],[Before Fill]]</f>
        <v>212.69129892181036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287.30870107818964</v>
      </c>
      <c r="EK11" s="29">
        <f>IF(NOT(Buckets_1_24[[#This Row],[Is Crit]]), Buckets_1_24[[#This Row],[S Cap Diff]], 0)</f>
        <v>212.69129892181036</v>
      </c>
      <c r="EL11" s="31">
        <f>EJ$41/Buckets_1_24[[#Totals],[NC To Fill]]*Buckets_1_24[[#This Row],[NC To Fill]]</f>
        <v>130.59084539429426</v>
      </c>
      <c r="EM11" s="31">
        <f>Buckets_1_24[[#This Row],[Crit Filled]]+Buckets_1_24[[#This Row],[Scaled]]</f>
        <v>417.89954647248391</v>
      </c>
      <c r="EN11" s="31">
        <f>Buckets_1_24[[#This Row],[NC Filled]]</f>
        <v>417.89954647248391</v>
      </c>
      <c r="EO11" s="31">
        <f>Buckets_1_24[[#This Row],[Capacity]]-Buckets_1_24[[#This Row],[Final]]</f>
        <v>82.100453527516095</v>
      </c>
      <c r="EP11" s="33">
        <f>IF(Buckets_1_24[[#This Row],[Capacity]]=0, 1, Buckets_1_24[[#This Row],[Final]]/Buckets_1_24[[#This Row],[Capacity]])</f>
        <v>0.83579909294496779</v>
      </c>
      <c r="ER11" s="40">
        <f>Buckets_1_24[[#This Row],[Final]]</f>
        <v>417.89954647248391</v>
      </c>
      <c r="ES11" s="40">
        <f>Buckets_1_24[[#This Row],[Capacity]]</f>
        <v>500</v>
      </c>
      <c r="ET11" s="41" t="b">
        <f t="shared" si="32"/>
        <v>0</v>
      </c>
      <c r="EU11" s="42"/>
      <c r="EV11" s="42"/>
      <c r="EW11" s="42"/>
      <c r="EX11" s="42"/>
      <c r="EY11" s="43"/>
      <c r="EZ11" s="40">
        <f t="shared" si="33"/>
        <v>417.89954647248391</v>
      </c>
      <c r="FA11" s="40">
        <f t="shared" si="34"/>
        <v>500</v>
      </c>
      <c r="FB11" s="41" t="b">
        <f t="shared" si="7"/>
        <v>0</v>
      </c>
      <c r="FD11" s="29">
        <f t="shared" si="35"/>
        <v>417.89954647248391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374.60954647248388</v>
      </c>
      <c r="FG11" s="29">
        <f t="shared" si="36"/>
        <v>500</v>
      </c>
      <c r="FH11" s="29">
        <f>Buckets_2_24[[#This Row],[Capacity]]-Buckets_2_24[[#This Row],[After T]]</f>
        <v>125.39045352751612</v>
      </c>
      <c r="FI11" s="29">
        <f>MAX(-Buckets_2_24[[#This Row],[Cap Diff]], 0)</f>
        <v>0</v>
      </c>
      <c r="FJ11" s="29">
        <f>Buckets_2_24[[#This Row],[After T]]-Buckets_2_24[[#This Row],[Slush]]</f>
        <v>374.60954647248388</v>
      </c>
      <c r="FK11" s="29">
        <f>Buckets_2_24[[#This Row],[Capacity]]-Buckets_2_24[[#This Row],[Before Fill]]</f>
        <v>125.39045352751612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374.60954647248388</v>
      </c>
      <c r="FO11" s="29">
        <f>IF(NOT(Buckets_2_24[[#This Row],[Is Crit]]), Buckets_2_24[[#This Row],[S Cap Diff]], 0)</f>
        <v>125.39045352751612</v>
      </c>
      <c r="FP11" s="31">
        <f>FN$41/Buckets_2_24[[#Totals],[NC To Fill]]*Buckets_2_24[[#This Row],[NC To Fill]]</f>
        <v>120.79435836175865</v>
      </c>
      <c r="FQ11" s="31">
        <f>Buckets_2_24[[#This Row],[Crit Filled]]+Buckets_2_24[[#This Row],[Scaled]]</f>
        <v>495.40390483424255</v>
      </c>
      <c r="FR11" s="31">
        <f>Buckets_2_24[[#This Row],[NC Filled]]</f>
        <v>495.40390483424255</v>
      </c>
      <c r="FS11" s="31">
        <f>Buckets_2_24[[#This Row],[Capacity]]-Buckets_2_24[[#This Row],[Final]]</f>
        <v>4.5960951657574469</v>
      </c>
      <c r="FT11" s="33">
        <f>IF(Buckets_2_24[[#This Row],[Capacity]]=0, 1, Buckets_2_24[[#This Row],[Final]]/Buckets_2_24[[#This Row],[Capacity]])</f>
        <v>0.99080780966848514</v>
      </c>
      <c r="FV11" s="40">
        <f>Buckets_2_24[[#This Row],[Final]]</f>
        <v>495.40390483424255</v>
      </c>
      <c r="FW11" s="40">
        <f>Buckets_2_24[[#This Row],[Capacity]]</f>
        <v>500</v>
      </c>
      <c r="FX11" s="41" t="b">
        <f t="shared" si="37"/>
        <v>0</v>
      </c>
      <c r="FY11" s="42"/>
      <c r="FZ11" s="42"/>
      <c r="GA11" s="42"/>
      <c r="GB11" s="42"/>
      <c r="GC11" s="43"/>
      <c r="GD11" s="40">
        <f t="shared" si="38"/>
        <v>495.40390483424255</v>
      </c>
      <c r="GE11" s="40">
        <f t="shared" si="39"/>
        <v>500</v>
      </c>
      <c r="GF11" s="41" t="b">
        <f t="shared" si="8"/>
        <v>0</v>
      </c>
      <c r="GH11" s="29">
        <f t="shared" si="40"/>
        <v>495.40390483424255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447.53390483424255</v>
      </c>
      <c r="GK11" s="29">
        <f t="shared" si="41"/>
        <v>500</v>
      </c>
      <c r="GL11" s="29">
        <f>Buckets_3_24[[#This Row],[Capacity]]-Buckets_3_24[[#This Row],[After T]]</f>
        <v>52.466095165757451</v>
      </c>
      <c r="GM11" s="29">
        <f>MAX(-Buckets_3_24[[#This Row],[Cap Diff]], 0)</f>
        <v>0</v>
      </c>
      <c r="GN11" s="29">
        <f>Buckets_3_24[[#This Row],[After T]]-Buckets_3_24[[#This Row],[Slush]]</f>
        <v>447.53390483424255</v>
      </c>
      <c r="GO11" s="29">
        <f>Buckets_3_24[[#This Row],[Capacity]]-Buckets_3_24[[#This Row],[Before Fill]]</f>
        <v>52.466095165757451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447.53390483424255</v>
      </c>
      <c r="GS11" s="29">
        <f>IF(NOT(Buckets_3_24[[#This Row],[Is Crit]]), Buckets_3_24[[#This Row],[S Cap Diff]], 0)</f>
        <v>52.466095165757451</v>
      </c>
      <c r="GT11" s="31">
        <f>GR$41/Buckets_3_24[[#Totals],[NC To Fill]]*Buckets_3_24[[#This Row],[NC To Fill]]</f>
        <v>50.957106689770335</v>
      </c>
      <c r="GU11" s="31">
        <f>Buckets_3_24[[#This Row],[Crit Filled]]+Buckets_3_24[[#This Row],[Scaled]]</f>
        <v>498.49101152401289</v>
      </c>
      <c r="GV11" s="31">
        <f>Buckets_3_24[[#This Row],[NC Filled]]</f>
        <v>498.49101152401289</v>
      </c>
      <c r="GW11" s="31">
        <f>Buckets_3_24[[#This Row],[Capacity]]-Buckets_3_24[[#This Row],[Final]]</f>
        <v>1.5089884759871097</v>
      </c>
      <c r="GX11" s="33">
        <f>IF(Buckets_3_24[[#This Row],[Capacity]]=0, 1, Buckets_3_24[[#This Row],[Final]]/Buckets_3_24[[#This Row],[Capacity]])</f>
        <v>0.99698202304802575</v>
      </c>
      <c r="GZ11" s="40">
        <f>Buckets_3_24[[#This Row],[Final]]</f>
        <v>498.49101152401289</v>
      </c>
      <c r="HA11" s="40">
        <f>Buckets_3_24[[#This Row],[Capacity]]</f>
        <v>500</v>
      </c>
      <c r="HB11" s="41" t="b">
        <f t="shared" si="42"/>
        <v>0</v>
      </c>
      <c r="HC11" s="42"/>
      <c r="HD11" s="42"/>
      <c r="HE11" s="42"/>
      <c r="HF11" s="42"/>
      <c r="HG11" s="43"/>
      <c r="HH11" s="40">
        <f t="shared" si="43"/>
        <v>498.49101152401289</v>
      </c>
      <c r="HI11" s="40">
        <f t="shared" si="44"/>
        <v>500</v>
      </c>
      <c r="HJ11" s="41" t="b">
        <f t="shared" si="9"/>
        <v>0</v>
      </c>
      <c r="HL11" s="29">
        <f t="shared" si="45"/>
        <v>498.49101152401289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480.31101152401288</v>
      </c>
      <c r="HO11" s="29">
        <f t="shared" si="46"/>
        <v>500</v>
      </c>
      <c r="HP11" s="29">
        <f>Buckets_4_24[[#This Row],[Capacity]]-Buckets_4_24[[#This Row],[After T]]</f>
        <v>19.688988475987117</v>
      </c>
      <c r="HQ11" s="29">
        <f>MAX(-Buckets_4_24[[#This Row],[Cap Diff]], 0)</f>
        <v>0</v>
      </c>
      <c r="HR11" s="29">
        <f>Buckets_4_24[[#This Row],[After T]]-Buckets_4_24[[#This Row],[Slush]]</f>
        <v>480.31101152401288</v>
      </c>
      <c r="HS11" s="29">
        <f>Buckets_4_24[[#This Row],[Capacity]]-Buckets_4_24[[#This Row],[Before Fill]]</f>
        <v>19.688988475987117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480.31101152401288</v>
      </c>
      <c r="HW11" s="29">
        <f>IF(NOT(Buckets_4_24[[#This Row],[Is Crit]]), Buckets_4_24[[#This Row],[S Cap Diff]], 0)</f>
        <v>19.688988475987117</v>
      </c>
      <c r="HX11" s="31">
        <f>HV$41/Buckets_4_24[[#Totals],[NC To Fill]]*Buckets_4_24[[#This Row],[NC To Fill]]</f>
        <v>12.848632348673586</v>
      </c>
      <c r="HY11" s="31">
        <f>Buckets_4_24[[#This Row],[Crit Filled]]+Buckets_4_24[[#This Row],[Scaled]]</f>
        <v>493.15964387268644</v>
      </c>
      <c r="HZ11" s="31">
        <f>Buckets_4_24[[#This Row],[NC Filled]]</f>
        <v>493.15964387268644</v>
      </c>
      <c r="IA11" s="31">
        <f>Buckets_4_24[[#This Row],[Capacity]]-Buckets_4_24[[#This Row],[Final]]</f>
        <v>6.8403561273135551</v>
      </c>
      <c r="IB11" s="33">
        <f>IF(Buckets_4_24[[#This Row],[Capacity]]=0, 1, Buckets_4_24[[#This Row],[Final]]/Buckets_4_24[[#This Row],[Capacity]])</f>
        <v>0.98631928774537292</v>
      </c>
      <c r="ID11" s="40">
        <f>Buckets_4_24[[#This Row],[Final]]</f>
        <v>493.15964387268644</v>
      </c>
      <c r="IE11" s="40">
        <f>Buckets_4_24[[#This Row],[Capacity]]</f>
        <v>500</v>
      </c>
      <c r="IF11" s="41" t="b">
        <f t="shared" si="47"/>
        <v>0</v>
      </c>
      <c r="IG11" s="42"/>
      <c r="IH11" s="42"/>
      <c r="II11" s="42"/>
      <c r="IJ11" s="42"/>
      <c r="IK11" s="43"/>
      <c r="IL11" s="40">
        <f t="shared" si="48"/>
        <v>493.15964387268644</v>
      </c>
      <c r="IM11" s="40">
        <f t="shared" si="49"/>
        <v>500</v>
      </c>
      <c r="IN11" s="41" t="b">
        <f t="shared" si="10"/>
        <v>0</v>
      </c>
    </row>
    <row r="12" spans="1:24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8">
        <v>300</v>
      </c>
      <c r="H12" t="b">
        <v>0</v>
      </c>
      <c r="J12" s="29">
        <f t="shared" si="11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2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 t="shared" si="13"/>
        <v>300</v>
      </c>
      <c r="AD12" t="b">
        <f t="shared" si="14"/>
        <v>0</v>
      </c>
      <c r="AE12" s="43" t="e">
        <f>NA()</f>
        <v>#N/A</v>
      </c>
      <c r="AF12" s="42"/>
      <c r="AG12" s="43" t="e">
        <f>NA()</f>
        <v>#N/A</v>
      </c>
      <c r="AH12" s="42"/>
      <c r="AI12" s="43"/>
      <c r="AJ12" s="31">
        <f t="shared" si="15"/>
        <v>261.84527912899176</v>
      </c>
      <c r="AK12" s="31">
        <f t="shared" si="16"/>
        <v>300</v>
      </c>
      <c r="AL12" t="b">
        <f t="shared" si="17"/>
        <v>0</v>
      </c>
      <c r="AN12" s="29">
        <f t="shared" si="18"/>
        <v>261.84527912899176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179.95527912899178</v>
      </c>
      <c r="AQ12" s="29">
        <f t="shared" si="19"/>
        <v>300</v>
      </c>
      <c r="AR12" s="29">
        <f>Buckets_10_23[[#This Row],[Capacity]]-Buckets_10_23[[#This Row],[After T]]</f>
        <v>120.04472087100822</v>
      </c>
      <c r="AS12" s="29">
        <f>MAX(-Buckets_10_23[[#This Row],[Cap Diff]], 0)</f>
        <v>0</v>
      </c>
      <c r="AT12" s="29">
        <f>Buckets_10_23[[#This Row],[After T]]-Buckets_10_23[[#This Row],[Slush]]</f>
        <v>179.95527912899178</v>
      </c>
      <c r="AU12" s="29">
        <f>Buckets_10_23[[#This Row],[Capacity]]-Buckets_10_23[[#This Row],[Before Fill]]</f>
        <v>120.04472087100822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179.95527912899178</v>
      </c>
      <c r="AY12" s="29">
        <f>IF(NOT(Buckets_10_23[[#This Row],[Is Crit]]), Buckets_10_23[[#This Row],[S Cap Diff]], 0)</f>
        <v>120.04472087100822</v>
      </c>
      <c r="AZ12" s="31">
        <f>AX$41/Buckets_10_23[[#Totals],[NC To Fill]]*Buckets_10_23[[#This Row],[NC To Fill]]</f>
        <v>71.303243526820808</v>
      </c>
      <c r="BA12" s="31">
        <f>Buckets_10_23[[#This Row],[Crit Filled]]+Buckets_10_23[[#This Row],[Scaled]]</f>
        <v>251.25852265581258</v>
      </c>
      <c r="BB12" s="31">
        <f>Buckets_10_23[[#This Row],[NC Filled]]</f>
        <v>251.25852265581258</v>
      </c>
      <c r="BC12" s="31">
        <f>Buckets_10_23[[#This Row],[Capacity]]-Buckets_10_23[[#This Row],[Final]]</f>
        <v>48.741477344187416</v>
      </c>
      <c r="BD12" s="33">
        <f>IF(Buckets_10_23[[#This Row],[Capacity]]=0, 1, Buckets_10_23[[#This Row],[Final]]/Buckets_10_23[[#This Row],[Capacity]])</f>
        <v>0.83752840885270863</v>
      </c>
      <c r="BF12" s="31">
        <f>Buckets_10_23[[#This Row],[Final]]</f>
        <v>251.25852265581258</v>
      </c>
      <c r="BG12" s="31">
        <f>Buckets_10_23[[#This Row],[Capacity]]</f>
        <v>300</v>
      </c>
      <c r="BH12" t="b">
        <f t="shared" si="20"/>
        <v>0</v>
      </c>
      <c r="BI12" s="43" t="e">
        <f>NA()</f>
        <v>#N/A</v>
      </c>
      <c r="BJ12" s="42"/>
      <c r="BK12" s="43" t="e">
        <f>NA()</f>
        <v>#N/A</v>
      </c>
      <c r="BL12" s="42"/>
      <c r="BM12" s="43"/>
      <c r="BN12" s="31">
        <f t="shared" si="21"/>
        <v>251.25852265581258</v>
      </c>
      <c r="BO12" s="31">
        <f t="shared" si="1"/>
        <v>300</v>
      </c>
      <c r="BP12" t="b">
        <f t="shared" si="2"/>
        <v>0</v>
      </c>
      <c r="BR12" s="29">
        <f t="shared" si="22"/>
        <v>251.25852265581258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251.25852265581258</v>
      </c>
      <c r="BU12" s="29">
        <f t="shared" si="23"/>
        <v>300</v>
      </c>
      <c r="BV12" s="29">
        <f>Buckets_11_23[[#This Row],[Capacity]]-Buckets_11_23[[#This Row],[After T]]</f>
        <v>48.741477344187416</v>
      </c>
      <c r="BW12" s="29">
        <f>MAX(-Buckets_11_23[[#This Row],[Cap Diff]], 0)</f>
        <v>0</v>
      </c>
      <c r="BX12" s="29">
        <f>Buckets_11_23[[#This Row],[After T]]-Buckets_11_23[[#This Row],[Slush]]</f>
        <v>251.25852265581258</v>
      </c>
      <c r="BY12" s="29">
        <f>Buckets_11_23[[#This Row],[Capacity]]-Buckets_11_23[[#This Row],[Before Fill]]</f>
        <v>48.741477344187416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251.25852265581258</v>
      </c>
      <c r="CC12" s="29">
        <f>IF(NOT(Buckets_11_23[[#This Row],[Is Crit]]), Buckets_11_23[[#This Row],[S Cap Diff]], 0)</f>
        <v>48.741477344187416</v>
      </c>
      <c r="CD12" s="31">
        <f>CB$41/Buckets_11_23[[#Totals],[NC To Fill]]*Buckets_11_23[[#This Row],[NC To Fill]]</f>
        <v>48.068993188528019</v>
      </c>
      <c r="CE12" s="31">
        <f>Buckets_11_23[[#This Row],[Crit Filled]]+Buckets_11_23[[#This Row],[Scaled]]</f>
        <v>299.32751584434061</v>
      </c>
      <c r="CF12" s="31">
        <f>Buckets_11_23[[#This Row],[NC Filled]]</f>
        <v>299.32751584434061</v>
      </c>
      <c r="CG12" s="31">
        <f>Buckets_11_23[[#This Row],[Capacity]]-Buckets_11_23[[#This Row],[Final]]</f>
        <v>0.67248415565939013</v>
      </c>
      <c r="CH12" s="33">
        <f>IF(Buckets_11_23[[#This Row],[Capacity]]=0, 1, Buckets_11_23[[#This Row],[Final]]/Buckets_11_23[[#This Row],[Capacity]])</f>
        <v>0.99775838614780199</v>
      </c>
      <c r="CJ12" s="40">
        <f>Buckets_11_23[[#This Row],[Final]]</f>
        <v>299.32751584434061</v>
      </c>
      <c r="CK12" s="40">
        <f>Buckets_11_23[[#This Row],[Capacity]]</f>
        <v>300</v>
      </c>
      <c r="CL12" s="41" t="b">
        <f t="shared" si="24"/>
        <v>0</v>
      </c>
      <c r="CM12" s="42">
        <v>-120</v>
      </c>
      <c r="CN12" s="42"/>
      <c r="CO12" s="42" t="e">
        <f>NA()</f>
        <v>#N/A</v>
      </c>
      <c r="CP12" s="42">
        <v>500</v>
      </c>
      <c r="CQ12" s="43"/>
      <c r="CR12" s="40">
        <f t="shared" si="25"/>
        <v>179.32751584434061</v>
      </c>
      <c r="CS12" s="40">
        <f t="shared" si="3"/>
        <v>500</v>
      </c>
      <c r="CT12" s="41" t="b">
        <f t="shared" si="4"/>
        <v>0</v>
      </c>
      <c r="CV12" s="29">
        <f t="shared" si="26"/>
        <v>179.32751584434061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168.6775158443406</v>
      </c>
      <c r="CY12" s="29">
        <f t="shared" si="27"/>
        <v>500</v>
      </c>
      <c r="CZ12" s="29">
        <f>Buckets_12_23[[#This Row],[Capacity]]-Buckets_12_23[[#This Row],[After T]]</f>
        <v>331.32248415565937</v>
      </c>
      <c r="DA12" s="29">
        <f>MAX(-Buckets_12_23[[#This Row],[Cap Diff]], 0)</f>
        <v>0</v>
      </c>
      <c r="DB12" s="29">
        <f>Buckets_12_23[[#This Row],[After T]]-Buckets_12_23[[#This Row],[Slush]]</f>
        <v>168.6775158443406</v>
      </c>
      <c r="DC12" s="29">
        <f>Buckets_12_23[[#This Row],[Capacity]]-Buckets_12_23[[#This Row],[Before Fill]]</f>
        <v>331.32248415565937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168.6775158443406</v>
      </c>
      <c r="DG12" s="29">
        <f>IF(NOT(Buckets_12_23[[#This Row],[Is Crit]]), Buckets_12_23[[#This Row],[S Cap Diff]], 0)</f>
        <v>331.32248415565937</v>
      </c>
      <c r="DH12" s="31">
        <f>DF$41/Buckets_12_23[[#Totals],[NC To Fill]]*Buckets_12_23[[#This Row],[NC To Fill]]</f>
        <v>151.48728725095521</v>
      </c>
      <c r="DI12" s="31">
        <f>Buckets_12_23[[#This Row],[Crit Filled]]+Buckets_12_23[[#This Row],[Scaled]]</f>
        <v>320.16480309529584</v>
      </c>
      <c r="DJ12" s="31">
        <f>Buckets_12_23[[#This Row],[NC Filled]]</f>
        <v>320.16480309529584</v>
      </c>
      <c r="DK12" s="31">
        <f>Buckets_12_23[[#This Row],[Capacity]]-Buckets_12_23[[#This Row],[Final]]</f>
        <v>179.83519690470416</v>
      </c>
      <c r="DL12" s="33">
        <f>IF(Buckets_12_23[[#This Row],[Capacity]]=0, 1, Buckets_12_23[[#This Row],[Final]]/Buckets_12_23[[#This Row],[Capacity]])</f>
        <v>0.64032960619059165</v>
      </c>
      <c r="DN12" s="40">
        <f>Buckets_12_23[[#This Row],[Final]]</f>
        <v>320.16480309529584</v>
      </c>
      <c r="DO12" s="40">
        <f>Buckets_12_23[[#This Row],[Capacity]]</f>
        <v>500</v>
      </c>
      <c r="DP12" s="41" t="b">
        <f t="shared" si="28"/>
        <v>0</v>
      </c>
      <c r="DQ12" s="42"/>
      <c r="DR12" s="42"/>
      <c r="DS12" s="42" t="e">
        <f>NA()</f>
        <v>#N/A</v>
      </c>
      <c r="DT12" s="42"/>
      <c r="DU12" s="43"/>
      <c r="DV12" s="40">
        <f t="shared" si="29"/>
        <v>320.16480309529584</v>
      </c>
      <c r="DW12" s="40">
        <f t="shared" si="5"/>
        <v>500</v>
      </c>
      <c r="DX12" s="41" t="b">
        <f t="shared" si="6"/>
        <v>0</v>
      </c>
      <c r="DZ12" s="29">
        <f t="shared" si="30"/>
        <v>320.16480309529584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298.86480309529583</v>
      </c>
      <c r="EC12" s="29">
        <f t="shared" si="31"/>
        <v>500</v>
      </c>
      <c r="ED12" s="29">
        <f>Buckets_1_24[[#This Row],[Capacity]]-Buckets_1_24[[#This Row],[After T]]</f>
        <v>201.13519690470417</v>
      </c>
      <c r="EE12" s="29">
        <f>MAX(-Buckets_1_24[[#This Row],[Cap Diff]], 0)</f>
        <v>0</v>
      </c>
      <c r="EF12" s="29">
        <f>Buckets_1_24[[#This Row],[After T]]-Buckets_1_24[[#This Row],[Slush]]</f>
        <v>298.86480309529583</v>
      </c>
      <c r="EG12" s="29">
        <f>Buckets_1_24[[#This Row],[Capacity]]-Buckets_1_24[[#This Row],[Before Fill]]</f>
        <v>201.13519690470417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298.86480309529583</v>
      </c>
      <c r="EK12" s="29">
        <f>IF(NOT(Buckets_1_24[[#This Row],[Is Crit]]), Buckets_1_24[[#This Row],[S Cap Diff]], 0)</f>
        <v>201.13519690470417</v>
      </c>
      <c r="EL12" s="31">
        <f>EJ$41/Buckets_1_24[[#Totals],[NC To Fill]]*Buckets_1_24[[#This Row],[NC To Fill]]</f>
        <v>123.49548634798279</v>
      </c>
      <c r="EM12" s="31">
        <f>Buckets_1_24[[#This Row],[Crit Filled]]+Buckets_1_24[[#This Row],[Scaled]]</f>
        <v>422.36028944327859</v>
      </c>
      <c r="EN12" s="31">
        <f>Buckets_1_24[[#This Row],[NC Filled]]</f>
        <v>422.36028944327859</v>
      </c>
      <c r="EO12" s="31">
        <f>Buckets_1_24[[#This Row],[Capacity]]-Buckets_1_24[[#This Row],[Final]]</f>
        <v>77.639710556721411</v>
      </c>
      <c r="EP12" s="33">
        <f>IF(Buckets_1_24[[#This Row],[Capacity]]=0, 1, Buckets_1_24[[#This Row],[Final]]/Buckets_1_24[[#This Row],[Capacity]])</f>
        <v>0.84472057888655716</v>
      </c>
      <c r="ER12" s="40">
        <f>Buckets_1_24[[#This Row],[Final]]</f>
        <v>422.36028944327859</v>
      </c>
      <c r="ES12" s="40">
        <f>Buckets_1_24[[#This Row],[Capacity]]</f>
        <v>500</v>
      </c>
      <c r="ET12" s="41" t="b">
        <f t="shared" si="32"/>
        <v>0</v>
      </c>
      <c r="EU12" s="42"/>
      <c r="EV12" s="42"/>
      <c r="EW12" s="42"/>
      <c r="EX12" s="42"/>
      <c r="EY12" s="43"/>
      <c r="EZ12" s="40">
        <f t="shared" si="33"/>
        <v>422.36028944327859</v>
      </c>
      <c r="FA12" s="40">
        <f t="shared" si="34"/>
        <v>500</v>
      </c>
      <c r="FB12" s="41" t="b">
        <f t="shared" si="7"/>
        <v>0</v>
      </c>
      <c r="FD12" s="29">
        <f t="shared" si="35"/>
        <v>422.36028944327859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422.36028944327859</v>
      </c>
      <c r="FG12" s="29">
        <f t="shared" si="36"/>
        <v>500</v>
      </c>
      <c r="FH12" s="29">
        <f>Buckets_2_24[[#This Row],[Capacity]]-Buckets_2_24[[#This Row],[After T]]</f>
        <v>77.639710556721411</v>
      </c>
      <c r="FI12" s="29">
        <f>MAX(-Buckets_2_24[[#This Row],[Cap Diff]], 0)</f>
        <v>0</v>
      </c>
      <c r="FJ12" s="29">
        <f>Buckets_2_24[[#This Row],[After T]]-Buckets_2_24[[#This Row],[Slush]]</f>
        <v>422.36028944327859</v>
      </c>
      <c r="FK12" s="29">
        <f>Buckets_2_24[[#This Row],[Capacity]]-Buckets_2_24[[#This Row],[Before Fill]]</f>
        <v>77.639710556721411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422.36028944327859</v>
      </c>
      <c r="FO12" s="29">
        <f>IF(NOT(Buckets_2_24[[#This Row],[Is Crit]]), Buckets_2_24[[#This Row],[S Cap Diff]], 0)</f>
        <v>77.639710556721411</v>
      </c>
      <c r="FP12" s="31">
        <f>FN$41/Buckets_2_24[[#Totals],[NC To Fill]]*Buckets_2_24[[#This Row],[NC To Fill]]</f>
        <v>74.793883874371545</v>
      </c>
      <c r="FQ12" s="31">
        <f>Buckets_2_24[[#This Row],[Crit Filled]]+Buckets_2_24[[#This Row],[Scaled]]</f>
        <v>497.15417331765013</v>
      </c>
      <c r="FR12" s="31">
        <f>Buckets_2_24[[#This Row],[NC Filled]]</f>
        <v>497.15417331765013</v>
      </c>
      <c r="FS12" s="31">
        <f>Buckets_2_24[[#This Row],[Capacity]]-Buckets_2_24[[#This Row],[Final]]</f>
        <v>2.8458266823498661</v>
      </c>
      <c r="FT12" s="33">
        <f>IF(Buckets_2_24[[#This Row],[Capacity]]=0, 1, Buckets_2_24[[#This Row],[Final]]/Buckets_2_24[[#This Row],[Capacity]])</f>
        <v>0.99430834663530032</v>
      </c>
      <c r="FV12" s="40">
        <f>Buckets_2_24[[#This Row],[Final]]</f>
        <v>497.15417331765013</v>
      </c>
      <c r="FW12" s="40">
        <f>Buckets_2_24[[#This Row],[Capacity]]</f>
        <v>500</v>
      </c>
      <c r="FX12" s="41" t="b">
        <f t="shared" si="37"/>
        <v>0</v>
      </c>
      <c r="FY12" s="42"/>
      <c r="FZ12" s="42"/>
      <c r="GA12" s="42"/>
      <c r="GB12" s="42"/>
      <c r="GC12" s="43"/>
      <c r="GD12" s="40">
        <f t="shared" si="38"/>
        <v>497.15417331765013</v>
      </c>
      <c r="GE12" s="40">
        <f t="shared" si="39"/>
        <v>500</v>
      </c>
      <c r="GF12" s="41" t="b">
        <f t="shared" si="8"/>
        <v>0</v>
      </c>
      <c r="GH12" s="29">
        <f t="shared" si="40"/>
        <v>497.15417331765013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485.50417331765016</v>
      </c>
      <c r="GK12" s="29">
        <f t="shared" si="41"/>
        <v>500</v>
      </c>
      <c r="GL12" s="29">
        <f>Buckets_3_24[[#This Row],[Capacity]]-Buckets_3_24[[#This Row],[After T]]</f>
        <v>14.495826682349843</v>
      </c>
      <c r="GM12" s="29">
        <f>MAX(-Buckets_3_24[[#This Row],[Cap Diff]], 0)</f>
        <v>0</v>
      </c>
      <c r="GN12" s="29">
        <f>Buckets_3_24[[#This Row],[After T]]-Buckets_3_24[[#This Row],[Slush]]</f>
        <v>485.50417331765016</v>
      </c>
      <c r="GO12" s="29">
        <f>Buckets_3_24[[#This Row],[Capacity]]-Buckets_3_24[[#This Row],[Before Fill]]</f>
        <v>14.495826682349843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485.50417331765016</v>
      </c>
      <c r="GS12" s="29">
        <f>IF(NOT(Buckets_3_24[[#This Row],[Is Crit]]), Buckets_3_24[[#This Row],[S Cap Diff]], 0)</f>
        <v>14.495826682349843</v>
      </c>
      <c r="GT12" s="31">
        <f>GR$41/Buckets_3_24[[#Totals],[NC To Fill]]*Buckets_3_24[[#This Row],[NC To Fill]]</f>
        <v>14.078909140755309</v>
      </c>
      <c r="GU12" s="31">
        <f>Buckets_3_24[[#This Row],[Crit Filled]]+Buckets_3_24[[#This Row],[Scaled]]</f>
        <v>499.58308245840544</v>
      </c>
      <c r="GV12" s="31">
        <f>Buckets_3_24[[#This Row],[NC Filled]]</f>
        <v>499.58308245840544</v>
      </c>
      <c r="GW12" s="31">
        <f>Buckets_3_24[[#This Row],[Capacity]]-Buckets_3_24[[#This Row],[Final]]</f>
        <v>0.41691754159455741</v>
      </c>
      <c r="GX12" s="33">
        <f>IF(Buckets_3_24[[#This Row],[Capacity]]=0, 1, Buckets_3_24[[#This Row],[Final]]/Buckets_3_24[[#This Row],[Capacity]])</f>
        <v>0.99916616491681087</v>
      </c>
      <c r="GZ12" s="40">
        <f>Buckets_3_24[[#This Row],[Final]]</f>
        <v>499.58308245840544</v>
      </c>
      <c r="HA12" s="40">
        <f>Buckets_3_24[[#This Row],[Capacity]]</f>
        <v>500</v>
      </c>
      <c r="HB12" s="41" t="b">
        <f t="shared" si="42"/>
        <v>0</v>
      </c>
      <c r="HC12" s="42"/>
      <c r="HD12" s="42"/>
      <c r="HE12" s="42"/>
      <c r="HF12" s="42"/>
      <c r="HG12" s="43"/>
      <c r="HH12" s="40">
        <f t="shared" si="43"/>
        <v>499.58308245840544</v>
      </c>
      <c r="HI12" s="40">
        <f t="shared" si="44"/>
        <v>500</v>
      </c>
      <c r="HJ12" s="41" t="b">
        <f t="shared" si="9"/>
        <v>0</v>
      </c>
      <c r="HL12" s="29">
        <f t="shared" si="45"/>
        <v>499.58308245840544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468.38308245840545</v>
      </c>
      <c r="HO12" s="29">
        <f t="shared" si="46"/>
        <v>500</v>
      </c>
      <c r="HP12" s="29">
        <f>Buckets_4_24[[#This Row],[Capacity]]-Buckets_4_24[[#This Row],[After T]]</f>
        <v>31.616917541594546</v>
      </c>
      <c r="HQ12" s="29">
        <f>MAX(-Buckets_4_24[[#This Row],[Cap Diff]], 0)</f>
        <v>0</v>
      </c>
      <c r="HR12" s="29">
        <f>Buckets_4_24[[#This Row],[After T]]-Buckets_4_24[[#This Row],[Slush]]</f>
        <v>468.38308245840545</v>
      </c>
      <c r="HS12" s="29">
        <f>Buckets_4_24[[#This Row],[Capacity]]-Buckets_4_24[[#This Row],[Before Fill]]</f>
        <v>31.616917541594546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468.38308245840545</v>
      </c>
      <c r="HW12" s="29">
        <f>IF(NOT(Buckets_4_24[[#This Row],[Is Crit]]), Buckets_4_24[[#This Row],[S Cap Diff]], 0)</f>
        <v>31.616917541594546</v>
      </c>
      <c r="HX12" s="31">
        <f>HV$41/Buckets_4_24[[#Totals],[NC To Fill]]*Buckets_4_24[[#This Row],[NC To Fill]]</f>
        <v>20.632555602626525</v>
      </c>
      <c r="HY12" s="31">
        <f>Buckets_4_24[[#This Row],[Crit Filled]]+Buckets_4_24[[#This Row],[Scaled]]</f>
        <v>489.01563806103195</v>
      </c>
      <c r="HZ12" s="31">
        <f>Buckets_4_24[[#This Row],[NC Filled]]</f>
        <v>489.01563806103195</v>
      </c>
      <c r="IA12" s="31">
        <f>Buckets_4_24[[#This Row],[Capacity]]-Buckets_4_24[[#This Row],[Final]]</f>
        <v>10.98436193896805</v>
      </c>
      <c r="IB12" s="33">
        <f>IF(Buckets_4_24[[#This Row],[Capacity]]=0, 1, Buckets_4_24[[#This Row],[Final]]/Buckets_4_24[[#This Row],[Capacity]])</f>
        <v>0.97803127612206386</v>
      </c>
      <c r="ID12" s="40">
        <f>Buckets_4_24[[#This Row],[Final]]</f>
        <v>489.01563806103195</v>
      </c>
      <c r="IE12" s="40">
        <f>Buckets_4_24[[#This Row],[Capacity]]</f>
        <v>500</v>
      </c>
      <c r="IF12" s="41" t="b">
        <f t="shared" si="47"/>
        <v>0</v>
      </c>
      <c r="IG12" s="42"/>
      <c r="IH12" s="42"/>
      <c r="II12" s="42"/>
      <c r="IJ12" s="42"/>
      <c r="IK12" s="43"/>
      <c r="IL12" s="40">
        <f t="shared" si="48"/>
        <v>489.01563806103195</v>
      </c>
      <c r="IM12" s="40">
        <f t="shared" si="49"/>
        <v>500</v>
      </c>
      <c r="IN12" s="41" t="b">
        <f t="shared" si="10"/>
        <v>0</v>
      </c>
    </row>
    <row r="13" spans="1:24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8">
        <v>200</v>
      </c>
      <c r="H13" t="b">
        <v>0</v>
      </c>
      <c r="J13" s="29">
        <f t="shared" si="11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2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 t="shared" si="13"/>
        <v>200</v>
      </c>
      <c r="AD13" t="b">
        <f t="shared" si="14"/>
        <v>0</v>
      </c>
      <c r="AE13" s="43" t="e">
        <f>NA()</f>
        <v>#N/A</v>
      </c>
      <c r="AF13" s="42"/>
      <c r="AG13" s="43" t="e">
        <f>NA()</f>
        <v>#N/A</v>
      </c>
      <c r="AH13" s="42"/>
      <c r="AI13" s="43"/>
      <c r="AJ13" s="31">
        <f t="shared" si="15"/>
        <v>174.56351941932783</v>
      </c>
      <c r="AK13" s="31">
        <f t="shared" si="16"/>
        <v>200</v>
      </c>
      <c r="AL13" t="b">
        <f t="shared" si="17"/>
        <v>0</v>
      </c>
      <c r="AN13" s="29">
        <f t="shared" si="18"/>
        <v>174.56351941932783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158.33351941932784</v>
      </c>
      <c r="AQ13" s="29">
        <f t="shared" si="19"/>
        <v>200</v>
      </c>
      <c r="AR13" s="29">
        <f>Buckets_10_23[[#This Row],[Capacity]]-Buckets_10_23[[#This Row],[After T]]</f>
        <v>41.666480580672157</v>
      </c>
      <c r="AS13" s="29">
        <f>MAX(-Buckets_10_23[[#This Row],[Cap Diff]], 0)</f>
        <v>0</v>
      </c>
      <c r="AT13" s="29">
        <f>Buckets_10_23[[#This Row],[After T]]-Buckets_10_23[[#This Row],[Slush]]</f>
        <v>158.33351941932784</v>
      </c>
      <c r="AU13" s="29">
        <f>Buckets_10_23[[#This Row],[Capacity]]-Buckets_10_23[[#This Row],[Before Fill]]</f>
        <v>41.666480580672157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158.33351941932784</v>
      </c>
      <c r="AY13" s="29">
        <f>IF(NOT(Buckets_10_23[[#This Row],[Is Crit]]), Buckets_10_23[[#This Row],[S Cap Diff]], 0)</f>
        <v>41.666480580672157</v>
      </c>
      <c r="AZ13" s="31">
        <f>AX$41/Buckets_10_23[[#Totals],[NC To Fill]]*Buckets_10_23[[#This Row],[NC To Fill]]</f>
        <v>24.748736888993228</v>
      </c>
      <c r="BA13" s="31">
        <f>Buckets_10_23[[#This Row],[Crit Filled]]+Buckets_10_23[[#This Row],[Scaled]]</f>
        <v>183.08225630832106</v>
      </c>
      <c r="BB13" s="31">
        <f>Buckets_10_23[[#This Row],[NC Filled]]</f>
        <v>183.08225630832106</v>
      </c>
      <c r="BC13" s="31">
        <f>Buckets_10_23[[#This Row],[Capacity]]-Buckets_10_23[[#This Row],[Final]]</f>
        <v>16.917743691678936</v>
      </c>
      <c r="BD13" s="33">
        <f>IF(Buckets_10_23[[#This Row],[Capacity]]=0, 1, Buckets_10_23[[#This Row],[Final]]/Buckets_10_23[[#This Row],[Capacity]])</f>
        <v>0.91541128154160534</v>
      </c>
      <c r="BF13" s="31">
        <f>Buckets_10_23[[#This Row],[Final]]</f>
        <v>183.08225630832106</v>
      </c>
      <c r="BG13" s="31">
        <f>Buckets_10_23[[#This Row],[Capacity]]</f>
        <v>200</v>
      </c>
      <c r="BH13" t="b">
        <f t="shared" si="20"/>
        <v>0</v>
      </c>
      <c r="BI13" s="43" t="e">
        <f>NA()</f>
        <v>#N/A</v>
      </c>
      <c r="BJ13" s="42"/>
      <c r="BK13" s="43" t="e">
        <f>NA()</f>
        <v>#N/A</v>
      </c>
      <c r="BL13" s="42"/>
      <c r="BM13" s="43"/>
      <c r="BN13" s="31">
        <f t="shared" si="21"/>
        <v>183.08225630832106</v>
      </c>
      <c r="BO13" s="31">
        <f t="shared" si="1"/>
        <v>200</v>
      </c>
      <c r="BP13" t="b">
        <f t="shared" si="2"/>
        <v>0</v>
      </c>
      <c r="BR13" s="29">
        <f t="shared" si="22"/>
        <v>183.08225630832106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183.08225630832106</v>
      </c>
      <c r="BU13" s="29">
        <f t="shared" si="23"/>
        <v>200</v>
      </c>
      <c r="BV13" s="29">
        <f>Buckets_11_23[[#This Row],[Capacity]]-Buckets_11_23[[#This Row],[After T]]</f>
        <v>16.917743691678936</v>
      </c>
      <c r="BW13" s="29">
        <f>MAX(-Buckets_11_23[[#This Row],[Cap Diff]], 0)</f>
        <v>0</v>
      </c>
      <c r="BX13" s="29">
        <f>Buckets_11_23[[#This Row],[After T]]-Buckets_11_23[[#This Row],[Slush]]</f>
        <v>183.08225630832106</v>
      </c>
      <c r="BY13" s="29">
        <f>Buckets_11_23[[#This Row],[Capacity]]-Buckets_11_23[[#This Row],[Before Fill]]</f>
        <v>16.917743691678936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183.08225630832106</v>
      </c>
      <c r="CC13" s="29">
        <f>IF(NOT(Buckets_11_23[[#This Row],[Is Crit]]), Buckets_11_23[[#This Row],[S Cap Diff]], 0)</f>
        <v>16.917743691678936</v>
      </c>
      <c r="CD13" s="31">
        <f>CB$41/Buckets_11_23[[#Totals],[NC To Fill]]*Buckets_11_23[[#This Row],[NC To Fill]]</f>
        <v>16.684330278666796</v>
      </c>
      <c r="CE13" s="31">
        <f>Buckets_11_23[[#This Row],[Crit Filled]]+Buckets_11_23[[#This Row],[Scaled]]</f>
        <v>199.76658658698787</v>
      </c>
      <c r="CF13" s="31">
        <f>Buckets_11_23[[#This Row],[NC Filled]]</f>
        <v>199.76658658698787</v>
      </c>
      <c r="CG13" s="31">
        <f>Buckets_11_23[[#This Row],[Capacity]]-Buckets_11_23[[#This Row],[Final]]</f>
        <v>0.23341341301212992</v>
      </c>
      <c r="CH13" s="33">
        <f>IF(Buckets_11_23[[#This Row],[Capacity]]=0, 1, Buckets_11_23[[#This Row],[Final]]/Buckets_11_23[[#This Row],[Capacity]])</f>
        <v>0.99883293293493935</v>
      </c>
      <c r="CJ13" s="40">
        <f>Buckets_11_23[[#This Row],[Final]]</f>
        <v>199.76658658698787</v>
      </c>
      <c r="CK13" s="40">
        <f>Buckets_11_23[[#This Row],[Capacity]]</f>
        <v>200</v>
      </c>
      <c r="CL13" s="41" t="b">
        <f t="shared" si="24"/>
        <v>0</v>
      </c>
      <c r="CM13" s="42"/>
      <c r="CN13" s="42"/>
      <c r="CO13" s="42" t="e">
        <f>NA()</f>
        <v>#N/A</v>
      </c>
      <c r="CP13" s="42"/>
      <c r="CQ13" s="43"/>
      <c r="CR13" s="40">
        <f t="shared" si="25"/>
        <v>199.76658658698787</v>
      </c>
      <c r="CS13" s="40">
        <f t="shared" si="3"/>
        <v>200</v>
      </c>
      <c r="CT13" s="41" t="b">
        <f t="shared" si="4"/>
        <v>0</v>
      </c>
      <c r="CV13" s="29">
        <f t="shared" si="26"/>
        <v>199.76658658698787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174.89658658698787</v>
      </c>
      <c r="CY13" s="29">
        <f t="shared" si="27"/>
        <v>200</v>
      </c>
      <c r="CZ13" s="29">
        <f>Buckets_12_23[[#This Row],[Capacity]]-Buckets_12_23[[#This Row],[After T]]</f>
        <v>25.103413413012134</v>
      </c>
      <c r="DA13" s="29">
        <f>MAX(-Buckets_12_23[[#This Row],[Cap Diff]], 0)</f>
        <v>0</v>
      </c>
      <c r="DB13" s="29">
        <f>Buckets_12_23[[#This Row],[After T]]-Buckets_12_23[[#This Row],[Slush]]</f>
        <v>174.89658658698787</v>
      </c>
      <c r="DC13" s="29">
        <f>Buckets_12_23[[#This Row],[Capacity]]-Buckets_12_23[[#This Row],[Before Fill]]</f>
        <v>25.103413413012134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174.89658658698787</v>
      </c>
      <c r="DG13" s="29">
        <f>IF(NOT(Buckets_12_23[[#This Row],[Is Crit]]), Buckets_12_23[[#This Row],[S Cap Diff]], 0)</f>
        <v>25.103413413012134</v>
      </c>
      <c r="DH13" s="31">
        <f>DF$41/Buckets_12_23[[#Totals],[NC To Fill]]*Buckets_12_23[[#This Row],[NC To Fill]]</f>
        <v>11.477784275243531</v>
      </c>
      <c r="DI13" s="31">
        <f>Buckets_12_23[[#This Row],[Crit Filled]]+Buckets_12_23[[#This Row],[Scaled]]</f>
        <v>186.37437086223139</v>
      </c>
      <c r="DJ13" s="31">
        <f>Buckets_12_23[[#This Row],[NC Filled]]</f>
        <v>186.37437086223139</v>
      </c>
      <c r="DK13" s="31">
        <f>Buckets_12_23[[#This Row],[Capacity]]-Buckets_12_23[[#This Row],[Final]]</f>
        <v>13.625629137768613</v>
      </c>
      <c r="DL13" s="33">
        <f>IF(Buckets_12_23[[#This Row],[Capacity]]=0, 1, Buckets_12_23[[#This Row],[Final]]/Buckets_12_23[[#This Row],[Capacity]])</f>
        <v>0.93187185431115693</v>
      </c>
      <c r="DN13" s="40">
        <f>Buckets_12_23[[#This Row],[Final]]</f>
        <v>186.37437086223139</v>
      </c>
      <c r="DO13" s="40">
        <f>Buckets_12_23[[#This Row],[Capacity]]</f>
        <v>200</v>
      </c>
      <c r="DP13" s="41" t="b">
        <f t="shared" si="28"/>
        <v>0</v>
      </c>
      <c r="DQ13" s="42"/>
      <c r="DR13" s="42"/>
      <c r="DS13" s="42" t="e">
        <f>NA()</f>
        <v>#N/A</v>
      </c>
      <c r="DT13" s="42"/>
      <c r="DU13" s="43"/>
      <c r="DV13" s="40">
        <f t="shared" si="29"/>
        <v>186.37437086223139</v>
      </c>
      <c r="DW13" s="40">
        <f t="shared" si="5"/>
        <v>200</v>
      </c>
      <c r="DX13" s="41" t="b">
        <f t="shared" si="6"/>
        <v>0</v>
      </c>
      <c r="DZ13" s="29">
        <f t="shared" si="30"/>
        <v>186.37437086223139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186.37437086223139</v>
      </c>
      <c r="EC13" s="29">
        <f t="shared" si="31"/>
        <v>200</v>
      </c>
      <c r="ED13" s="29">
        <f>Buckets_1_24[[#This Row],[Capacity]]-Buckets_1_24[[#This Row],[After T]]</f>
        <v>13.625629137768613</v>
      </c>
      <c r="EE13" s="29">
        <f>MAX(-Buckets_1_24[[#This Row],[Cap Diff]], 0)</f>
        <v>0</v>
      </c>
      <c r="EF13" s="29">
        <f>Buckets_1_24[[#This Row],[After T]]-Buckets_1_24[[#This Row],[Slush]]</f>
        <v>186.37437086223139</v>
      </c>
      <c r="EG13" s="29">
        <f>Buckets_1_24[[#This Row],[Capacity]]-Buckets_1_24[[#This Row],[Before Fill]]</f>
        <v>13.625629137768613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186.37437086223139</v>
      </c>
      <c r="EK13" s="29">
        <f>IF(NOT(Buckets_1_24[[#This Row],[Is Crit]]), Buckets_1_24[[#This Row],[S Cap Diff]], 0)</f>
        <v>13.625629137768613</v>
      </c>
      <c r="EL13" s="31">
        <f>EJ$41/Buckets_1_24[[#Totals],[NC To Fill]]*Buckets_1_24[[#This Row],[NC To Fill]]</f>
        <v>8.3660330119309165</v>
      </c>
      <c r="EM13" s="31">
        <f>Buckets_1_24[[#This Row],[Crit Filled]]+Buckets_1_24[[#This Row],[Scaled]]</f>
        <v>194.7404038741623</v>
      </c>
      <c r="EN13" s="31">
        <f>Buckets_1_24[[#This Row],[NC Filled]]</f>
        <v>194.7404038741623</v>
      </c>
      <c r="EO13" s="31">
        <f>Buckets_1_24[[#This Row],[Capacity]]-Buckets_1_24[[#This Row],[Final]]</f>
        <v>5.2595961258377031</v>
      </c>
      <c r="EP13" s="33">
        <f>IF(Buckets_1_24[[#This Row],[Capacity]]=0, 1, Buckets_1_24[[#This Row],[Final]]/Buckets_1_24[[#This Row],[Capacity]])</f>
        <v>0.97370201937081147</v>
      </c>
      <c r="ER13" s="40">
        <f>Buckets_1_24[[#This Row],[Final]]</f>
        <v>194.7404038741623</v>
      </c>
      <c r="ES13" s="40">
        <f>Buckets_1_24[[#This Row],[Capacity]]</f>
        <v>200</v>
      </c>
      <c r="ET13" s="41" t="b">
        <f t="shared" si="32"/>
        <v>0</v>
      </c>
      <c r="EU13" s="42"/>
      <c r="EV13" s="42"/>
      <c r="EW13" s="42"/>
      <c r="EX13" s="42"/>
      <c r="EY13" s="43"/>
      <c r="EZ13" s="40">
        <f t="shared" si="33"/>
        <v>194.7404038741623</v>
      </c>
      <c r="FA13" s="40">
        <f t="shared" si="34"/>
        <v>200</v>
      </c>
      <c r="FB13" s="41" t="b">
        <f t="shared" si="7"/>
        <v>0</v>
      </c>
      <c r="FD13" s="29">
        <f t="shared" si="35"/>
        <v>194.7404038741623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194.7404038741623</v>
      </c>
      <c r="FG13" s="29">
        <f t="shared" si="36"/>
        <v>200</v>
      </c>
      <c r="FH13" s="29">
        <f>Buckets_2_24[[#This Row],[Capacity]]-Buckets_2_24[[#This Row],[After T]]</f>
        <v>5.2595961258377031</v>
      </c>
      <c r="FI13" s="29">
        <f>MAX(-Buckets_2_24[[#This Row],[Cap Diff]], 0)</f>
        <v>0</v>
      </c>
      <c r="FJ13" s="29">
        <f>Buckets_2_24[[#This Row],[After T]]-Buckets_2_24[[#This Row],[Slush]]</f>
        <v>194.7404038741623</v>
      </c>
      <c r="FK13" s="29">
        <f>Buckets_2_24[[#This Row],[Capacity]]-Buckets_2_24[[#This Row],[Before Fill]]</f>
        <v>5.2595961258377031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194.7404038741623</v>
      </c>
      <c r="FO13" s="29">
        <f>IF(NOT(Buckets_2_24[[#This Row],[Is Crit]]), Buckets_2_24[[#This Row],[S Cap Diff]], 0)</f>
        <v>5.2595961258377031</v>
      </c>
      <c r="FP13" s="31">
        <f>FN$41/Buckets_2_24[[#Totals],[NC To Fill]]*Buckets_2_24[[#This Row],[NC To Fill]]</f>
        <v>5.0668094850070711</v>
      </c>
      <c r="FQ13" s="31">
        <f>Buckets_2_24[[#This Row],[Crit Filled]]+Buckets_2_24[[#This Row],[Scaled]]</f>
        <v>199.80721335916937</v>
      </c>
      <c r="FR13" s="31">
        <f>Buckets_2_24[[#This Row],[NC Filled]]</f>
        <v>199.80721335916937</v>
      </c>
      <c r="FS13" s="31">
        <f>Buckets_2_24[[#This Row],[Capacity]]-Buckets_2_24[[#This Row],[Final]]</f>
        <v>0.1927866408306329</v>
      </c>
      <c r="FT13" s="33">
        <f>IF(Buckets_2_24[[#This Row],[Capacity]]=0, 1, Buckets_2_24[[#This Row],[Final]]/Buckets_2_24[[#This Row],[Capacity]])</f>
        <v>0.99903606679584689</v>
      </c>
      <c r="FV13" s="40">
        <f>Buckets_2_24[[#This Row],[Final]]</f>
        <v>199.80721335916937</v>
      </c>
      <c r="FW13" s="40">
        <f>Buckets_2_24[[#This Row],[Capacity]]</f>
        <v>200</v>
      </c>
      <c r="FX13" s="41" t="b">
        <f t="shared" si="37"/>
        <v>0</v>
      </c>
      <c r="FY13" s="42"/>
      <c r="FZ13" s="42"/>
      <c r="GA13" s="42"/>
      <c r="GB13" s="42">
        <v>500</v>
      </c>
      <c r="GC13" s="43"/>
      <c r="GD13" s="40">
        <f t="shared" si="38"/>
        <v>199.80721335916937</v>
      </c>
      <c r="GE13" s="40">
        <f t="shared" si="39"/>
        <v>500</v>
      </c>
      <c r="GF13" s="41" t="b">
        <f t="shared" si="8"/>
        <v>0</v>
      </c>
      <c r="GH13" s="29">
        <f t="shared" si="40"/>
        <v>199.80721335916937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199.80721335916937</v>
      </c>
      <c r="GK13" s="29">
        <f t="shared" si="41"/>
        <v>500</v>
      </c>
      <c r="GL13" s="29">
        <f>Buckets_3_24[[#This Row],[Capacity]]-Buckets_3_24[[#This Row],[After T]]</f>
        <v>300.1927866408306</v>
      </c>
      <c r="GM13" s="29">
        <f>MAX(-Buckets_3_24[[#This Row],[Cap Diff]], 0)</f>
        <v>0</v>
      </c>
      <c r="GN13" s="29">
        <f>Buckets_3_24[[#This Row],[After T]]-Buckets_3_24[[#This Row],[Slush]]</f>
        <v>199.80721335916937</v>
      </c>
      <c r="GO13" s="29">
        <f>Buckets_3_24[[#This Row],[Capacity]]-Buckets_3_24[[#This Row],[Before Fill]]</f>
        <v>300.1927866408306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199.80721335916937</v>
      </c>
      <c r="GS13" s="29">
        <f>IF(NOT(Buckets_3_24[[#This Row],[Is Crit]]), Buckets_3_24[[#This Row],[S Cap Diff]], 0)</f>
        <v>300.1927866408306</v>
      </c>
      <c r="GT13" s="31">
        <f>GR$41/Buckets_3_24[[#Totals],[NC To Fill]]*Buckets_3_24[[#This Row],[NC To Fill]]</f>
        <v>291.55887831995523</v>
      </c>
      <c r="GU13" s="31">
        <f>Buckets_3_24[[#This Row],[Crit Filled]]+Buckets_3_24[[#This Row],[Scaled]]</f>
        <v>491.36609167912457</v>
      </c>
      <c r="GV13" s="31">
        <f>Buckets_3_24[[#This Row],[NC Filled]]</f>
        <v>491.36609167912457</v>
      </c>
      <c r="GW13" s="31">
        <f>Buckets_3_24[[#This Row],[Capacity]]-Buckets_3_24[[#This Row],[Final]]</f>
        <v>8.6339083208754346</v>
      </c>
      <c r="GX13" s="33">
        <f>IF(Buckets_3_24[[#This Row],[Capacity]]=0, 1, Buckets_3_24[[#This Row],[Final]]/Buckets_3_24[[#This Row],[Capacity]])</f>
        <v>0.98273218335824908</v>
      </c>
      <c r="GZ13" s="40">
        <f>Buckets_3_24[[#This Row],[Final]]</f>
        <v>491.36609167912457</v>
      </c>
      <c r="HA13" s="40">
        <f>Buckets_3_24[[#This Row],[Capacity]]</f>
        <v>500</v>
      </c>
      <c r="HB13" s="41" t="b">
        <f t="shared" si="42"/>
        <v>0</v>
      </c>
      <c r="HC13" s="42"/>
      <c r="HD13" s="42"/>
      <c r="HE13" s="42"/>
      <c r="HF13" s="42"/>
      <c r="HG13" s="43"/>
      <c r="HH13" s="40">
        <f t="shared" si="43"/>
        <v>491.36609167912457</v>
      </c>
      <c r="HI13" s="40">
        <f t="shared" si="44"/>
        <v>500</v>
      </c>
      <c r="HJ13" s="41" t="b">
        <f t="shared" si="9"/>
        <v>0</v>
      </c>
      <c r="HL13" s="29">
        <f t="shared" si="45"/>
        <v>491.36609167912457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491.36609167912457</v>
      </c>
      <c r="HO13" s="29">
        <f t="shared" si="46"/>
        <v>500</v>
      </c>
      <c r="HP13" s="29">
        <f>Buckets_4_24[[#This Row],[Capacity]]-Buckets_4_24[[#This Row],[After T]]</f>
        <v>8.6339083208754346</v>
      </c>
      <c r="HQ13" s="29">
        <f>MAX(-Buckets_4_24[[#This Row],[Cap Diff]], 0)</f>
        <v>0</v>
      </c>
      <c r="HR13" s="29">
        <f>Buckets_4_24[[#This Row],[After T]]-Buckets_4_24[[#This Row],[Slush]]</f>
        <v>491.36609167912457</v>
      </c>
      <c r="HS13" s="29">
        <f>Buckets_4_24[[#This Row],[Capacity]]-Buckets_4_24[[#This Row],[Before Fill]]</f>
        <v>8.6339083208754346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491.36609167912457</v>
      </c>
      <c r="HW13" s="29">
        <f>IF(NOT(Buckets_4_24[[#This Row],[Is Crit]]), Buckets_4_24[[#This Row],[S Cap Diff]], 0)</f>
        <v>8.6339083208754346</v>
      </c>
      <c r="HX13" s="31">
        <f>HV$41/Buckets_4_24[[#Totals],[NC To Fill]]*Buckets_4_24[[#This Row],[NC To Fill]]</f>
        <v>5.6343124931165587</v>
      </c>
      <c r="HY13" s="31">
        <f>Buckets_4_24[[#This Row],[Crit Filled]]+Buckets_4_24[[#This Row],[Scaled]]</f>
        <v>497.00040417224113</v>
      </c>
      <c r="HZ13" s="31">
        <f>Buckets_4_24[[#This Row],[NC Filled]]</f>
        <v>497.00040417224113</v>
      </c>
      <c r="IA13" s="31">
        <f>Buckets_4_24[[#This Row],[Capacity]]-Buckets_4_24[[#This Row],[Final]]</f>
        <v>2.999595827758867</v>
      </c>
      <c r="IB13" s="33">
        <f>IF(Buckets_4_24[[#This Row],[Capacity]]=0, 1, Buckets_4_24[[#This Row],[Final]]/Buckets_4_24[[#This Row],[Capacity]])</f>
        <v>0.99400080834448223</v>
      </c>
      <c r="ID13" s="40">
        <f>Buckets_4_24[[#This Row],[Final]]</f>
        <v>497.00040417224113</v>
      </c>
      <c r="IE13" s="40">
        <f>Buckets_4_24[[#This Row],[Capacity]]</f>
        <v>500</v>
      </c>
      <c r="IF13" s="41" t="b">
        <f t="shared" si="47"/>
        <v>0</v>
      </c>
      <c r="IG13" s="42"/>
      <c r="IH13" s="42"/>
      <c r="II13" s="42"/>
      <c r="IJ13" s="42"/>
      <c r="IK13" s="43"/>
      <c r="IL13" s="40">
        <f t="shared" si="48"/>
        <v>497.00040417224113</v>
      </c>
      <c r="IM13" s="40">
        <f t="shared" si="49"/>
        <v>500</v>
      </c>
      <c r="IN13" s="41" t="b">
        <f t="shared" si="10"/>
        <v>0</v>
      </c>
    </row>
    <row r="14" spans="1:248" x14ac:dyDescent="0.25">
      <c r="A14" s="48"/>
      <c r="B14" t="s">
        <v>32</v>
      </c>
      <c r="C14" t="s">
        <v>291</v>
      </c>
      <c r="D14" t="s">
        <v>291</v>
      </c>
      <c r="F14" s="30">
        <v>0</v>
      </c>
      <c r="G14" s="38">
        <v>500</v>
      </c>
      <c r="H14" t="b">
        <v>0</v>
      </c>
      <c r="J14" s="29">
        <f t="shared" si="11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2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 t="shared" si="13"/>
        <v>500</v>
      </c>
      <c r="AD14" t="b">
        <f t="shared" si="14"/>
        <v>0</v>
      </c>
      <c r="AE14" s="43" t="e">
        <f>NA()</f>
        <v>#N/A</v>
      </c>
      <c r="AF14" s="42"/>
      <c r="AG14" s="43" t="e">
        <f>NA()</f>
        <v>#N/A</v>
      </c>
      <c r="AH14" s="42"/>
      <c r="AI14" s="43"/>
      <c r="AJ14" s="31">
        <f t="shared" si="15"/>
        <v>436.40879854831962</v>
      </c>
      <c r="AK14" s="31">
        <f t="shared" si="16"/>
        <v>500</v>
      </c>
      <c r="AL14" t="b">
        <f t="shared" si="17"/>
        <v>0</v>
      </c>
      <c r="AN14" s="29">
        <f t="shared" si="18"/>
        <v>436.40879854831962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101.90879854831962</v>
      </c>
      <c r="AQ14" s="29">
        <f t="shared" si="19"/>
        <v>500</v>
      </c>
      <c r="AR14" s="29">
        <f>Buckets_10_23[[#This Row],[Capacity]]-Buckets_10_23[[#This Row],[After T]]</f>
        <v>398.09120145168038</v>
      </c>
      <c r="AS14" s="29">
        <f>MAX(-Buckets_10_23[[#This Row],[Cap Diff]], 0)</f>
        <v>0</v>
      </c>
      <c r="AT14" s="29">
        <f>Buckets_10_23[[#This Row],[After T]]-Buckets_10_23[[#This Row],[Slush]]</f>
        <v>101.90879854831962</v>
      </c>
      <c r="AU14" s="29">
        <f>Buckets_10_23[[#This Row],[Capacity]]-Buckets_10_23[[#This Row],[Before Fill]]</f>
        <v>398.09120145168038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101.90879854831962</v>
      </c>
      <c r="AY14" s="29">
        <f>IF(NOT(Buckets_10_23[[#This Row],[Is Crit]]), Buckets_10_23[[#This Row],[S Cap Diff]], 0)</f>
        <v>398.09120145168038</v>
      </c>
      <c r="AZ14" s="31">
        <f>AX$41/Buckets_10_23[[#Totals],[NC To Fill]]*Buckets_10_23[[#This Row],[NC To Fill]]</f>
        <v>236.45516168507416</v>
      </c>
      <c r="BA14" s="31">
        <f>Buckets_10_23[[#This Row],[Crit Filled]]+Buckets_10_23[[#This Row],[Scaled]]</f>
        <v>338.36396023339375</v>
      </c>
      <c r="BB14" s="31">
        <f>Buckets_10_23[[#This Row],[NC Filled]]</f>
        <v>338.36396023339375</v>
      </c>
      <c r="BC14" s="31">
        <f>Buckets_10_23[[#This Row],[Capacity]]-Buckets_10_23[[#This Row],[Final]]</f>
        <v>161.63603976660625</v>
      </c>
      <c r="BD14" s="33">
        <f>IF(Buckets_10_23[[#This Row],[Capacity]]=0, 1, Buckets_10_23[[#This Row],[Final]]/Buckets_10_23[[#This Row],[Capacity]])</f>
        <v>0.67672792046678754</v>
      </c>
      <c r="BF14" s="31">
        <f>Buckets_10_23[[#This Row],[Final]]</f>
        <v>338.36396023339375</v>
      </c>
      <c r="BG14" s="31">
        <f>Buckets_10_23[[#This Row],[Capacity]]</f>
        <v>500</v>
      </c>
      <c r="BH14" t="b">
        <f t="shared" si="20"/>
        <v>0</v>
      </c>
      <c r="BI14" s="43" t="e">
        <f>NA()</f>
        <v>#N/A</v>
      </c>
      <c r="BJ14" s="42"/>
      <c r="BK14" s="43" t="e">
        <f>NA()</f>
        <v>#N/A</v>
      </c>
      <c r="BL14" s="42"/>
      <c r="BM14" s="43"/>
      <c r="BN14" s="31">
        <f t="shared" si="21"/>
        <v>338.36396023339375</v>
      </c>
      <c r="BO14" s="31">
        <f t="shared" si="1"/>
        <v>500</v>
      </c>
      <c r="BP14" t="b">
        <f t="shared" si="2"/>
        <v>0</v>
      </c>
      <c r="BR14" s="29">
        <f t="shared" si="22"/>
        <v>338.36396023339375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338.36396023339375</v>
      </c>
      <c r="BU14" s="29">
        <f t="shared" si="23"/>
        <v>500</v>
      </c>
      <c r="BV14" s="29">
        <f>Buckets_11_23[[#This Row],[Capacity]]-Buckets_11_23[[#This Row],[After T]]</f>
        <v>161.63603976660625</v>
      </c>
      <c r="BW14" s="29">
        <f>MAX(-Buckets_11_23[[#This Row],[Cap Diff]], 0)</f>
        <v>0</v>
      </c>
      <c r="BX14" s="29">
        <f>Buckets_11_23[[#This Row],[After T]]-Buckets_11_23[[#This Row],[Slush]]</f>
        <v>338.36396023339375</v>
      </c>
      <c r="BY14" s="29">
        <f>Buckets_11_23[[#This Row],[Capacity]]-Buckets_11_23[[#This Row],[Before Fill]]</f>
        <v>161.63603976660625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338.36396023339375</v>
      </c>
      <c r="CC14" s="29">
        <f>IF(NOT(Buckets_11_23[[#This Row],[Is Crit]]), Buckets_11_23[[#This Row],[S Cap Diff]], 0)</f>
        <v>161.63603976660625</v>
      </c>
      <c r="CD14" s="31">
        <f>CB$41/Buckets_11_23[[#Totals],[NC To Fill]]*Buckets_11_23[[#This Row],[NC To Fill]]</f>
        <v>159.40595398239813</v>
      </c>
      <c r="CE14" s="31">
        <f>Buckets_11_23[[#This Row],[Crit Filled]]+Buckets_11_23[[#This Row],[Scaled]]</f>
        <v>497.76991421579191</v>
      </c>
      <c r="CF14" s="31">
        <f>Buckets_11_23[[#This Row],[NC Filled]]</f>
        <v>497.76991421579191</v>
      </c>
      <c r="CG14" s="31">
        <f>Buckets_11_23[[#This Row],[Capacity]]-Buckets_11_23[[#This Row],[Final]]</f>
        <v>2.2300857842080859</v>
      </c>
      <c r="CH14" s="33">
        <f>IF(Buckets_11_23[[#This Row],[Capacity]]=0, 1, Buckets_11_23[[#This Row],[Final]]/Buckets_11_23[[#This Row],[Capacity]])</f>
        <v>0.99553982843158384</v>
      </c>
      <c r="CJ14" s="40">
        <f>Buckets_11_23[[#This Row],[Final]]</f>
        <v>497.76991421579191</v>
      </c>
      <c r="CK14" s="40">
        <f>Buckets_11_23[[#This Row],[Capacity]]</f>
        <v>500</v>
      </c>
      <c r="CL14" s="41" t="b">
        <f t="shared" si="24"/>
        <v>0</v>
      </c>
      <c r="CM14" s="42">
        <v>-200</v>
      </c>
      <c r="CN14" s="42"/>
      <c r="CO14" s="42" t="e">
        <f>NA()</f>
        <v>#N/A</v>
      </c>
      <c r="CP14" s="42">
        <f>CK14+100</f>
        <v>600</v>
      </c>
      <c r="CQ14" s="43"/>
      <c r="CR14" s="40">
        <f t="shared" si="25"/>
        <v>297.76991421579191</v>
      </c>
      <c r="CS14" s="40">
        <f t="shared" si="3"/>
        <v>600</v>
      </c>
      <c r="CT14" s="41" t="b">
        <f t="shared" si="4"/>
        <v>0</v>
      </c>
      <c r="CV14" s="29">
        <f t="shared" si="26"/>
        <v>297.76991421579191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95.16991421579192</v>
      </c>
      <c r="CY14" s="29">
        <f t="shared" si="27"/>
        <v>600</v>
      </c>
      <c r="CZ14" s="29">
        <f>Buckets_12_23[[#This Row],[Capacity]]-Buckets_12_23[[#This Row],[After T]]</f>
        <v>504.83008578420811</v>
      </c>
      <c r="DA14" s="29">
        <f>MAX(-Buckets_12_23[[#This Row],[Cap Diff]], 0)</f>
        <v>0</v>
      </c>
      <c r="DB14" s="29">
        <f>Buckets_12_23[[#This Row],[After T]]-Buckets_12_23[[#This Row],[Slush]]</f>
        <v>95.16991421579192</v>
      </c>
      <c r="DC14" s="29">
        <f>Buckets_12_23[[#This Row],[Capacity]]-Buckets_12_23[[#This Row],[Before Fill]]</f>
        <v>504.83008578420811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95.16991421579192</v>
      </c>
      <c r="DG14" s="29">
        <f>IF(NOT(Buckets_12_23[[#This Row],[Is Crit]]), Buckets_12_23[[#This Row],[S Cap Diff]], 0)</f>
        <v>504.83008578420811</v>
      </c>
      <c r="DH14" s="31">
        <f>DF$41/Buckets_12_23[[#Totals],[NC To Fill]]*Buckets_12_23[[#This Row],[NC To Fill]]</f>
        <v>230.81844388860623</v>
      </c>
      <c r="DI14" s="31">
        <f>Buckets_12_23[[#This Row],[Crit Filled]]+Buckets_12_23[[#This Row],[Scaled]]</f>
        <v>325.98835810439812</v>
      </c>
      <c r="DJ14" s="31">
        <f>Buckets_12_23[[#This Row],[NC Filled]]</f>
        <v>325.98835810439812</v>
      </c>
      <c r="DK14" s="31">
        <f>Buckets_12_23[[#This Row],[Capacity]]-Buckets_12_23[[#This Row],[Final]]</f>
        <v>274.01164189560188</v>
      </c>
      <c r="DL14" s="33">
        <f>IF(Buckets_12_23[[#This Row],[Capacity]]=0, 1, Buckets_12_23[[#This Row],[Final]]/Buckets_12_23[[#This Row],[Capacity]])</f>
        <v>0.54331393017399687</v>
      </c>
      <c r="DN14" s="40">
        <f>Buckets_12_23[[#This Row],[Final]]</f>
        <v>325.98835810439812</v>
      </c>
      <c r="DO14" s="40">
        <f>Buckets_12_23[[#This Row],[Capacity]]</f>
        <v>600</v>
      </c>
      <c r="DP14" s="41" t="b">
        <f t="shared" si="28"/>
        <v>0</v>
      </c>
      <c r="DQ14" s="42"/>
      <c r="DR14" s="42"/>
      <c r="DS14" s="42" t="e">
        <f>NA()</f>
        <v>#N/A</v>
      </c>
      <c r="DT14" s="42">
        <f>DO14+100</f>
        <v>700</v>
      </c>
      <c r="DU14" s="43"/>
      <c r="DV14" s="40">
        <f t="shared" si="29"/>
        <v>325.98835810439812</v>
      </c>
      <c r="DW14" s="40">
        <f t="shared" si="5"/>
        <v>700</v>
      </c>
      <c r="DX14" s="41" t="b">
        <f t="shared" si="6"/>
        <v>0</v>
      </c>
      <c r="DZ14" s="29">
        <f t="shared" si="30"/>
        <v>325.98835810439812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325.98835810439812</v>
      </c>
      <c r="EC14" s="29">
        <f t="shared" si="31"/>
        <v>700</v>
      </c>
      <c r="ED14" s="29">
        <f>Buckets_1_24[[#This Row],[Capacity]]-Buckets_1_24[[#This Row],[After T]]</f>
        <v>374.01164189560188</v>
      </c>
      <c r="EE14" s="29">
        <f>MAX(-Buckets_1_24[[#This Row],[Cap Diff]], 0)</f>
        <v>0</v>
      </c>
      <c r="EF14" s="29">
        <f>Buckets_1_24[[#This Row],[After T]]-Buckets_1_24[[#This Row],[Slush]]</f>
        <v>325.98835810439812</v>
      </c>
      <c r="EG14" s="29">
        <f>Buckets_1_24[[#This Row],[Capacity]]-Buckets_1_24[[#This Row],[Before Fill]]</f>
        <v>374.01164189560188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325.98835810439812</v>
      </c>
      <c r="EK14" s="29">
        <f>IF(NOT(Buckets_1_24[[#This Row],[Is Crit]]), Buckets_1_24[[#This Row],[S Cap Diff]], 0)</f>
        <v>374.01164189560188</v>
      </c>
      <c r="EL14" s="31">
        <f>EJ$41/Buckets_1_24[[#Totals],[NC To Fill]]*Buckets_1_24[[#This Row],[NC To Fill]]</f>
        <v>229.6403132147413</v>
      </c>
      <c r="EM14" s="31">
        <f>Buckets_1_24[[#This Row],[Crit Filled]]+Buckets_1_24[[#This Row],[Scaled]]</f>
        <v>555.62867131913936</v>
      </c>
      <c r="EN14" s="31">
        <f>Buckets_1_24[[#This Row],[NC Filled]]</f>
        <v>555.62867131913936</v>
      </c>
      <c r="EO14" s="31">
        <f>Buckets_1_24[[#This Row],[Capacity]]-Buckets_1_24[[#This Row],[Final]]</f>
        <v>144.37132868086064</v>
      </c>
      <c r="EP14" s="33">
        <f>IF(Buckets_1_24[[#This Row],[Capacity]]=0, 1, Buckets_1_24[[#This Row],[Final]]/Buckets_1_24[[#This Row],[Capacity]])</f>
        <v>0.79375524474162762</v>
      </c>
      <c r="ER14" s="40">
        <f>Buckets_1_24[[#This Row],[Final]]</f>
        <v>555.62867131913936</v>
      </c>
      <c r="ES14" s="40">
        <f>Buckets_1_24[[#This Row],[Capacity]]</f>
        <v>700</v>
      </c>
      <c r="ET14" s="41" t="b">
        <f t="shared" si="32"/>
        <v>0</v>
      </c>
      <c r="EU14" s="42"/>
      <c r="EV14" s="42"/>
      <c r="EW14" s="42">
        <v>100</v>
      </c>
      <c r="EX14" s="42"/>
      <c r="EY14" s="43"/>
      <c r="EZ14" s="40">
        <f t="shared" si="33"/>
        <v>555.62867131913936</v>
      </c>
      <c r="FA14" s="40">
        <f t="shared" si="34"/>
        <v>800</v>
      </c>
      <c r="FB14" s="41" t="b">
        <f t="shared" si="7"/>
        <v>0</v>
      </c>
      <c r="FD14" s="29">
        <f t="shared" si="35"/>
        <v>555.62867131913936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555.62867131913936</v>
      </c>
      <c r="FG14" s="29">
        <f t="shared" si="36"/>
        <v>800</v>
      </c>
      <c r="FH14" s="29">
        <f>Buckets_2_24[[#This Row],[Capacity]]-Buckets_2_24[[#This Row],[After T]]</f>
        <v>244.37132868086064</v>
      </c>
      <c r="FI14" s="29">
        <f>MAX(-Buckets_2_24[[#This Row],[Cap Diff]], 0)</f>
        <v>0</v>
      </c>
      <c r="FJ14" s="29">
        <f>Buckets_2_24[[#This Row],[After T]]-Buckets_2_24[[#This Row],[Slush]]</f>
        <v>555.62867131913936</v>
      </c>
      <c r="FK14" s="29">
        <f>Buckets_2_24[[#This Row],[Capacity]]-Buckets_2_24[[#This Row],[Before Fill]]</f>
        <v>244.37132868086064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555.62867131913936</v>
      </c>
      <c r="FO14" s="29">
        <f>IF(NOT(Buckets_2_24[[#This Row],[Is Crit]]), Buckets_2_24[[#This Row],[S Cap Diff]], 0)</f>
        <v>244.37132868086064</v>
      </c>
      <c r="FP14" s="31">
        <f>FN$41/Buckets_2_24[[#Totals],[NC To Fill]]*Buckets_2_24[[#This Row],[NC To Fill]]</f>
        <v>235.41407674657873</v>
      </c>
      <c r="FQ14" s="31">
        <f>Buckets_2_24[[#This Row],[Crit Filled]]+Buckets_2_24[[#This Row],[Scaled]]</f>
        <v>791.04274806571811</v>
      </c>
      <c r="FR14" s="31">
        <f>Buckets_2_24[[#This Row],[NC Filled]]</f>
        <v>791.04274806571811</v>
      </c>
      <c r="FS14" s="31">
        <f>Buckets_2_24[[#This Row],[Capacity]]-Buckets_2_24[[#This Row],[Final]]</f>
        <v>8.957251934281885</v>
      </c>
      <c r="FT14" s="33">
        <f>IF(Buckets_2_24[[#This Row],[Capacity]]=0, 1, Buckets_2_24[[#This Row],[Final]]/Buckets_2_24[[#This Row],[Capacity]])</f>
        <v>0.98880343508214763</v>
      </c>
      <c r="FV14" s="40">
        <f>Buckets_2_24[[#This Row],[Final]]</f>
        <v>791.04274806571811</v>
      </c>
      <c r="FW14" s="40">
        <f>Buckets_2_24[[#This Row],[Capacity]]</f>
        <v>800</v>
      </c>
      <c r="FX14" s="41" t="b">
        <f t="shared" si="37"/>
        <v>0</v>
      </c>
      <c r="FY14" s="42"/>
      <c r="FZ14" s="42"/>
      <c r="GA14" s="42">
        <v>100</v>
      </c>
      <c r="GB14" s="42"/>
      <c r="GC14" s="43"/>
      <c r="GD14" s="40">
        <f t="shared" si="38"/>
        <v>791.04274806571811</v>
      </c>
      <c r="GE14" s="40">
        <f t="shared" si="39"/>
        <v>900</v>
      </c>
      <c r="GF14" s="41" t="b">
        <f t="shared" si="8"/>
        <v>0</v>
      </c>
      <c r="GH14" s="29">
        <f t="shared" si="40"/>
        <v>791.04274806571811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791.04274806571811</v>
      </c>
      <c r="GK14" s="29">
        <f t="shared" si="41"/>
        <v>900</v>
      </c>
      <c r="GL14" s="29">
        <f>Buckets_3_24[[#This Row],[Capacity]]-Buckets_3_24[[#This Row],[After T]]</f>
        <v>108.95725193428189</v>
      </c>
      <c r="GM14" s="29">
        <f>MAX(-Buckets_3_24[[#This Row],[Cap Diff]], 0)</f>
        <v>0</v>
      </c>
      <c r="GN14" s="29">
        <f>Buckets_3_24[[#This Row],[After T]]-Buckets_3_24[[#This Row],[Slush]]</f>
        <v>791.04274806571811</v>
      </c>
      <c r="GO14" s="29">
        <f>Buckets_3_24[[#This Row],[Capacity]]-Buckets_3_24[[#This Row],[Before Fill]]</f>
        <v>108.95725193428189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791.04274806571811</v>
      </c>
      <c r="GS14" s="29">
        <f>IF(NOT(Buckets_3_24[[#This Row],[Is Crit]]), Buckets_3_24[[#This Row],[S Cap Diff]], 0)</f>
        <v>108.95725193428189</v>
      </c>
      <c r="GT14" s="31">
        <f>GR$41/Buckets_3_24[[#Totals],[NC To Fill]]*Buckets_3_24[[#This Row],[NC To Fill]]</f>
        <v>105.82350933299595</v>
      </c>
      <c r="GU14" s="31">
        <f>Buckets_3_24[[#This Row],[Crit Filled]]+Buckets_3_24[[#This Row],[Scaled]]</f>
        <v>896.86625739871408</v>
      </c>
      <c r="GV14" s="31">
        <f>Buckets_3_24[[#This Row],[NC Filled]]</f>
        <v>896.86625739871408</v>
      </c>
      <c r="GW14" s="31">
        <f>Buckets_3_24[[#This Row],[Capacity]]-Buckets_3_24[[#This Row],[Final]]</f>
        <v>3.1337426012859169</v>
      </c>
      <c r="GX14" s="33">
        <f>IF(Buckets_3_24[[#This Row],[Capacity]]=0, 1, Buckets_3_24[[#This Row],[Final]]/Buckets_3_24[[#This Row],[Capacity]])</f>
        <v>0.99651806377634899</v>
      </c>
      <c r="GZ14" s="40">
        <f>Buckets_3_24[[#This Row],[Final]]</f>
        <v>896.86625739871408</v>
      </c>
      <c r="HA14" s="40">
        <f>Buckets_3_24[[#This Row],[Capacity]]</f>
        <v>900</v>
      </c>
      <c r="HB14" s="41" t="b">
        <f t="shared" si="42"/>
        <v>0</v>
      </c>
      <c r="HC14" s="42"/>
      <c r="HD14" s="42"/>
      <c r="HE14" s="42">
        <v>100</v>
      </c>
      <c r="HF14" s="42"/>
      <c r="HG14" s="43"/>
      <c r="HH14" s="40">
        <f t="shared" si="43"/>
        <v>896.86625739871408</v>
      </c>
      <c r="HI14" s="40">
        <f t="shared" si="44"/>
        <v>1000</v>
      </c>
      <c r="HJ14" s="41" t="b">
        <f t="shared" si="9"/>
        <v>0</v>
      </c>
      <c r="HL14" s="29">
        <f t="shared" si="45"/>
        <v>896.86625739871408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896.86625739871408</v>
      </c>
      <c r="HO14" s="29">
        <f t="shared" si="46"/>
        <v>1000</v>
      </c>
      <c r="HP14" s="29">
        <f>Buckets_4_24[[#This Row],[Capacity]]-Buckets_4_24[[#This Row],[After T]]</f>
        <v>103.13374260128592</v>
      </c>
      <c r="HQ14" s="29">
        <f>MAX(-Buckets_4_24[[#This Row],[Cap Diff]], 0)</f>
        <v>0</v>
      </c>
      <c r="HR14" s="29">
        <f>Buckets_4_24[[#This Row],[After T]]-Buckets_4_24[[#This Row],[Slush]]</f>
        <v>896.86625739871408</v>
      </c>
      <c r="HS14" s="29">
        <f>Buckets_4_24[[#This Row],[Capacity]]-Buckets_4_24[[#This Row],[Before Fill]]</f>
        <v>103.13374260128592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896.86625739871408</v>
      </c>
      <c r="HW14" s="29">
        <f>IF(NOT(Buckets_4_24[[#This Row],[Is Crit]]), Buckets_4_24[[#This Row],[S Cap Diff]], 0)</f>
        <v>103.13374260128592</v>
      </c>
      <c r="HX14" s="31">
        <f>HV$41/Buckets_4_24[[#Totals],[NC To Fill]]*Buckets_4_24[[#This Row],[NC To Fill]]</f>
        <v>67.302977145971511</v>
      </c>
      <c r="HY14" s="31">
        <f>Buckets_4_24[[#This Row],[Crit Filled]]+Buckets_4_24[[#This Row],[Scaled]]</f>
        <v>964.16923454468565</v>
      </c>
      <c r="HZ14" s="31">
        <f>Buckets_4_24[[#This Row],[NC Filled]]</f>
        <v>964.16923454468565</v>
      </c>
      <c r="IA14" s="31">
        <f>Buckets_4_24[[#This Row],[Capacity]]-Buckets_4_24[[#This Row],[Final]]</f>
        <v>35.830765455314349</v>
      </c>
      <c r="IB14" s="33">
        <f>IF(Buckets_4_24[[#This Row],[Capacity]]=0, 1, Buckets_4_24[[#This Row],[Final]]/Buckets_4_24[[#This Row],[Capacity]])</f>
        <v>0.96416923454468562</v>
      </c>
      <c r="ID14" s="40">
        <f>Buckets_4_24[[#This Row],[Final]]</f>
        <v>964.16923454468565</v>
      </c>
      <c r="IE14" s="40">
        <f>Buckets_4_24[[#This Row],[Capacity]]</f>
        <v>1000</v>
      </c>
      <c r="IF14" s="41" t="b">
        <f t="shared" si="47"/>
        <v>0</v>
      </c>
      <c r="IG14" s="42"/>
      <c r="IH14" s="42"/>
      <c r="II14" s="42">
        <v>100</v>
      </c>
      <c r="IJ14" s="42"/>
      <c r="IK14" s="43"/>
      <c r="IL14" s="40">
        <f t="shared" si="48"/>
        <v>964.16923454468565</v>
      </c>
      <c r="IM14" s="40">
        <f t="shared" si="49"/>
        <v>1100</v>
      </c>
      <c r="IN14" s="41" t="b">
        <f t="shared" si="10"/>
        <v>0</v>
      </c>
    </row>
    <row r="15" spans="1:24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8">
        <v>600</v>
      </c>
      <c r="H15" t="b">
        <v>0</v>
      </c>
      <c r="J15" s="29">
        <f t="shared" si="11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2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 t="shared" si="13"/>
        <v>600</v>
      </c>
      <c r="AD15" t="b">
        <f t="shared" si="14"/>
        <v>0</v>
      </c>
      <c r="AE15" s="43" t="e">
        <f>NA()</f>
        <v>#N/A</v>
      </c>
      <c r="AF15" s="42"/>
      <c r="AG15" s="43" t="e">
        <f>NA()</f>
        <v>#N/A</v>
      </c>
      <c r="AH15" s="42"/>
      <c r="AI15" s="43"/>
      <c r="AJ15" s="31">
        <f t="shared" si="15"/>
        <v>535.20819666491184</v>
      </c>
      <c r="AK15" s="31">
        <f t="shared" si="16"/>
        <v>600</v>
      </c>
      <c r="AL15" t="b">
        <f t="shared" si="17"/>
        <v>0</v>
      </c>
      <c r="AN15" s="29">
        <f t="shared" si="18"/>
        <v>535.20819666491184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316.27819666491183</v>
      </c>
      <c r="AQ15" s="29">
        <f t="shared" si="19"/>
        <v>600</v>
      </c>
      <c r="AR15" s="29">
        <f>Buckets_10_23[[#This Row],[Capacity]]-Buckets_10_23[[#This Row],[After T]]</f>
        <v>283.72180333508817</v>
      </c>
      <c r="AS15" s="29">
        <f>MAX(-Buckets_10_23[[#This Row],[Cap Diff]], 0)</f>
        <v>0</v>
      </c>
      <c r="AT15" s="29">
        <f>Buckets_10_23[[#This Row],[After T]]-Buckets_10_23[[#This Row],[Slush]]</f>
        <v>316.27819666491183</v>
      </c>
      <c r="AU15" s="29">
        <f>Buckets_10_23[[#This Row],[Capacity]]-Buckets_10_23[[#This Row],[Before Fill]]</f>
        <v>283.72180333508817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316.27819666491183</v>
      </c>
      <c r="AY15" s="29">
        <f>IF(NOT(Buckets_10_23[[#This Row],[Is Crit]]), Buckets_10_23[[#This Row],[S Cap Diff]], 0)</f>
        <v>283.72180333508817</v>
      </c>
      <c r="AZ15" s="31">
        <f>AX$41/Buckets_10_23[[#Totals],[NC To Fill]]*Buckets_10_23[[#This Row],[NC To Fill]]</f>
        <v>168.52290288390623</v>
      </c>
      <c r="BA15" s="31">
        <f>Buckets_10_23[[#This Row],[Crit Filled]]+Buckets_10_23[[#This Row],[Scaled]]</f>
        <v>484.80109954881806</v>
      </c>
      <c r="BB15" s="31">
        <f>Buckets_10_23[[#This Row],[NC Filled]]</f>
        <v>484.80109954881806</v>
      </c>
      <c r="BC15" s="31">
        <f>Buckets_10_23[[#This Row],[Capacity]]-Buckets_10_23[[#This Row],[Final]]</f>
        <v>115.19890045118194</v>
      </c>
      <c r="BD15" s="33">
        <f>IF(Buckets_10_23[[#This Row],[Capacity]]=0, 1, Buckets_10_23[[#This Row],[Final]]/Buckets_10_23[[#This Row],[Capacity]])</f>
        <v>0.80800183258136338</v>
      </c>
      <c r="BF15" s="31">
        <f>Buckets_10_23[[#This Row],[Final]]</f>
        <v>484.80109954881806</v>
      </c>
      <c r="BG15" s="31">
        <f>Buckets_10_23[[#This Row],[Capacity]]</f>
        <v>600</v>
      </c>
      <c r="BH15" t="b">
        <f t="shared" si="20"/>
        <v>0</v>
      </c>
      <c r="BI15" s="43" t="e">
        <f>NA()</f>
        <v>#N/A</v>
      </c>
      <c r="BJ15" s="42"/>
      <c r="BK15" s="43" t="e">
        <f>NA()</f>
        <v>#N/A</v>
      </c>
      <c r="BL15" s="42"/>
      <c r="BM15" s="43"/>
      <c r="BN15" s="31">
        <f t="shared" si="21"/>
        <v>484.80109954881806</v>
      </c>
      <c r="BO15" s="31">
        <f t="shared" si="1"/>
        <v>600</v>
      </c>
      <c r="BP15" t="b">
        <f t="shared" si="2"/>
        <v>0</v>
      </c>
      <c r="BR15" s="29">
        <f t="shared" si="22"/>
        <v>484.80109954881806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232.56109954881808</v>
      </c>
      <c r="BU15" s="29">
        <f t="shared" si="23"/>
        <v>600</v>
      </c>
      <c r="BV15" s="29">
        <f>Buckets_11_23[[#This Row],[Capacity]]-Buckets_11_23[[#This Row],[After T]]</f>
        <v>367.43890045118189</v>
      </c>
      <c r="BW15" s="29">
        <f>MAX(-Buckets_11_23[[#This Row],[Cap Diff]], 0)</f>
        <v>0</v>
      </c>
      <c r="BX15" s="29">
        <f>Buckets_11_23[[#This Row],[After T]]-Buckets_11_23[[#This Row],[Slush]]</f>
        <v>232.56109954881808</v>
      </c>
      <c r="BY15" s="29">
        <f>Buckets_11_23[[#This Row],[Capacity]]-Buckets_11_23[[#This Row],[Before Fill]]</f>
        <v>367.43890045118189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232.56109954881808</v>
      </c>
      <c r="CC15" s="29">
        <f>IF(NOT(Buckets_11_23[[#This Row],[Is Crit]]), Buckets_11_23[[#This Row],[S Cap Diff]], 0)</f>
        <v>367.43890045118189</v>
      </c>
      <c r="CD15" s="31">
        <f>CB$41/Buckets_11_23[[#Totals],[NC To Fill]]*Buckets_11_23[[#This Row],[NC To Fill]]</f>
        <v>362.36936107342649</v>
      </c>
      <c r="CE15" s="31">
        <f>Buckets_11_23[[#This Row],[Crit Filled]]+Buckets_11_23[[#This Row],[Scaled]]</f>
        <v>594.9304606222446</v>
      </c>
      <c r="CF15" s="31">
        <f>Buckets_11_23[[#This Row],[NC Filled]]</f>
        <v>594.9304606222446</v>
      </c>
      <c r="CG15" s="31">
        <f>Buckets_11_23[[#This Row],[Capacity]]-Buckets_11_23[[#This Row],[Final]]</f>
        <v>5.0695393777554045</v>
      </c>
      <c r="CH15" s="33">
        <f>IF(Buckets_11_23[[#This Row],[Capacity]]=0, 1, Buckets_11_23[[#This Row],[Final]]/Buckets_11_23[[#This Row],[Capacity]])</f>
        <v>0.99155076770374095</v>
      </c>
      <c r="CJ15" s="40">
        <f>Buckets_11_23[[#This Row],[Final]]</f>
        <v>594.9304606222446</v>
      </c>
      <c r="CK15" s="40">
        <f>Buckets_11_23[[#This Row],[Capacity]]</f>
        <v>600</v>
      </c>
      <c r="CL15" s="41" t="b">
        <f t="shared" si="24"/>
        <v>0</v>
      </c>
      <c r="CM15" s="42">
        <v>-300</v>
      </c>
      <c r="CN15" s="42"/>
      <c r="CO15" s="42" t="e">
        <f>NA()</f>
        <v>#N/A</v>
      </c>
      <c r="CP15" s="42"/>
      <c r="CQ15" s="43" t="b">
        <v>1</v>
      </c>
      <c r="CR15" s="40">
        <f t="shared" si="25"/>
        <v>294.9304606222446</v>
      </c>
      <c r="CS15" s="40">
        <f t="shared" si="3"/>
        <v>600</v>
      </c>
      <c r="CT15" s="41" t="b">
        <f t="shared" si="4"/>
        <v>1</v>
      </c>
      <c r="CV15" s="29">
        <f t="shared" si="26"/>
        <v>294.9304606222446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85.82046062224461</v>
      </c>
      <c r="CY15" s="29">
        <f t="shared" si="27"/>
        <v>600</v>
      </c>
      <c r="CZ15" s="29">
        <f>Buckets_12_23[[#This Row],[Capacity]]-Buckets_12_23[[#This Row],[After T]]</f>
        <v>514.17953937775542</v>
      </c>
      <c r="DA15" s="29">
        <f>MAX(-Buckets_12_23[[#This Row],[Cap Diff]], 0)</f>
        <v>0</v>
      </c>
      <c r="DB15" s="29">
        <f>Buckets_12_23[[#This Row],[After T]]-Buckets_12_23[[#This Row],[Slush]]</f>
        <v>85.82046062224461</v>
      </c>
      <c r="DC15" s="29">
        <f>Buckets_12_23[[#This Row],[Capacity]]-Buckets_12_23[[#This Row],[Before Fill]]</f>
        <v>514.17953937775542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514.17953937775542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31">
        <f>DF$41/Buckets_12_23[[#Totals],[NC To Fill]]*Buckets_12_23[[#This Row],[NC To Fill]]</f>
        <v>0</v>
      </c>
      <c r="DI15" s="31">
        <f>Buckets_12_23[[#This Row],[Crit Filled]]+Buckets_12_23[[#This Row],[Scaled]]</f>
        <v>600</v>
      </c>
      <c r="DJ15" s="31">
        <f>Buckets_12_23[[#This Row],[NC Filled]]</f>
        <v>600</v>
      </c>
      <c r="DK15" s="31">
        <f>Buckets_12_23[[#This Row],[Capacity]]-Buckets_12_23[[#This Row],[Final]]</f>
        <v>0</v>
      </c>
      <c r="DL15" s="33">
        <f>IF(Buckets_12_23[[#This Row],[Capacity]]=0, 1, Buckets_12_23[[#This Row],[Final]]/Buckets_12_23[[#This Row],[Capacity]])</f>
        <v>1</v>
      </c>
      <c r="DN15" s="40">
        <f>Buckets_12_23[[#This Row],[Final]]</f>
        <v>600</v>
      </c>
      <c r="DO15" s="40">
        <f>Buckets_12_23[[#This Row],[Capacity]]</f>
        <v>600</v>
      </c>
      <c r="DP15" s="41" t="b">
        <f t="shared" si="28"/>
        <v>1</v>
      </c>
      <c r="DQ15" s="42"/>
      <c r="DR15" s="42"/>
      <c r="DS15" s="42" t="e">
        <f>NA()</f>
        <v>#N/A</v>
      </c>
      <c r="DT15" s="42"/>
      <c r="DU15" s="43"/>
      <c r="DV15" s="40">
        <f t="shared" si="29"/>
        <v>600</v>
      </c>
      <c r="DW15" s="40">
        <f t="shared" si="5"/>
        <v>600</v>
      </c>
      <c r="DX15" s="41" t="b">
        <f t="shared" si="6"/>
        <v>1</v>
      </c>
      <c r="DZ15" s="29">
        <f t="shared" si="30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1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31">
        <f>EJ$41/Buckets_1_24[[#Totals],[NC To Fill]]*Buckets_1_24[[#This Row],[NC To Fill]]</f>
        <v>0</v>
      </c>
      <c r="EM15" s="31">
        <f>Buckets_1_24[[#This Row],[Crit Filled]]+Buckets_1_24[[#This Row],[Scaled]]</f>
        <v>600</v>
      </c>
      <c r="EN15" s="31">
        <f>Buckets_1_24[[#This Row],[NC Filled]]</f>
        <v>600</v>
      </c>
      <c r="EO15" s="31">
        <f>Buckets_1_24[[#This Row],[Capacity]]-Buckets_1_24[[#This Row],[Final]]</f>
        <v>0</v>
      </c>
      <c r="EP15" s="33">
        <f>IF(Buckets_1_24[[#This Row],[Capacity]]=0, 1, Buckets_1_24[[#This Row],[Final]]/Buckets_1_24[[#This Row],[Capacity]])</f>
        <v>1</v>
      </c>
      <c r="ER15" s="40">
        <f>Buckets_1_24[[#This Row],[Final]]</f>
        <v>600</v>
      </c>
      <c r="ES15" s="40">
        <f>Buckets_1_24[[#This Row],[Capacity]]</f>
        <v>600</v>
      </c>
      <c r="ET15" s="41" t="b">
        <f t="shared" si="32"/>
        <v>1</v>
      </c>
      <c r="EU15" s="42"/>
      <c r="EV15" s="42"/>
      <c r="EW15" s="42"/>
      <c r="EX15" s="42"/>
      <c r="EY15" s="43"/>
      <c r="EZ15" s="40">
        <f t="shared" si="33"/>
        <v>600</v>
      </c>
      <c r="FA15" s="40">
        <f t="shared" si="34"/>
        <v>600</v>
      </c>
      <c r="FB15" s="41" t="b">
        <f t="shared" si="7"/>
        <v>1</v>
      </c>
      <c r="FD15" s="29">
        <f t="shared" si="35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6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31">
        <f>FN$41/Buckets_2_24[[#Totals],[NC To Fill]]*Buckets_2_24[[#This Row],[NC To Fill]]</f>
        <v>0</v>
      </c>
      <c r="FQ15" s="31">
        <f>Buckets_2_24[[#This Row],[Crit Filled]]+Buckets_2_24[[#This Row],[Scaled]]</f>
        <v>600</v>
      </c>
      <c r="FR15" s="31">
        <f>Buckets_2_24[[#This Row],[NC Filled]]</f>
        <v>600</v>
      </c>
      <c r="FS15" s="31">
        <f>Buckets_2_24[[#This Row],[Capacity]]-Buckets_2_24[[#This Row],[Final]]</f>
        <v>0</v>
      </c>
      <c r="FT15" s="33">
        <f>IF(Buckets_2_24[[#This Row],[Capacity]]=0, 1, Buckets_2_24[[#This Row],[Final]]/Buckets_2_24[[#This Row],[Capacity]])</f>
        <v>1</v>
      </c>
      <c r="FV15" s="40">
        <f>Buckets_2_24[[#This Row],[Final]]</f>
        <v>600</v>
      </c>
      <c r="FW15" s="40">
        <f>Buckets_2_24[[#This Row],[Capacity]]</f>
        <v>600</v>
      </c>
      <c r="FX15" s="41" t="b">
        <f t="shared" si="37"/>
        <v>1</v>
      </c>
      <c r="FY15" s="42"/>
      <c r="FZ15" s="42"/>
      <c r="GA15" s="42"/>
      <c r="GB15" s="42"/>
      <c r="GC15" s="43"/>
      <c r="GD15" s="40">
        <f t="shared" si="38"/>
        <v>600</v>
      </c>
      <c r="GE15" s="40">
        <f t="shared" si="39"/>
        <v>600</v>
      </c>
      <c r="GF15" s="41" t="b">
        <f t="shared" si="8"/>
        <v>1</v>
      </c>
      <c r="GH15" s="29">
        <f t="shared" si="40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1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31">
        <f>GR$41/Buckets_3_24[[#Totals],[NC To Fill]]*Buckets_3_24[[#This Row],[NC To Fill]]</f>
        <v>0</v>
      </c>
      <c r="GU15" s="31">
        <f>Buckets_3_24[[#This Row],[Crit Filled]]+Buckets_3_24[[#This Row],[Scaled]]</f>
        <v>600</v>
      </c>
      <c r="GV15" s="31">
        <f>Buckets_3_24[[#This Row],[NC Filled]]</f>
        <v>600</v>
      </c>
      <c r="GW15" s="31">
        <f>Buckets_3_24[[#This Row],[Capacity]]-Buckets_3_24[[#This Row],[Final]]</f>
        <v>0</v>
      </c>
      <c r="GX15" s="33">
        <f>IF(Buckets_3_24[[#This Row],[Capacity]]=0, 1, Buckets_3_24[[#This Row],[Final]]/Buckets_3_24[[#This Row],[Capacity]])</f>
        <v>1</v>
      </c>
      <c r="GZ15" s="40">
        <f>Buckets_3_24[[#This Row],[Final]]</f>
        <v>600</v>
      </c>
      <c r="HA15" s="40">
        <f>Buckets_3_24[[#This Row],[Capacity]]</f>
        <v>600</v>
      </c>
      <c r="HB15" s="41" t="b">
        <f t="shared" si="42"/>
        <v>1</v>
      </c>
      <c r="HC15" s="42"/>
      <c r="HD15" s="42"/>
      <c r="HE15" s="42"/>
      <c r="HF15" s="42"/>
      <c r="HG15" s="43"/>
      <c r="HH15" s="40">
        <f t="shared" si="43"/>
        <v>600</v>
      </c>
      <c r="HI15" s="40">
        <f t="shared" si="44"/>
        <v>600</v>
      </c>
      <c r="HJ15" s="41" t="b">
        <f t="shared" si="9"/>
        <v>1</v>
      </c>
      <c r="HL15" s="29">
        <f t="shared" si="45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6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31">
        <f>HV$41/Buckets_4_24[[#Totals],[NC To Fill]]*Buckets_4_24[[#This Row],[NC To Fill]]</f>
        <v>0</v>
      </c>
      <c r="HY15" s="31">
        <f>Buckets_4_24[[#This Row],[Crit Filled]]+Buckets_4_24[[#This Row],[Scaled]]</f>
        <v>600</v>
      </c>
      <c r="HZ15" s="31">
        <f>Buckets_4_24[[#This Row],[NC Filled]]</f>
        <v>600</v>
      </c>
      <c r="IA15" s="31">
        <f>Buckets_4_24[[#This Row],[Capacity]]-Buckets_4_24[[#This Row],[Final]]</f>
        <v>0</v>
      </c>
      <c r="IB15" s="33">
        <f>IF(Buckets_4_24[[#This Row],[Capacity]]=0, 1, Buckets_4_24[[#This Row],[Final]]/Buckets_4_24[[#This Row],[Capacity]])</f>
        <v>1</v>
      </c>
      <c r="ID15" s="40">
        <f>Buckets_4_24[[#This Row],[Final]]</f>
        <v>600</v>
      </c>
      <c r="IE15" s="40">
        <f>Buckets_4_24[[#This Row],[Capacity]]</f>
        <v>600</v>
      </c>
      <c r="IF15" s="41" t="b">
        <f t="shared" si="47"/>
        <v>1</v>
      </c>
      <c r="IG15" s="42"/>
      <c r="IH15" s="42"/>
      <c r="II15" s="42"/>
      <c r="IJ15" s="42"/>
      <c r="IK15" s="43"/>
      <c r="IL15" s="40">
        <f t="shared" si="48"/>
        <v>600</v>
      </c>
      <c r="IM15" s="40">
        <f t="shared" si="49"/>
        <v>600</v>
      </c>
      <c r="IN15" s="41" t="b">
        <f t="shared" si="10"/>
        <v>1</v>
      </c>
    </row>
    <row r="16" spans="1:24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8">
        <v>600</v>
      </c>
      <c r="H16" t="b">
        <v>0</v>
      </c>
      <c r="J16" s="29">
        <f t="shared" si="11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2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 t="shared" si="13"/>
        <v>600</v>
      </c>
      <c r="AD16" t="b">
        <f t="shared" si="14"/>
        <v>0</v>
      </c>
      <c r="AE16" s="43" t="e">
        <f>NA()</f>
        <v>#N/A</v>
      </c>
      <c r="AF16" s="42"/>
      <c r="AG16" s="43" t="e">
        <f>NA()</f>
        <v>#N/A</v>
      </c>
      <c r="AH16" s="42"/>
      <c r="AI16" s="43"/>
      <c r="AJ16" s="31">
        <f t="shared" si="15"/>
        <v>534.29629883609482</v>
      </c>
      <c r="AK16" s="31">
        <f t="shared" si="16"/>
        <v>600</v>
      </c>
      <c r="AL16" t="b">
        <f t="shared" si="17"/>
        <v>0</v>
      </c>
      <c r="AN16" s="29">
        <f t="shared" si="18"/>
        <v>534.29629883609482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82.826298836094907</v>
      </c>
      <c r="AQ16" s="29">
        <f t="shared" si="19"/>
        <v>600</v>
      </c>
      <c r="AR16" s="29">
        <f>Buckets_10_23[[#This Row],[Capacity]]-Buckets_10_23[[#This Row],[After T]]</f>
        <v>517.17370116390509</v>
      </c>
      <c r="AS16" s="29">
        <f>MAX(-Buckets_10_23[[#This Row],[Cap Diff]], 0)</f>
        <v>0</v>
      </c>
      <c r="AT16" s="29">
        <f>Buckets_10_23[[#This Row],[After T]]-Buckets_10_23[[#This Row],[Slush]]</f>
        <v>82.826298836094907</v>
      </c>
      <c r="AU16" s="29">
        <f>Buckets_10_23[[#This Row],[Capacity]]-Buckets_10_23[[#This Row],[Before Fill]]</f>
        <v>517.17370116390509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82.826298836094907</v>
      </c>
      <c r="AY16" s="29">
        <f>IF(NOT(Buckets_10_23[[#This Row],[Is Crit]]), Buckets_10_23[[#This Row],[S Cap Diff]], 0)</f>
        <v>517.17370116390509</v>
      </c>
      <c r="AZ16" s="31">
        <f>AX$41/Buckets_10_23[[#Totals],[NC To Fill]]*Buckets_10_23[[#This Row],[NC To Fill]]</f>
        <v>307.18687246048705</v>
      </c>
      <c r="BA16" s="31">
        <f>Buckets_10_23[[#This Row],[Crit Filled]]+Buckets_10_23[[#This Row],[Scaled]]</f>
        <v>390.01317129658196</v>
      </c>
      <c r="BB16" s="31">
        <f>Buckets_10_23[[#This Row],[NC Filled]]</f>
        <v>390.01317129658196</v>
      </c>
      <c r="BC16" s="31">
        <f>Buckets_10_23[[#This Row],[Capacity]]-Buckets_10_23[[#This Row],[Final]]</f>
        <v>209.98682870341804</v>
      </c>
      <c r="BD16" s="33">
        <f>IF(Buckets_10_23[[#This Row],[Capacity]]=0, 1, Buckets_10_23[[#This Row],[Final]]/Buckets_10_23[[#This Row],[Capacity]])</f>
        <v>0.65002195216096992</v>
      </c>
      <c r="BF16" s="31">
        <f>Buckets_10_23[[#This Row],[Final]]</f>
        <v>390.01317129658196</v>
      </c>
      <c r="BG16" s="31">
        <f>Buckets_10_23[[#This Row],[Capacity]]</f>
        <v>600</v>
      </c>
      <c r="BH16" t="b">
        <f t="shared" si="20"/>
        <v>0</v>
      </c>
      <c r="BI16" s="43" t="e">
        <f>NA()</f>
        <v>#N/A</v>
      </c>
      <c r="BJ16" s="42"/>
      <c r="BK16" s="43" t="e">
        <f>NA()</f>
        <v>#N/A</v>
      </c>
      <c r="BL16" s="42"/>
      <c r="BM16" s="43"/>
      <c r="BN16" s="31">
        <f t="shared" si="21"/>
        <v>390.01317129658196</v>
      </c>
      <c r="BO16" s="31">
        <f t="shared" si="1"/>
        <v>600</v>
      </c>
      <c r="BP16" t="b">
        <f t="shared" si="2"/>
        <v>0</v>
      </c>
      <c r="BR16" s="29">
        <f t="shared" si="22"/>
        <v>390.01317129658196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190.64317129658193</v>
      </c>
      <c r="BU16" s="29">
        <f t="shared" si="23"/>
        <v>600</v>
      </c>
      <c r="BV16" s="29">
        <f>Buckets_11_23[[#This Row],[Capacity]]-Buckets_11_23[[#This Row],[After T]]</f>
        <v>409.35682870341805</v>
      </c>
      <c r="BW16" s="29">
        <f>MAX(-Buckets_11_23[[#This Row],[Cap Diff]], 0)</f>
        <v>0</v>
      </c>
      <c r="BX16" s="29">
        <f>Buckets_11_23[[#This Row],[After T]]-Buckets_11_23[[#This Row],[Slush]]</f>
        <v>190.64317129658193</v>
      </c>
      <c r="BY16" s="29">
        <f>Buckets_11_23[[#This Row],[Capacity]]-Buckets_11_23[[#This Row],[Before Fill]]</f>
        <v>409.35682870341805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190.64317129658193</v>
      </c>
      <c r="CC16" s="29">
        <f>IF(NOT(Buckets_11_23[[#This Row],[Is Crit]]), Buckets_11_23[[#This Row],[S Cap Diff]], 0)</f>
        <v>409.35682870341805</v>
      </c>
      <c r="CD16" s="31">
        <f>CB$41/Buckets_11_23[[#Totals],[NC To Fill]]*Buckets_11_23[[#This Row],[NC To Fill]]</f>
        <v>403.70894939581939</v>
      </c>
      <c r="CE16" s="31">
        <f>Buckets_11_23[[#This Row],[Crit Filled]]+Buckets_11_23[[#This Row],[Scaled]]</f>
        <v>594.35212069240129</v>
      </c>
      <c r="CF16" s="31">
        <f>Buckets_11_23[[#This Row],[NC Filled]]</f>
        <v>594.35212069240129</v>
      </c>
      <c r="CG16" s="31">
        <f>Buckets_11_23[[#This Row],[Capacity]]-Buckets_11_23[[#This Row],[Final]]</f>
        <v>5.6478793075987141</v>
      </c>
      <c r="CH16" s="33">
        <f>IF(Buckets_11_23[[#This Row],[Capacity]]=0, 1, Buckets_11_23[[#This Row],[Final]]/Buckets_11_23[[#This Row],[Capacity]])</f>
        <v>0.99058686782066885</v>
      </c>
      <c r="CJ16" s="40">
        <f>Buckets_11_23[[#This Row],[Final]]</f>
        <v>594.35212069240129</v>
      </c>
      <c r="CK16" s="40">
        <f>Buckets_11_23[[#This Row],[Capacity]]</f>
        <v>600</v>
      </c>
      <c r="CL16" s="41" t="b">
        <f t="shared" si="24"/>
        <v>0</v>
      </c>
      <c r="CM16" s="42">
        <v>-300</v>
      </c>
      <c r="CN16" s="42"/>
      <c r="CO16" s="42" t="e">
        <f>NA()</f>
        <v>#N/A</v>
      </c>
      <c r="CP16" s="42"/>
      <c r="CQ16" s="43"/>
      <c r="CR16" s="40">
        <f t="shared" si="25"/>
        <v>294.35212069240129</v>
      </c>
      <c r="CS16" s="40">
        <f t="shared" si="3"/>
        <v>600</v>
      </c>
      <c r="CT16" s="41" t="b">
        <f t="shared" si="4"/>
        <v>0</v>
      </c>
      <c r="CV16" s="29">
        <f t="shared" si="26"/>
        <v>294.35212069240129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206.50212069240126</v>
      </c>
      <c r="CY16" s="29">
        <f t="shared" si="27"/>
        <v>600</v>
      </c>
      <c r="CZ16" s="29">
        <f>Buckets_12_23[[#This Row],[Capacity]]-Buckets_12_23[[#This Row],[After T]]</f>
        <v>393.49787930759874</v>
      </c>
      <c r="DA16" s="29">
        <f>MAX(-Buckets_12_23[[#This Row],[Cap Diff]], 0)</f>
        <v>0</v>
      </c>
      <c r="DB16" s="29">
        <f>Buckets_12_23[[#This Row],[After T]]-Buckets_12_23[[#This Row],[Slush]]</f>
        <v>206.50212069240126</v>
      </c>
      <c r="DC16" s="29">
        <f>Buckets_12_23[[#This Row],[Capacity]]-Buckets_12_23[[#This Row],[Before Fill]]</f>
        <v>393.49787930759874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206.50212069240126</v>
      </c>
      <c r="DG16" s="29">
        <f>IF(NOT(Buckets_12_23[[#This Row],[Is Crit]]), Buckets_12_23[[#This Row],[S Cap Diff]], 0)</f>
        <v>393.49787930759874</v>
      </c>
      <c r="DH16" s="31">
        <f>DF$41/Buckets_12_23[[#Totals],[NC To Fill]]*Buckets_12_23[[#This Row],[NC To Fill]]</f>
        <v>179.91512537164979</v>
      </c>
      <c r="DI16" s="31">
        <f>Buckets_12_23[[#This Row],[Crit Filled]]+Buckets_12_23[[#This Row],[Scaled]]</f>
        <v>386.41724606405103</v>
      </c>
      <c r="DJ16" s="31">
        <f>Buckets_12_23[[#This Row],[NC Filled]]</f>
        <v>386.41724606405103</v>
      </c>
      <c r="DK16" s="31">
        <f>Buckets_12_23[[#This Row],[Capacity]]-Buckets_12_23[[#This Row],[Final]]</f>
        <v>213.58275393594897</v>
      </c>
      <c r="DL16" s="33">
        <f>IF(Buckets_12_23[[#This Row],[Capacity]]=0, 1, Buckets_12_23[[#This Row],[Final]]/Buckets_12_23[[#This Row],[Capacity]])</f>
        <v>0.64402874344008509</v>
      </c>
      <c r="DN16" s="40">
        <f>Buckets_12_23[[#This Row],[Final]]</f>
        <v>386.41724606405103</v>
      </c>
      <c r="DO16" s="40">
        <f>Buckets_12_23[[#This Row],[Capacity]]</f>
        <v>600</v>
      </c>
      <c r="DP16" s="41" t="b">
        <f t="shared" si="28"/>
        <v>0</v>
      </c>
      <c r="DQ16" s="42"/>
      <c r="DR16" s="42"/>
      <c r="DS16" s="42" t="e">
        <f>NA()</f>
        <v>#N/A</v>
      </c>
      <c r="DT16" s="42"/>
      <c r="DU16" s="43"/>
      <c r="DV16" s="40">
        <f t="shared" si="29"/>
        <v>386.41724606405103</v>
      </c>
      <c r="DW16" s="40">
        <f t="shared" si="5"/>
        <v>600</v>
      </c>
      <c r="DX16" s="41" t="b">
        <f t="shared" si="6"/>
        <v>0</v>
      </c>
      <c r="DZ16" s="29">
        <f t="shared" si="30"/>
        <v>386.41724606405103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201.08724606405104</v>
      </c>
      <c r="EC16" s="29">
        <f t="shared" si="31"/>
        <v>600</v>
      </c>
      <c r="ED16" s="29">
        <f>Buckets_1_24[[#This Row],[Capacity]]-Buckets_1_24[[#This Row],[After T]]</f>
        <v>398.91275393594896</v>
      </c>
      <c r="EE16" s="29">
        <f>MAX(-Buckets_1_24[[#This Row],[Cap Diff]], 0)</f>
        <v>0</v>
      </c>
      <c r="EF16" s="29">
        <f>Buckets_1_24[[#This Row],[After T]]-Buckets_1_24[[#This Row],[Slush]]</f>
        <v>201.08724606405104</v>
      </c>
      <c r="EG16" s="29">
        <f>Buckets_1_24[[#This Row],[Capacity]]-Buckets_1_24[[#This Row],[Before Fill]]</f>
        <v>398.91275393594896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201.08724606405104</v>
      </c>
      <c r="EK16" s="29">
        <f>IF(NOT(Buckets_1_24[[#This Row],[Is Crit]]), Buckets_1_24[[#This Row],[S Cap Diff]], 0)</f>
        <v>398.91275393594896</v>
      </c>
      <c r="EL16" s="31">
        <f>EJ$41/Buckets_1_24[[#Totals],[NC To Fill]]*Buckets_1_24[[#This Row],[NC To Fill]]</f>
        <v>244.92940726368221</v>
      </c>
      <c r="EM16" s="31">
        <f>Buckets_1_24[[#This Row],[Crit Filled]]+Buckets_1_24[[#This Row],[Scaled]]</f>
        <v>446.01665332773325</v>
      </c>
      <c r="EN16" s="31">
        <f>Buckets_1_24[[#This Row],[NC Filled]]</f>
        <v>446.01665332773325</v>
      </c>
      <c r="EO16" s="31">
        <f>Buckets_1_24[[#This Row],[Capacity]]-Buckets_1_24[[#This Row],[Final]]</f>
        <v>153.98334667226675</v>
      </c>
      <c r="EP16" s="33">
        <f>IF(Buckets_1_24[[#This Row],[Capacity]]=0, 1, Buckets_1_24[[#This Row],[Final]]/Buckets_1_24[[#This Row],[Capacity]])</f>
        <v>0.74336108887955543</v>
      </c>
      <c r="ER16" s="40">
        <f>Buckets_1_24[[#This Row],[Final]]</f>
        <v>446.01665332773325</v>
      </c>
      <c r="ES16" s="40">
        <f>Buckets_1_24[[#This Row],[Capacity]]</f>
        <v>600</v>
      </c>
      <c r="ET16" s="41" t="b">
        <f t="shared" si="32"/>
        <v>0</v>
      </c>
      <c r="EU16" s="42"/>
      <c r="EV16" s="42"/>
      <c r="EW16" s="42"/>
      <c r="EX16" s="42"/>
      <c r="EY16" s="43"/>
      <c r="EZ16" s="40">
        <f t="shared" si="33"/>
        <v>446.01665332773325</v>
      </c>
      <c r="FA16" s="40">
        <f t="shared" si="34"/>
        <v>600</v>
      </c>
      <c r="FB16" s="41" t="b">
        <f t="shared" si="7"/>
        <v>0</v>
      </c>
      <c r="FD16" s="29">
        <f t="shared" si="35"/>
        <v>446.01665332773325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409.55665332773327</v>
      </c>
      <c r="FG16" s="29">
        <f t="shared" si="36"/>
        <v>600</v>
      </c>
      <c r="FH16" s="29">
        <f>Buckets_2_24[[#This Row],[Capacity]]-Buckets_2_24[[#This Row],[After T]]</f>
        <v>190.44334667226673</v>
      </c>
      <c r="FI16" s="29">
        <f>MAX(-Buckets_2_24[[#This Row],[Cap Diff]], 0)</f>
        <v>0</v>
      </c>
      <c r="FJ16" s="29">
        <f>Buckets_2_24[[#This Row],[After T]]-Buckets_2_24[[#This Row],[Slush]]</f>
        <v>409.55665332773327</v>
      </c>
      <c r="FK16" s="29">
        <f>Buckets_2_24[[#This Row],[Capacity]]-Buckets_2_24[[#This Row],[Before Fill]]</f>
        <v>190.44334667226673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409.55665332773327</v>
      </c>
      <c r="FO16" s="29">
        <f>IF(NOT(Buckets_2_24[[#This Row],[Is Crit]]), Buckets_2_24[[#This Row],[S Cap Diff]], 0)</f>
        <v>190.44334667226673</v>
      </c>
      <c r="FP16" s="31">
        <f>FN$41/Buckets_2_24[[#Totals],[NC To Fill]]*Buckets_2_24[[#This Row],[NC To Fill]]</f>
        <v>183.46278539055004</v>
      </c>
      <c r="FQ16" s="31">
        <f>Buckets_2_24[[#This Row],[Crit Filled]]+Buckets_2_24[[#This Row],[Scaled]]</f>
        <v>593.01943871828325</v>
      </c>
      <c r="FR16" s="31">
        <f>Buckets_2_24[[#This Row],[NC Filled]]</f>
        <v>593.01943871828325</v>
      </c>
      <c r="FS16" s="31">
        <f>Buckets_2_24[[#This Row],[Capacity]]-Buckets_2_24[[#This Row],[Final]]</f>
        <v>6.9805612817167457</v>
      </c>
      <c r="FT16" s="33">
        <f>IF(Buckets_2_24[[#This Row],[Capacity]]=0, 1, Buckets_2_24[[#This Row],[Final]]/Buckets_2_24[[#This Row],[Capacity]])</f>
        <v>0.98836573119713877</v>
      </c>
      <c r="FV16" s="40">
        <f>Buckets_2_24[[#This Row],[Final]]</f>
        <v>593.01943871828325</v>
      </c>
      <c r="FW16" s="40">
        <f>Buckets_2_24[[#This Row],[Capacity]]</f>
        <v>600</v>
      </c>
      <c r="FX16" s="41" t="b">
        <f t="shared" si="37"/>
        <v>0</v>
      </c>
      <c r="FY16" s="42"/>
      <c r="FZ16" s="42"/>
      <c r="GA16" s="42"/>
      <c r="GB16" s="42"/>
      <c r="GC16" s="43"/>
      <c r="GD16" s="40">
        <f t="shared" si="38"/>
        <v>593.01943871828325</v>
      </c>
      <c r="GE16" s="40">
        <f t="shared" si="39"/>
        <v>600</v>
      </c>
      <c r="GF16" s="41" t="b">
        <f t="shared" si="8"/>
        <v>0</v>
      </c>
      <c r="GH16" s="29">
        <f t="shared" si="40"/>
        <v>593.01943871828325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479.07943871828326</v>
      </c>
      <c r="GK16" s="29">
        <f t="shared" si="41"/>
        <v>600</v>
      </c>
      <c r="GL16" s="29">
        <f>Buckets_3_24[[#This Row],[Capacity]]-Buckets_3_24[[#This Row],[After T]]</f>
        <v>120.92056128171674</v>
      </c>
      <c r="GM16" s="29">
        <f>MAX(-Buckets_3_24[[#This Row],[Cap Diff]], 0)</f>
        <v>0</v>
      </c>
      <c r="GN16" s="29">
        <f>Buckets_3_24[[#This Row],[After T]]-Buckets_3_24[[#This Row],[Slush]]</f>
        <v>479.07943871828326</v>
      </c>
      <c r="GO16" s="29">
        <f>Buckets_3_24[[#This Row],[Capacity]]-Buckets_3_24[[#This Row],[Before Fill]]</f>
        <v>120.92056128171674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479.07943871828326</v>
      </c>
      <c r="GS16" s="29">
        <f>IF(NOT(Buckets_3_24[[#This Row],[Is Crit]]), Buckets_3_24[[#This Row],[S Cap Diff]], 0)</f>
        <v>120.92056128171674</v>
      </c>
      <c r="GT16" s="31">
        <f>GR$41/Buckets_3_24[[#Totals],[NC To Fill]]*Buckets_3_24[[#This Row],[NC To Fill]]</f>
        <v>117.44273940632218</v>
      </c>
      <c r="GU16" s="31">
        <f>Buckets_3_24[[#This Row],[Crit Filled]]+Buckets_3_24[[#This Row],[Scaled]]</f>
        <v>596.52217812460549</v>
      </c>
      <c r="GV16" s="31">
        <f>Buckets_3_24[[#This Row],[NC Filled]]</f>
        <v>596.52217812460549</v>
      </c>
      <c r="GW16" s="31">
        <f>Buckets_3_24[[#This Row],[Capacity]]-Buckets_3_24[[#This Row],[Final]]</f>
        <v>3.4778218753945112</v>
      </c>
      <c r="GX16" s="33">
        <f>IF(Buckets_3_24[[#This Row],[Capacity]]=0, 1, Buckets_3_24[[#This Row],[Final]]/Buckets_3_24[[#This Row],[Capacity]])</f>
        <v>0.99420363020767577</v>
      </c>
      <c r="GZ16" s="40">
        <f>Buckets_3_24[[#This Row],[Final]]</f>
        <v>596.52217812460549</v>
      </c>
      <c r="HA16" s="40">
        <f>Buckets_3_24[[#This Row],[Capacity]]</f>
        <v>600</v>
      </c>
      <c r="HB16" s="41" t="b">
        <f t="shared" si="42"/>
        <v>0</v>
      </c>
      <c r="HC16" s="42"/>
      <c r="HD16" s="42"/>
      <c r="HE16" s="42"/>
      <c r="HF16" s="42"/>
      <c r="HG16" s="43"/>
      <c r="HH16" s="40">
        <f t="shared" si="43"/>
        <v>596.52217812460549</v>
      </c>
      <c r="HI16" s="40">
        <f t="shared" si="44"/>
        <v>600</v>
      </c>
      <c r="HJ16" s="41" t="b">
        <f t="shared" si="9"/>
        <v>0</v>
      </c>
      <c r="HL16" s="29">
        <f t="shared" si="45"/>
        <v>596.52217812460549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434.3821781246055</v>
      </c>
      <c r="HO16" s="29">
        <f t="shared" si="46"/>
        <v>600</v>
      </c>
      <c r="HP16" s="29">
        <f>Buckets_4_24[[#This Row],[Capacity]]-Buckets_4_24[[#This Row],[After T]]</f>
        <v>165.6178218753945</v>
      </c>
      <c r="HQ16" s="29">
        <f>MAX(-Buckets_4_24[[#This Row],[Cap Diff]], 0)</f>
        <v>0</v>
      </c>
      <c r="HR16" s="29">
        <f>Buckets_4_24[[#This Row],[After T]]-Buckets_4_24[[#This Row],[Slush]]</f>
        <v>434.3821781246055</v>
      </c>
      <c r="HS16" s="29">
        <f>Buckets_4_24[[#This Row],[Capacity]]-Buckets_4_24[[#This Row],[Before Fill]]</f>
        <v>165.6178218753945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434.3821781246055</v>
      </c>
      <c r="HW16" s="29">
        <f>IF(NOT(Buckets_4_24[[#This Row],[Is Crit]]), Buckets_4_24[[#This Row],[S Cap Diff]], 0)</f>
        <v>165.6178218753945</v>
      </c>
      <c r="HX16" s="31">
        <f>HV$41/Buckets_4_24[[#Totals],[NC To Fill]]*Buckets_4_24[[#This Row],[NC To Fill]]</f>
        <v>108.078813000492</v>
      </c>
      <c r="HY16" s="31">
        <f>Buckets_4_24[[#This Row],[Crit Filled]]+Buckets_4_24[[#This Row],[Scaled]]</f>
        <v>542.46099112509751</v>
      </c>
      <c r="HZ16" s="31">
        <f>Buckets_4_24[[#This Row],[NC Filled]]</f>
        <v>542.46099112509751</v>
      </c>
      <c r="IA16" s="31">
        <f>Buckets_4_24[[#This Row],[Capacity]]-Buckets_4_24[[#This Row],[Final]]</f>
        <v>57.539008874902493</v>
      </c>
      <c r="IB16" s="33">
        <f>IF(Buckets_4_24[[#This Row],[Capacity]]=0, 1, Buckets_4_24[[#This Row],[Final]]/Buckets_4_24[[#This Row],[Capacity]])</f>
        <v>0.90410165187516256</v>
      </c>
      <c r="ID16" s="40">
        <f>Buckets_4_24[[#This Row],[Final]]</f>
        <v>542.46099112509751</v>
      </c>
      <c r="IE16" s="40">
        <f>Buckets_4_24[[#This Row],[Capacity]]</f>
        <v>600</v>
      </c>
      <c r="IF16" s="41" t="b">
        <f t="shared" si="47"/>
        <v>0</v>
      </c>
      <c r="IG16" s="42"/>
      <c r="IH16" s="42"/>
      <c r="II16" s="42"/>
      <c r="IJ16" s="42"/>
      <c r="IK16" s="43"/>
      <c r="IL16" s="40">
        <f t="shared" si="48"/>
        <v>542.46099112509751</v>
      </c>
      <c r="IM16" s="40">
        <f t="shared" si="49"/>
        <v>600</v>
      </c>
      <c r="IN16" s="41" t="b">
        <f t="shared" si="10"/>
        <v>0</v>
      </c>
    </row>
    <row r="17" spans="1:248" x14ac:dyDescent="0.25">
      <c r="A17" s="48"/>
      <c r="B17" t="s">
        <v>324</v>
      </c>
      <c r="C17" t="s">
        <v>293</v>
      </c>
      <c r="D17" t="s">
        <v>293</v>
      </c>
      <c r="F17" s="30">
        <v>1850</v>
      </c>
      <c r="G17" s="38">
        <v>2000</v>
      </c>
      <c r="H17" t="b">
        <v>1</v>
      </c>
      <c r="J17" s="29">
        <f t="shared" si="11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2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 t="shared" si="13"/>
        <v>2000</v>
      </c>
      <c r="AD17" t="b">
        <f t="shared" si="14"/>
        <v>1</v>
      </c>
      <c r="AE17" s="43" t="e">
        <f>NA()</f>
        <v>#N/A</v>
      </c>
      <c r="AF17" s="42"/>
      <c r="AG17" s="43" t="e">
        <f>NA()</f>
        <v>#N/A</v>
      </c>
      <c r="AH17" s="42"/>
      <c r="AI17" s="43"/>
      <c r="AJ17" s="31">
        <f t="shared" si="15"/>
        <v>2000</v>
      </c>
      <c r="AK17" s="31">
        <f t="shared" si="16"/>
        <v>2000</v>
      </c>
      <c r="AL17" t="b">
        <f t="shared" si="17"/>
        <v>1</v>
      </c>
      <c r="AN17" s="29">
        <f t="shared" si="18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19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31">
        <f>AX$41/Buckets_10_23[[#Totals],[NC To Fill]]*Buckets_10_23[[#This Row],[NC To Fill]]</f>
        <v>0</v>
      </c>
      <c r="BA17" s="31">
        <f>Buckets_10_23[[#This Row],[Crit Filled]]+Buckets_10_23[[#This Row],[Scaled]]</f>
        <v>2000</v>
      </c>
      <c r="BB17" s="31">
        <f>Buckets_10_23[[#This Row],[NC Filled]]</f>
        <v>2000</v>
      </c>
      <c r="BC17" s="31">
        <f>Buckets_10_23[[#This Row],[Capacity]]-Buckets_10_23[[#This Row],[Final]]</f>
        <v>0</v>
      </c>
      <c r="BD17" s="33">
        <f>IF(Buckets_10_23[[#This Row],[Capacity]]=0, 1, Buckets_10_23[[#This Row],[Final]]/Buckets_10_23[[#This Row],[Capacity]])</f>
        <v>1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0"/>
        <v>1</v>
      </c>
      <c r="BI17" s="43" t="e">
        <f>NA()</f>
        <v>#N/A</v>
      </c>
      <c r="BJ17" s="42"/>
      <c r="BK17" s="43" t="e">
        <f>NA()</f>
        <v>#N/A</v>
      </c>
      <c r="BL17" s="42"/>
      <c r="BM17" s="43"/>
      <c r="BN17" s="31">
        <f t="shared" si="21"/>
        <v>2000</v>
      </c>
      <c r="BO17" s="31">
        <f t="shared" si="1"/>
        <v>2000</v>
      </c>
      <c r="BP17" t="b">
        <f t="shared" si="2"/>
        <v>1</v>
      </c>
      <c r="BR17" s="29">
        <f t="shared" si="22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3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31">
        <f>CB$41/Buckets_11_23[[#Totals],[NC To Fill]]*Buckets_11_23[[#This Row],[NC To Fill]]</f>
        <v>0</v>
      </c>
      <c r="CE17" s="31">
        <f>Buckets_11_23[[#This Row],[Crit Filled]]+Buckets_11_23[[#This Row],[Scaled]]</f>
        <v>2000</v>
      </c>
      <c r="CF17" s="31">
        <f>Buckets_11_23[[#This Row],[NC Filled]]</f>
        <v>2000</v>
      </c>
      <c r="CG17" s="31">
        <f>Buckets_11_23[[#This Row],[Capacity]]-Buckets_11_23[[#This Row],[Final]]</f>
        <v>0</v>
      </c>
      <c r="CH17" s="33">
        <f>IF(Buckets_11_23[[#This Row],[Capacity]]=0, 1, Buckets_11_23[[#This Row],[Final]]/Buckets_11_23[[#This Row],[Capacity]])</f>
        <v>1</v>
      </c>
      <c r="CJ17" s="40">
        <f>Buckets_11_23[[#This Row],[Final]]</f>
        <v>2000</v>
      </c>
      <c r="CK17" s="40">
        <f>Buckets_11_23[[#This Row],[Capacity]]</f>
        <v>2000</v>
      </c>
      <c r="CL17" s="41" t="b">
        <f t="shared" si="24"/>
        <v>1</v>
      </c>
      <c r="CM17" s="42"/>
      <c r="CN17" s="42"/>
      <c r="CO17" s="42" t="e">
        <f>NA()</f>
        <v>#N/A</v>
      </c>
      <c r="CP17" s="42">
        <v>2500</v>
      </c>
      <c r="CQ17" s="43"/>
      <c r="CR17" s="40">
        <f t="shared" si="25"/>
        <v>2000</v>
      </c>
      <c r="CS17" s="40">
        <f t="shared" si="3"/>
        <v>2500</v>
      </c>
      <c r="CT17" s="41" t="b">
        <f t="shared" si="4"/>
        <v>1</v>
      </c>
      <c r="CV17" s="29">
        <f t="shared" si="26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7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31">
        <f>DF$41/Buckets_12_23[[#Totals],[NC To Fill]]*Buckets_12_23[[#This Row],[NC To Fill]]</f>
        <v>0</v>
      </c>
      <c r="DI17" s="31">
        <f>Buckets_12_23[[#This Row],[Crit Filled]]+Buckets_12_23[[#This Row],[Scaled]]</f>
        <v>2500</v>
      </c>
      <c r="DJ17" s="31">
        <f>Buckets_12_23[[#This Row],[NC Filled]]</f>
        <v>2500</v>
      </c>
      <c r="DK17" s="31">
        <f>Buckets_12_23[[#This Row],[Capacity]]-Buckets_12_23[[#This Row],[Final]]</f>
        <v>0</v>
      </c>
      <c r="DL17" s="33">
        <f>IF(Buckets_12_23[[#This Row],[Capacity]]=0, 1, Buckets_12_23[[#This Row],[Final]]/Buckets_12_23[[#This Row],[Capacity]])</f>
        <v>1</v>
      </c>
      <c r="DN17" s="40">
        <f>Buckets_12_23[[#This Row],[Final]]</f>
        <v>2500</v>
      </c>
      <c r="DO17" s="40">
        <f>Buckets_12_23[[#This Row],[Capacity]]</f>
        <v>2500</v>
      </c>
      <c r="DP17" s="41" t="b">
        <f t="shared" si="28"/>
        <v>1</v>
      </c>
      <c r="DQ17" s="42"/>
      <c r="DR17" s="42"/>
      <c r="DS17" s="42" t="e">
        <f>NA()</f>
        <v>#N/A</v>
      </c>
      <c r="DT17" s="42"/>
      <c r="DU17" s="43"/>
      <c r="DV17" s="40">
        <f t="shared" si="29"/>
        <v>2500</v>
      </c>
      <c r="DW17" s="40">
        <f t="shared" si="5"/>
        <v>2500</v>
      </c>
      <c r="DX17" s="41" t="b">
        <f t="shared" si="6"/>
        <v>1</v>
      </c>
      <c r="DZ17" s="29">
        <f t="shared" si="30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1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31">
        <f>EJ$41/Buckets_1_24[[#Totals],[NC To Fill]]*Buckets_1_24[[#This Row],[NC To Fill]]</f>
        <v>0</v>
      </c>
      <c r="EM17" s="31">
        <f>Buckets_1_24[[#This Row],[Crit Filled]]+Buckets_1_24[[#This Row],[Scaled]]</f>
        <v>2500</v>
      </c>
      <c r="EN17" s="31">
        <f>Buckets_1_24[[#This Row],[NC Filled]]</f>
        <v>2500</v>
      </c>
      <c r="EO17" s="31">
        <f>Buckets_1_24[[#This Row],[Capacity]]-Buckets_1_24[[#This Row],[Final]]</f>
        <v>0</v>
      </c>
      <c r="EP17" s="33">
        <f>IF(Buckets_1_24[[#This Row],[Capacity]]=0, 1, Buckets_1_24[[#This Row],[Final]]/Buckets_1_24[[#This Row],[Capacity]])</f>
        <v>1</v>
      </c>
      <c r="ER17" s="40">
        <f>Buckets_1_24[[#This Row],[Final]]</f>
        <v>2500</v>
      </c>
      <c r="ES17" s="40">
        <f>Buckets_1_24[[#This Row],[Capacity]]</f>
        <v>2500</v>
      </c>
      <c r="ET17" s="41" t="b">
        <f t="shared" si="32"/>
        <v>1</v>
      </c>
      <c r="EU17" s="42"/>
      <c r="EV17" s="42"/>
      <c r="EW17" s="42"/>
      <c r="EX17" s="42"/>
      <c r="EY17" s="43"/>
      <c r="EZ17" s="40">
        <f t="shared" si="33"/>
        <v>2500</v>
      </c>
      <c r="FA17" s="40">
        <f t="shared" si="34"/>
        <v>2500</v>
      </c>
      <c r="FB17" s="41" t="b">
        <f t="shared" si="7"/>
        <v>1</v>
      </c>
      <c r="FD17" s="29">
        <f t="shared" si="35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6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31">
        <f>FN$41/Buckets_2_24[[#Totals],[NC To Fill]]*Buckets_2_24[[#This Row],[NC To Fill]]</f>
        <v>0</v>
      </c>
      <c r="FQ17" s="31">
        <f>Buckets_2_24[[#This Row],[Crit Filled]]+Buckets_2_24[[#This Row],[Scaled]]</f>
        <v>2500</v>
      </c>
      <c r="FR17" s="31">
        <f>Buckets_2_24[[#This Row],[NC Filled]]</f>
        <v>2500</v>
      </c>
      <c r="FS17" s="31">
        <f>Buckets_2_24[[#This Row],[Capacity]]-Buckets_2_24[[#This Row],[Final]]</f>
        <v>0</v>
      </c>
      <c r="FT17" s="33">
        <f>IF(Buckets_2_24[[#This Row],[Capacity]]=0, 1, Buckets_2_24[[#This Row],[Final]]/Buckets_2_24[[#This Row],[Capacity]])</f>
        <v>1</v>
      </c>
      <c r="FV17" s="40">
        <f>Buckets_2_24[[#This Row],[Final]]</f>
        <v>2500</v>
      </c>
      <c r="FW17" s="40">
        <f>Buckets_2_24[[#This Row],[Capacity]]</f>
        <v>2500</v>
      </c>
      <c r="FX17" s="41" t="b">
        <f t="shared" si="37"/>
        <v>1</v>
      </c>
      <c r="FY17" s="42"/>
      <c r="FZ17" s="42"/>
      <c r="GA17" s="42"/>
      <c r="GB17" s="42"/>
      <c r="GC17" s="43"/>
      <c r="GD17" s="40">
        <f t="shared" si="38"/>
        <v>2500</v>
      </c>
      <c r="GE17" s="40">
        <f t="shared" si="39"/>
        <v>2500</v>
      </c>
      <c r="GF17" s="41" t="b">
        <f t="shared" si="8"/>
        <v>1</v>
      </c>
      <c r="GH17" s="29">
        <f t="shared" si="40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1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31">
        <f>GR$41/Buckets_3_24[[#Totals],[NC To Fill]]*Buckets_3_24[[#This Row],[NC To Fill]]</f>
        <v>0</v>
      </c>
      <c r="GU17" s="31">
        <f>Buckets_3_24[[#This Row],[Crit Filled]]+Buckets_3_24[[#This Row],[Scaled]]</f>
        <v>2500</v>
      </c>
      <c r="GV17" s="31">
        <f>Buckets_3_24[[#This Row],[NC Filled]]</f>
        <v>2500</v>
      </c>
      <c r="GW17" s="31">
        <f>Buckets_3_24[[#This Row],[Capacity]]-Buckets_3_24[[#This Row],[Final]]</f>
        <v>0</v>
      </c>
      <c r="GX17" s="33">
        <f>IF(Buckets_3_24[[#This Row],[Capacity]]=0, 1, Buckets_3_24[[#This Row],[Final]]/Buckets_3_24[[#This Row],[Capacity]])</f>
        <v>1</v>
      </c>
      <c r="GZ17" s="40">
        <f>Buckets_3_24[[#This Row],[Final]]</f>
        <v>2500</v>
      </c>
      <c r="HA17" s="40">
        <f>Buckets_3_24[[#This Row],[Capacity]]</f>
        <v>2500</v>
      </c>
      <c r="HB17" s="41" t="b">
        <f t="shared" si="42"/>
        <v>1</v>
      </c>
      <c r="HC17" s="42"/>
      <c r="HD17" s="42"/>
      <c r="HE17" s="42"/>
      <c r="HF17" s="42"/>
      <c r="HG17" s="43"/>
      <c r="HH17" s="40">
        <f t="shared" si="43"/>
        <v>2500</v>
      </c>
      <c r="HI17" s="40">
        <f t="shared" si="44"/>
        <v>2500</v>
      </c>
      <c r="HJ17" s="41" t="b">
        <f t="shared" si="9"/>
        <v>1</v>
      </c>
      <c r="HL17" s="29">
        <f t="shared" si="45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6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31">
        <f>HV$41/Buckets_4_24[[#Totals],[NC To Fill]]*Buckets_4_24[[#This Row],[NC To Fill]]</f>
        <v>0</v>
      </c>
      <c r="HY17" s="31">
        <f>Buckets_4_24[[#This Row],[Crit Filled]]+Buckets_4_24[[#This Row],[Scaled]]</f>
        <v>2500</v>
      </c>
      <c r="HZ17" s="31">
        <f>Buckets_4_24[[#This Row],[NC Filled]]</f>
        <v>2500</v>
      </c>
      <c r="IA17" s="31">
        <f>Buckets_4_24[[#This Row],[Capacity]]-Buckets_4_24[[#This Row],[Final]]</f>
        <v>0</v>
      </c>
      <c r="IB17" s="33">
        <f>IF(Buckets_4_24[[#This Row],[Capacity]]=0, 1, Buckets_4_24[[#This Row],[Final]]/Buckets_4_24[[#This Row],[Capacity]])</f>
        <v>1</v>
      </c>
      <c r="ID17" s="40">
        <f>Buckets_4_24[[#This Row],[Final]]</f>
        <v>2500</v>
      </c>
      <c r="IE17" s="40">
        <f>Buckets_4_24[[#This Row],[Capacity]]</f>
        <v>2500</v>
      </c>
      <c r="IF17" s="41" t="b">
        <f t="shared" si="47"/>
        <v>1</v>
      </c>
      <c r="IG17" s="42"/>
      <c r="IH17" s="42"/>
      <c r="II17" s="42"/>
      <c r="IJ17" s="42"/>
      <c r="IK17" s="43"/>
      <c r="IL17" s="40">
        <f t="shared" si="48"/>
        <v>2500</v>
      </c>
      <c r="IM17" s="40">
        <f t="shared" si="49"/>
        <v>2500</v>
      </c>
      <c r="IN17" s="41" t="b">
        <f t="shared" si="10"/>
        <v>1</v>
      </c>
    </row>
    <row r="18" spans="1:24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8">
        <v>200</v>
      </c>
      <c r="H18" t="b">
        <v>1</v>
      </c>
      <c r="J18" s="29">
        <f t="shared" si="11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2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 t="shared" si="13"/>
        <v>200</v>
      </c>
      <c r="AD18" t="b">
        <f t="shared" si="14"/>
        <v>1</v>
      </c>
      <c r="AE18" s="43" t="e">
        <f>NA()</f>
        <v>#N/A</v>
      </c>
      <c r="AF18" s="42"/>
      <c r="AG18" s="43" t="e">
        <f>NA()</f>
        <v>#N/A</v>
      </c>
      <c r="AH18" s="42"/>
      <c r="AI18" s="43"/>
      <c r="AJ18" s="31">
        <f t="shared" si="15"/>
        <v>200</v>
      </c>
      <c r="AK18" s="31">
        <f t="shared" si="16"/>
        <v>200</v>
      </c>
      <c r="AL18" t="b">
        <f t="shared" si="17"/>
        <v>1</v>
      </c>
      <c r="AN18" s="29">
        <f t="shared" si="18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19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31">
        <f>AX$41/Buckets_10_23[[#Totals],[NC To Fill]]*Buckets_10_23[[#This Row],[NC To Fill]]</f>
        <v>0</v>
      </c>
      <c r="BA18" s="31">
        <f>Buckets_10_23[[#This Row],[Crit Filled]]+Buckets_10_23[[#This Row],[Scaled]]</f>
        <v>200</v>
      </c>
      <c r="BB18" s="31">
        <f>Buckets_10_23[[#This Row],[NC Filled]]</f>
        <v>200</v>
      </c>
      <c r="BC18" s="31">
        <f>Buckets_10_23[[#This Row],[Capacity]]-Buckets_10_23[[#This Row],[Final]]</f>
        <v>0</v>
      </c>
      <c r="BD18" s="33">
        <f>IF(Buckets_10_23[[#This Row],[Capacity]]=0, 1, Buckets_10_23[[#This Row],[Final]]/Buckets_10_23[[#This Row],[Capacity]])</f>
        <v>1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0"/>
        <v>1</v>
      </c>
      <c r="BI18" s="43" t="e">
        <f>NA()</f>
        <v>#N/A</v>
      </c>
      <c r="BJ18" s="42"/>
      <c r="BK18" s="43" t="e">
        <f>NA()</f>
        <v>#N/A</v>
      </c>
      <c r="BL18" s="42"/>
      <c r="BM18" s="43"/>
      <c r="BN18" s="31">
        <f t="shared" si="21"/>
        <v>200</v>
      </c>
      <c r="BO18" s="31">
        <f t="shared" si="1"/>
        <v>200</v>
      </c>
      <c r="BP18" t="b">
        <f t="shared" si="2"/>
        <v>1</v>
      </c>
      <c r="BR18" s="29">
        <f t="shared" si="22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3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31">
        <f>CB$41/Buckets_11_23[[#Totals],[NC To Fill]]*Buckets_11_23[[#This Row],[NC To Fill]]</f>
        <v>0</v>
      </c>
      <c r="CE18" s="31">
        <f>Buckets_11_23[[#This Row],[Crit Filled]]+Buckets_11_23[[#This Row],[Scaled]]</f>
        <v>200</v>
      </c>
      <c r="CF18" s="31">
        <f>Buckets_11_23[[#This Row],[NC Filled]]</f>
        <v>200</v>
      </c>
      <c r="CG18" s="31">
        <f>Buckets_11_23[[#This Row],[Capacity]]-Buckets_11_23[[#This Row],[Final]]</f>
        <v>0</v>
      </c>
      <c r="CH18" s="33">
        <f>IF(Buckets_11_23[[#This Row],[Capacity]]=0, 1, Buckets_11_23[[#This Row],[Final]]/Buckets_11_23[[#This Row],[Capacity]])</f>
        <v>1</v>
      </c>
      <c r="CJ18" s="40">
        <f>Buckets_11_23[[#This Row],[Final]]</f>
        <v>200</v>
      </c>
      <c r="CK18" s="40">
        <f>Buckets_11_23[[#This Row],[Capacity]]</f>
        <v>200</v>
      </c>
      <c r="CL18" s="41" t="b">
        <f t="shared" si="24"/>
        <v>1</v>
      </c>
      <c r="CM18" s="42"/>
      <c r="CN18" s="42"/>
      <c r="CO18" s="42" t="e">
        <f>NA()</f>
        <v>#N/A</v>
      </c>
      <c r="CP18" s="42">
        <v>300</v>
      </c>
      <c r="CQ18" s="43"/>
      <c r="CR18" s="40">
        <f t="shared" si="25"/>
        <v>200</v>
      </c>
      <c r="CS18" s="40">
        <f t="shared" si="3"/>
        <v>300</v>
      </c>
      <c r="CT18" s="41" t="b">
        <f t="shared" si="4"/>
        <v>1</v>
      </c>
      <c r="CV18" s="29">
        <f t="shared" si="26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7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31">
        <f>DF$41/Buckets_12_23[[#Totals],[NC To Fill]]*Buckets_12_23[[#This Row],[NC To Fill]]</f>
        <v>0</v>
      </c>
      <c r="DI18" s="31">
        <f>Buckets_12_23[[#This Row],[Crit Filled]]+Buckets_12_23[[#This Row],[Scaled]]</f>
        <v>300</v>
      </c>
      <c r="DJ18" s="31">
        <f>Buckets_12_23[[#This Row],[NC Filled]]</f>
        <v>300</v>
      </c>
      <c r="DK18" s="31">
        <f>Buckets_12_23[[#This Row],[Capacity]]-Buckets_12_23[[#This Row],[Final]]</f>
        <v>0</v>
      </c>
      <c r="DL18" s="33">
        <f>IF(Buckets_12_23[[#This Row],[Capacity]]=0, 1, Buckets_12_23[[#This Row],[Final]]/Buckets_12_23[[#This Row],[Capacity]])</f>
        <v>1</v>
      </c>
      <c r="DN18" s="40">
        <f>Buckets_12_23[[#This Row],[Final]]</f>
        <v>300</v>
      </c>
      <c r="DO18" s="40">
        <f>Buckets_12_23[[#This Row],[Capacity]]</f>
        <v>300</v>
      </c>
      <c r="DP18" s="41" t="b">
        <f t="shared" si="28"/>
        <v>1</v>
      </c>
      <c r="DQ18" s="42"/>
      <c r="DR18" s="42"/>
      <c r="DS18" s="42" t="e">
        <f>NA()</f>
        <v>#N/A</v>
      </c>
      <c r="DT18" s="42"/>
      <c r="DU18" s="43"/>
      <c r="DV18" s="40">
        <f t="shared" si="29"/>
        <v>300</v>
      </c>
      <c r="DW18" s="40">
        <f t="shared" si="5"/>
        <v>300</v>
      </c>
      <c r="DX18" s="41" t="b">
        <f t="shared" si="6"/>
        <v>1</v>
      </c>
      <c r="DZ18" s="29">
        <f t="shared" si="30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1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31">
        <f>EJ$41/Buckets_1_24[[#Totals],[NC To Fill]]*Buckets_1_24[[#This Row],[NC To Fill]]</f>
        <v>0</v>
      </c>
      <c r="EM18" s="31">
        <f>Buckets_1_24[[#This Row],[Crit Filled]]+Buckets_1_24[[#This Row],[Scaled]]</f>
        <v>300</v>
      </c>
      <c r="EN18" s="31">
        <f>Buckets_1_24[[#This Row],[NC Filled]]</f>
        <v>300</v>
      </c>
      <c r="EO18" s="31">
        <f>Buckets_1_24[[#This Row],[Capacity]]-Buckets_1_24[[#This Row],[Final]]</f>
        <v>0</v>
      </c>
      <c r="EP18" s="33">
        <f>IF(Buckets_1_24[[#This Row],[Capacity]]=0, 1, Buckets_1_24[[#This Row],[Final]]/Buckets_1_24[[#This Row],[Capacity]])</f>
        <v>1</v>
      </c>
      <c r="ER18" s="40">
        <f>Buckets_1_24[[#This Row],[Final]]</f>
        <v>300</v>
      </c>
      <c r="ES18" s="40">
        <f>Buckets_1_24[[#This Row],[Capacity]]</f>
        <v>300</v>
      </c>
      <c r="ET18" s="41" t="b">
        <f t="shared" si="32"/>
        <v>1</v>
      </c>
      <c r="EU18" s="42"/>
      <c r="EV18" s="42"/>
      <c r="EW18" s="42"/>
      <c r="EX18" s="42"/>
      <c r="EY18" s="43"/>
      <c r="EZ18" s="40">
        <f t="shared" si="33"/>
        <v>300</v>
      </c>
      <c r="FA18" s="40">
        <f t="shared" si="34"/>
        <v>300</v>
      </c>
      <c r="FB18" s="41" t="b">
        <f t="shared" si="7"/>
        <v>1</v>
      </c>
      <c r="FD18" s="29">
        <f t="shared" si="35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6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31">
        <f>FN$41/Buckets_2_24[[#Totals],[NC To Fill]]*Buckets_2_24[[#This Row],[NC To Fill]]</f>
        <v>0</v>
      </c>
      <c r="FQ18" s="31">
        <f>Buckets_2_24[[#This Row],[Crit Filled]]+Buckets_2_24[[#This Row],[Scaled]]</f>
        <v>300</v>
      </c>
      <c r="FR18" s="31">
        <f>Buckets_2_24[[#This Row],[NC Filled]]</f>
        <v>300</v>
      </c>
      <c r="FS18" s="31">
        <f>Buckets_2_24[[#This Row],[Capacity]]-Buckets_2_24[[#This Row],[Final]]</f>
        <v>0</v>
      </c>
      <c r="FT18" s="33">
        <f>IF(Buckets_2_24[[#This Row],[Capacity]]=0, 1, Buckets_2_24[[#This Row],[Final]]/Buckets_2_24[[#This Row],[Capacity]])</f>
        <v>1</v>
      </c>
      <c r="FV18" s="40">
        <f>Buckets_2_24[[#This Row],[Final]]</f>
        <v>300</v>
      </c>
      <c r="FW18" s="40">
        <f>Buckets_2_24[[#This Row],[Capacity]]</f>
        <v>300</v>
      </c>
      <c r="FX18" s="41" t="b">
        <f t="shared" si="37"/>
        <v>1</v>
      </c>
      <c r="FY18" s="42"/>
      <c r="FZ18" s="42"/>
      <c r="GA18" s="42"/>
      <c r="GB18" s="42"/>
      <c r="GC18" s="43"/>
      <c r="GD18" s="40">
        <f t="shared" si="38"/>
        <v>300</v>
      </c>
      <c r="GE18" s="40">
        <f t="shared" si="39"/>
        <v>300</v>
      </c>
      <c r="GF18" s="41" t="b">
        <f t="shared" si="8"/>
        <v>1</v>
      </c>
      <c r="GH18" s="29">
        <f t="shared" si="40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1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31">
        <f>GR$41/Buckets_3_24[[#Totals],[NC To Fill]]*Buckets_3_24[[#This Row],[NC To Fill]]</f>
        <v>0</v>
      </c>
      <c r="GU18" s="31">
        <f>Buckets_3_24[[#This Row],[Crit Filled]]+Buckets_3_24[[#This Row],[Scaled]]</f>
        <v>300</v>
      </c>
      <c r="GV18" s="31">
        <f>Buckets_3_24[[#This Row],[NC Filled]]</f>
        <v>300</v>
      </c>
      <c r="GW18" s="31">
        <f>Buckets_3_24[[#This Row],[Capacity]]-Buckets_3_24[[#This Row],[Final]]</f>
        <v>0</v>
      </c>
      <c r="GX18" s="33">
        <f>IF(Buckets_3_24[[#This Row],[Capacity]]=0, 1, Buckets_3_24[[#This Row],[Final]]/Buckets_3_24[[#This Row],[Capacity]])</f>
        <v>1</v>
      </c>
      <c r="GZ18" s="40">
        <f>Buckets_3_24[[#This Row],[Final]]</f>
        <v>300</v>
      </c>
      <c r="HA18" s="40">
        <f>Buckets_3_24[[#This Row],[Capacity]]</f>
        <v>300</v>
      </c>
      <c r="HB18" s="41" t="b">
        <f t="shared" si="42"/>
        <v>1</v>
      </c>
      <c r="HC18" s="42"/>
      <c r="HD18" s="42"/>
      <c r="HE18" s="42"/>
      <c r="HF18" s="42"/>
      <c r="HG18" s="43"/>
      <c r="HH18" s="40">
        <f t="shared" si="43"/>
        <v>300</v>
      </c>
      <c r="HI18" s="40">
        <f t="shared" si="44"/>
        <v>300</v>
      </c>
      <c r="HJ18" s="41" t="b">
        <f t="shared" si="9"/>
        <v>1</v>
      </c>
      <c r="HL18" s="29">
        <f t="shared" si="45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6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31">
        <f>HV$41/Buckets_4_24[[#Totals],[NC To Fill]]*Buckets_4_24[[#This Row],[NC To Fill]]</f>
        <v>0</v>
      </c>
      <c r="HY18" s="31">
        <f>Buckets_4_24[[#This Row],[Crit Filled]]+Buckets_4_24[[#This Row],[Scaled]]</f>
        <v>300</v>
      </c>
      <c r="HZ18" s="31">
        <f>Buckets_4_24[[#This Row],[NC Filled]]</f>
        <v>300</v>
      </c>
      <c r="IA18" s="31">
        <f>Buckets_4_24[[#This Row],[Capacity]]-Buckets_4_24[[#This Row],[Final]]</f>
        <v>0</v>
      </c>
      <c r="IB18" s="33">
        <f>IF(Buckets_4_24[[#This Row],[Capacity]]=0, 1, Buckets_4_24[[#This Row],[Final]]/Buckets_4_24[[#This Row],[Capacity]])</f>
        <v>1</v>
      </c>
      <c r="ID18" s="40">
        <f>Buckets_4_24[[#This Row],[Final]]</f>
        <v>300</v>
      </c>
      <c r="IE18" s="40">
        <f>Buckets_4_24[[#This Row],[Capacity]]</f>
        <v>300</v>
      </c>
      <c r="IF18" s="41" t="b">
        <f t="shared" si="47"/>
        <v>1</v>
      </c>
      <c r="IG18" s="42"/>
      <c r="IH18" s="42"/>
      <c r="II18" s="42"/>
      <c r="IJ18" s="42"/>
      <c r="IK18" s="43"/>
      <c r="IL18" s="40">
        <f t="shared" si="48"/>
        <v>300</v>
      </c>
      <c r="IM18" s="40">
        <f t="shared" si="49"/>
        <v>300</v>
      </c>
      <c r="IN18" s="41" t="b">
        <f t="shared" si="10"/>
        <v>1</v>
      </c>
    </row>
    <row r="19" spans="1:24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8">
        <v>200</v>
      </c>
      <c r="H19" t="b">
        <v>1</v>
      </c>
      <c r="J19" s="29">
        <f t="shared" si="11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2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 t="shared" si="13"/>
        <v>200</v>
      </c>
      <c r="AD19" t="b">
        <f t="shared" si="14"/>
        <v>1</v>
      </c>
      <c r="AE19" s="43" t="e">
        <f>NA()</f>
        <v>#N/A</v>
      </c>
      <c r="AF19" s="42"/>
      <c r="AG19" s="43" t="e">
        <f>NA()</f>
        <v>#N/A</v>
      </c>
      <c r="AH19" s="42"/>
      <c r="AI19" s="43"/>
      <c r="AJ19" s="31">
        <f t="shared" si="15"/>
        <v>200</v>
      </c>
      <c r="AK19" s="31">
        <f t="shared" si="16"/>
        <v>200</v>
      </c>
      <c r="AL19" t="b">
        <f t="shared" si="17"/>
        <v>1</v>
      </c>
      <c r="AN19" s="29">
        <f t="shared" si="18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19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31">
        <f>AX$41/Buckets_10_23[[#Totals],[NC To Fill]]*Buckets_10_23[[#This Row],[NC To Fill]]</f>
        <v>0</v>
      </c>
      <c r="BA19" s="31">
        <f>Buckets_10_23[[#This Row],[Crit Filled]]+Buckets_10_23[[#This Row],[Scaled]]</f>
        <v>200</v>
      </c>
      <c r="BB19" s="31">
        <f>Buckets_10_23[[#This Row],[NC Filled]]</f>
        <v>200</v>
      </c>
      <c r="BC19" s="31">
        <f>Buckets_10_23[[#This Row],[Capacity]]-Buckets_10_23[[#This Row],[Final]]</f>
        <v>0</v>
      </c>
      <c r="BD19" s="33">
        <f>IF(Buckets_10_23[[#This Row],[Capacity]]=0, 1, Buckets_10_23[[#This Row],[Final]]/Buckets_10_23[[#This Row],[Capacity]])</f>
        <v>1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0"/>
        <v>1</v>
      </c>
      <c r="BI19" s="43" t="e">
        <f>NA()</f>
        <v>#N/A</v>
      </c>
      <c r="BJ19" s="42"/>
      <c r="BK19" s="43" t="e">
        <f>NA()</f>
        <v>#N/A</v>
      </c>
      <c r="BL19" s="42"/>
      <c r="BM19" s="43"/>
      <c r="BN19" s="31">
        <f t="shared" si="21"/>
        <v>200</v>
      </c>
      <c r="BO19" s="31">
        <f t="shared" si="1"/>
        <v>200</v>
      </c>
      <c r="BP19" t="b">
        <f t="shared" si="2"/>
        <v>1</v>
      </c>
      <c r="BR19" s="29">
        <f t="shared" si="22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3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31">
        <f>CB$41/Buckets_11_23[[#Totals],[NC To Fill]]*Buckets_11_23[[#This Row],[NC To Fill]]</f>
        <v>0</v>
      </c>
      <c r="CE19" s="31">
        <f>Buckets_11_23[[#This Row],[Crit Filled]]+Buckets_11_23[[#This Row],[Scaled]]</f>
        <v>200</v>
      </c>
      <c r="CF19" s="31">
        <f>Buckets_11_23[[#This Row],[NC Filled]]</f>
        <v>200</v>
      </c>
      <c r="CG19" s="31">
        <f>Buckets_11_23[[#This Row],[Capacity]]-Buckets_11_23[[#This Row],[Final]]</f>
        <v>0</v>
      </c>
      <c r="CH19" s="33">
        <f>IF(Buckets_11_23[[#This Row],[Capacity]]=0, 1, Buckets_11_23[[#This Row],[Final]]/Buckets_11_23[[#This Row],[Capacity]])</f>
        <v>1</v>
      </c>
      <c r="CJ19" s="40">
        <f>Buckets_11_23[[#This Row],[Final]]</f>
        <v>200</v>
      </c>
      <c r="CK19" s="40">
        <f>Buckets_11_23[[#This Row],[Capacity]]</f>
        <v>200</v>
      </c>
      <c r="CL19" s="41" t="b">
        <f t="shared" si="24"/>
        <v>1</v>
      </c>
      <c r="CM19" s="42"/>
      <c r="CN19" s="42"/>
      <c r="CO19" s="42" t="e">
        <f>NA()</f>
        <v>#N/A</v>
      </c>
      <c r="CP19" s="42"/>
      <c r="CQ19" s="43"/>
      <c r="CR19" s="40">
        <f t="shared" si="25"/>
        <v>200</v>
      </c>
      <c r="CS19" s="40">
        <f t="shared" si="3"/>
        <v>200</v>
      </c>
      <c r="CT19" s="41" t="b">
        <f t="shared" si="4"/>
        <v>1</v>
      </c>
      <c r="CV19" s="29">
        <f t="shared" si="26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7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31">
        <f>DF$41/Buckets_12_23[[#Totals],[NC To Fill]]*Buckets_12_23[[#This Row],[NC To Fill]]</f>
        <v>0</v>
      </c>
      <c r="DI19" s="31">
        <f>Buckets_12_23[[#This Row],[Crit Filled]]+Buckets_12_23[[#This Row],[Scaled]]</f>
        <v>200</v>
      </c>
      <c r="DJ19" s="31">
        <f>Buckets_12_23[[#This Row],[NC Filled]]</f>
        <v>200</v>
      </c>
      <c r="DK19" s="31">
        <f>Buckets_12_23[[#This Row],[Capacity]]-Buckets_12_23[[#This Row],[Final]]</f>
        <v>0</v>
      </c>
      <c r="DL19" s="33">
        <f>IF(Buckets_12_23[[#This Row],[Capacity]]=0, 1, Buckets_12_23[[#This Row],[Final]]/Buckets_12_23[[#This Row],[Capacity]])</f>
        <v>1</v>
      </c>
      <c r="DN19" s="40">
        <f>Buckets_12_23[[#This Row],[Final]]</f>
        <v>200</v>
      </c>
      <c r="DO19" s="40">
        <f>Buckets_12_23[[#This Row],[Capacity]]</f>
        <v>200</v>
      </c>
      <c r="DP19" s="41" t="b">
        <f t="shared" si="28"/>
        <v>1</v>
      </c>
      <c r="DQ19" s="42"/>
      <c r="DR19" s="42"/>
      <c r="DS19" s="42" t="e">
        <f>NA()</f>
        <v>#N/A</v>
      </c>
      <c r="DT19" s="42"/>
      <c r="DU19" s="43"/>
      <c r="DV19" s="40">
        <f t="shared" si="29"/>
        <v>200</v>
      </c>
      <c r="DW19" s="40">
        <f t="shared" si="5"/>
        <v>200</v>
      </c>
      <c r="DX19" s="41" t="b">
        <f t="shared" si="6"/>
        <v>1</v>
      </c>
      <c r="DZ19" s="29">
        <f t="shared" si="30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1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31">
        <f>EJ$41/Buckets_1_24[[#Totals],[NC To Fill]]*Buckets_1_24[[#This Row],[NC To Fill]]</f>
        <v>0</v>
      </c>
      <c r="EM19" s="31">
        <f>Buckets_1_24[[#This Row],[Crit Filled]]+Buckets_1_24[[#This Row],[Scaled]]</f>
        <v>200</v>
      </c>
      <c r="EN19" s="31">
        <f>Buckets_1_24[[#This Row],[NC Filled]]</f>
        <v>200</v>
      </c>
      <c r="EO19" s="31">
        <f>Buckets_1_24[[#This Row],[Capacity]]-Buckets_1_24[[#This Row],[Final]]</f>
        <v>0</v>
      </c>
      <c r="EP19" s="33">
        <f>IF(Buckets_1_24[[#This Row],[Capacity]]=0, 1, Buckets_1_24[[#This Row],[Final]]/Buckets_1_24[[#This Row],[Capacity]])</f>
        <v>1</v>
      </c>
      <c r="ER19" s="40">
        <f>Buckets_1_24[[#This Row],[Final]]</f>
        <v>200</v>
      </c>
      <c r="ES19" s="40">
        <f>Buckets_1_24[[#This Row],[Capacity]]</f>
        <v>200</v>
      </c>
      <c r="ET19" s="41" t="b">
        <f t="shared" si="32"/>
        <v>1</v>
      </c>
      <c r="EU19" s="42"/>
      <c r="EV19" s="42"/>
      <c r="EW19" s="42"/>
      <c r="EX19" s="42"/>
      <c r="EY19" s="43"/>
      <c r="EZ19" s="40">
        <f t="shared" si="33"/>
        <v>200</v>
      </c>
      <c r="FA19" s="40">
        <f t="shared" si="34"/>
        <v>200</v>
      </c>
      <c r="FB19" s="41" t="b">
        <f t="shared" si="7"/>
        <v>1</v>
      </c>
      <c r="FD19" s="29">
        <f t="shared" si="35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6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31">
        <f>FN$41/Buckets_2_24[[#Totals],[NC To Fill]]*Buckets_2_24[[#This Row],[NC To Fill]]</f>
        <v>0</v>
      </c>
      <c r="FQ19" s="31">
        <f>Buckets_2_24[[#This Row],[Crit Filled]]+Buckets_2_24[[#This Row],[Scaled]]</f>
        <v>200</v>
      </c>
      <c r="FR19" s="31">
        <f>Buckets_2_24[[#This Row],[NC Filled]]</f>
        <v>200</v>
      </c>
      <c r="FS19" s="31">
        <f>Buckets_2_24[[#This Row],[Capacity]]-Buckets_2_24[[#This Row],[Final]]</f>
        <v>0</v>
      </c>
      <c r="FT19" s="33">
        <f>IF(Buckets_2_24[[#This Row],[Capacity]]=0, 1, Buckets_2_24[[#This Row],[Final]]/Buckets_2_24[[#This Row],[Capacity]])</f>
        <v>1</v>
      </c>
      <c r="FV19" s="40">
        <f>Buckets_2_24[[#This Row],[Final]]</f>
        <v>200</v>
      </c>
      <c r="FW19" s="40">
        <f>Buckets_2_24[[#This Row],[Capacity]]</f>
        <v>200</v>
      </c>
      <c r="FX19" s="41" t="b">
        <f t="shared" si="37"/>
        <v>1</v>
      </c>
      <c r="FY19" s="42"/>
      <c r="FZ19" s="42"/>
      <c r="GA19" s="42"/>
      <c r="GB19" s="42"/>
      <c r="GC19" s="43"/>
      <c r="GD19" s="40">
        <f t="shared" si="38"/>
        <v>200</v>
      </c>
      <c r="GE19" s="40">
        <f t="shared" si="39"/>
        <v>200</v>
      </c>
      <c r="GF19" s="41" t="b">
        <f t="shared" si="8"/>
        <v>1</v>
      </c>
      <c r="GH19" s="29">
        <f t="shared" si="40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1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31">
        <f>GR$41/Buckets_3_24[[#Totals],[NC To Fill]]*Buckets_3_24[[#This Row],[NC To Fill]]</f>
        <v>0</v>
      </c>
      <c r="GU19" s="31">
        <f>Buckets_3_24[[#This Row],[Crit Filled]]+Buckets_3_24[[#This Row],[Scaled]]</f>
        <v>200</v>
      </c>
      <c r="GV19" s="31">
        <f>Buckets_3_24[[#This Row],[NC Filled]]</f>
        <v>200</v>
      </c>
      <c r="GW19" s="31">
        <f>Buckets_3_24[[#This Row],[Capacity]]-Buckets_3_24[[#This Row],[Final]]</f>
        <v>0</v>
      </c>
      <c r="GX19" s="33">
        <f>IF(Buckets_3_24[[#This Row],[Capacity]]=0, 1, Buckets_3_24[[#This Row],[Final]]/Buckets_3_24[[#This Row],[Capacity]])</f>
        <v>1</v>
      </c>
      <c r="GZ19" s="40">
        <f>Buckets_3_24[[#This Row],[Final]]</f>
        <v>200</v>
      </c>
      <c r="HA19" s="40">
        <f>Buckets_3_24[[#This Row],[Capacity]]</f>
        <v>200</v>
      </c>
      <c r="HB19" s="41" t="b">
        <f t="shared" si="42"/>
        <v>1</v>
      </c>
      <c r="HC19" s="42"/>
      <c r="HD19" s="42"/>
      <c r="HE19" s="42"/>
      <c r="HF19" s="42"/>
      <c r="HG19" s="43"/>
      <c r="HH19" s="40">
        <f t="shared" si="43"/>
        <v>200</v>
      </c>
      <c r="HI19" s="40">
        <f t="shared" si="44"/>
        <v>200</v>
      </c>
      <c r="HJ19" s="41" t="b">
        <f t="shared" si="9"/>
        <v>1</v>
      </c>
      <c r="HL19" s="29">
        <f t="shared" si="45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6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31">
        <f>HV$41/Buckets_4_24[[#Totals],[NC To Fill]]*Buckets_4_24[[#This Row],[NC To Fill]]</f>
        <v>0</v>
      </c>
      <c r="HY19" s="31">
        <f>Buckets_4_24[[#This Row],[Crit Filled]]+Buckets_4_24[[#This Row],[Scaled]]</f>
        <v>200</v>
      </c>
      <c r="HZ19" s="31">
        <f>Buckets_4_24[[#This Row],[NC Filled]]</f>
        <v>200</v>
      </c>
      <c r="IA19" s="31">
        <f>Buckets_4_24[[#This Row],[Capacity]]-Buckets_4_24[[#This Row],[Final]]</f>
        <v>0</v>
      </c>
      <c r="IB19" s="33">
        <f>IF(Buckets_4_24[[#This Row],[Capacity]]=0, 1, Buckets_4_24[[#This Row],[Final]]/Buckets_4_24[[#This Row],[Capacity]])</f>
        <v>1</v>
      </c>
      <c r="ID19" s="40">
        <f>Buckets_4_24[[#This Row],[Final]]</f>
        <v>200</v>
      </c>
      <c r="IE19" s="40">
        <f>Buckets_4_24[[#This Row],[Capacity]]</f>
        <v>200</v>
      </c>
      <c r="IF19" s="41" t="b">
        <f t="shared" si="47"/>
        <v>1</v>
      </c>
      <c r="IG19" s="42"/>
      <c r="IH19" s="42"/>
      <c r="II19" s="42"/>
      <c r="IJ19" s="42"/>
      <c r="IK19" s="43"/>
      <c r="IL19" s="40">
        <f t="shared" si="48"/>
        <v>200</v>
      </c>
      <c r="IM19" s="40">
        <f t="shared" si="49"/>
        <v>200</v>
      </c>
      <c r="IN19" s="41" t="b">
        <f t="shared" si="10"/>
        <v>1</v>
      </c>
    </row>
    <row r="20" spans="1:248" x14ac:dyDescent="0.25">
      <c r="A20" s="48"/>
      <c r="B20" t="s">
        <v>324</v>
      </c>
      <c r="C20" t="s">
        <v>321</v>
      </c>
      <c r="D20" t="s">
        <v>295</v>
      </c>
      <c r="F20" s="30">
        <v>0</v>
      </c>
      <c r="G20" s="38">
        <v>1000</v>
      </c>
      <c r="H20" t="b">
        <v>0</v>
      </c>
      <c r="J20" s="29">
        <f t="shared" si="11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2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 t="shared" si="13"/>
        <v>1000</v>
      </c>
      <c r="AD20" t="b">
        <f t="shared" si="14"/>
        <v>0</v>
      </c>
      <c r="AE20" s="43" t="e">
        <f>NA()</f>
        <v>#N/A</v>
      </c>
      <c r="AF20" s="42"/>
      <c r="AG20" s="43" t="e">
        <f>NA()</f>
        <v>#N/A</v>
      </c>
      <c r="AH20" s="42"/>
      <c r="AI20" s="43"/>
      <c r="AJ20" s="31">
        <f t="shared" si="15"/>
        <v>872.81759709663925</v>
      </c>
      <c r="AK20" s="31">
        <f t="shared" si="16"/>
        <v>1000</v>
      </c>
      <c r="AL20" t="b">
        <f t="shared" si="17"/>
        <v>0</v>
      </c>
      <c r="AN20" s="29">
        <f t="shared" si="18"/>
        <v>872.81759709663925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837.43759709663925</v>
      </c>
      <c r="AQ20" s="29">
        <f t="shared" si="19"/>
        <v>1000</v>
      </c>
      <c r="AR20" s="29">
        <f>Buckets_10_23[[#This Row],[Capacity]]-Buckets_10_23[[#This Row],[After T]]</f>
        <v>162.56240290336075</v>
      </c>
      <c r="AS20" s="29">
        <f>MAX(-Buckets_10_23[[#This Row],[Cap Diff]], 0)</f>
        <v>0</v>
      </c>
      <c r="AT20" s="29">
        <f>Buckets_10_23[[#This Row],[After T]]-Buckets_10_23[[#This Row],[Slush]]</f>
        <v>837.43759709663925</v>
      </c>
      <c r="AU20" s="29">
        <f>Buckets_10_23[[#This Row],[Capacity]]-Buckets_10_23[[#This Row],[Before Fill]]</f>
        <v>162.56240290336075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837.43759709663925</v>
      </c>
      <c r="AY20" s="29">
        <f>IF(NOT(Buckets_10_23[[#This Row],[Is Crit]]), Buckets_10_23[[#This Row],[S Cap Diff]], 0)</f>
        <v>162.56240290336075</v>
      </c>
      <c r="AZ20" s="31">
        <f>AX$41/Buckets_10_23[[#Totals],[NC To Fill]]*Buckets_10_23[[#This Row],[NC To Fill]]</f>
        <v>96.557570532223778</v>
      </c>
      <c r="BA20" s="31">
        <f>Buckets_10_23[[#This Row],[Crit Filled]]+Buckets_10_23[[#This Row],[Scaled]]</f>
        <v>933.99516762886299</v>
      </c>
      <c r="BB20" s="31">
        <f>Buckets_10_23[[#This Row],[NC Filled]]</f>
        <v>933.99516762886299</v>
      </c>
      <c r="BC20" s="31">
        <f>Buckets_10_23[[#This Row],[Capacity]]-Buckets_10_23[[#This Row],[Final]]</f>
        <v>66.004832371137013</v>
      </c>
      <c r="BD20" s="33">
        <f>IF(Buckets_10_23[[#This Row],[Capacity]]=0, 1, Buckets_10_23[[#This Row],[Final]]/Buckets_10_23[[#This Row],[Capacity]])</f>
        <v>0.93399516762886303</v>
      </c>
      <c r="BF20" s="31">
        <f>Buckets_10_23[[#This Row],[Final]]</f>
        <v>933.99516762886299</v>
      </c>
      <c r="BG20" s="31">
        <f>Buckets_10_23[[#This Row],[Capacity]]</f>
        <v>1000</v>
      </c>
      <c r="BH20" t="b">
        <f t="shared" si="20"/>
        <v>0</v>
      </c>
      <c r="BI20" s="43" t="e">
        <f>NA()</f>
        <v>#N/A</v>
      </c>
      <c r="BJ20" s="42"/>
      <c r="BK20" s="43" t="e">
        <f>NA()</f>
        <v>#N/A</v>
      </c>
      <c r="BL20" s="42"/>
      <c r="BM20" s="43"/>
      <c r="BN20" s="31">
        <f t="shared" si="21"/>
        <v>933.99516762886299</v>
      </c>
      <c r="BO20" s="31">
        <f t="shared" si="1"/>
        <v>1000</v>
      </c>
      <c r="BP20" t="b">
        <f t="shared" si="2"/>
        <v>0</v>
      </c>
      <c r="BR20" s="29">
        <f t="shared" si="22"/>
        <v>933.99516762886299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176.30516762886293</v>
      </c>
      <c r="BU20" s="29">
        <f t="shared" si="23"/>
        <v>1000</v>
      </c>
      <c r="BV20" s="29">
        <f>Buckets_11_23[[#This Row],[Capacity]]-Buckets_11_23[[#This Row],[After T]]</f>
        <v>823.69483237113707</v>
      </c>
      <c r="BW20" s="29">
        <f>MAX(-Buckets_11_23[[#This Row],[Cap Diff]], 0)</f>
        <v>0</v>
      </c>
      <c r="BX20" s="29">
        <f>Buckets_11_23[[#This Row],[After T]]-Buckets_11_23[[#This Row],[Slush]]</f>
        <v>176.30516762886293</v>
      </c>
      <c r="BY20" s="29">
        <f>Buckets_11_23[[#This Row],[Capacity]]-Buckets_11_23[[#This Row],[Before Fill]]</f>
        <v>823.69483237113707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176.30516762886293</v>
      </c>
      <c r="CC20" s="29">
        <f>IF(NOT(Buckets_11_23[[#This Row],[Is Crit]]), Buckets_11_23[[#This Row],[S Cap Diff]], 0)</f>
        <v>823.69483237113707</v>
      </c>
      <c r="CD20" s="31">
        <f>CB$41/Buckets_11_23[[#Totals],[NC To Fill]]*Buckets_11_23[[#This Row],[NC To Fill]]</f>
        <v>812.33034869009066</v>
      </c>
      <c r="CE20" s="31">
        <f>Buckets_11_23[[#This Row],[Crit Filled]]+Buckets_11_23[[#This Row],[Scaled]]</f>
        <v>988.63551631895359</v>
      </c>
      <c r="CF20" s="31">
        <f>Buckets_11_23[[#This Row],[NC Filled]]</f>
        <v>988.63551631895359</v>
      </c>
      <c r="CG20" s="31">
        <f>Buckets_11_23[[#This Row],[Capacity]]-Buckets_11_23[[#This Row],[Final]]</f>
        <v>11.364483681046408</v>
      </c>
      <c r="CH20" s="33">
        <f>IF(Buckets_11_23[[#This Row],[Capacity]]=0, 1, Buckets_11_23[[#This Row],[Final]]/Buckets_11_23[[#This Row],[Capacity]])</f>
        <v>0.98863551631895363</v>
      </c>
      <c r="CJ20" s="40">
        <f>Buckets_11_23[[#This Row],[Final]]</f>
        <v>988.63551631895359</v>
      </c>
      <c r="CK20" s="40">
        <f>Buckets_11_23[[#This Row],[Capacity]]</f>
        <v>1000</v>
      </c>
      <c r="CL20" s="41" t="b">
        <f t="shared" si="24"/>
        <v>0</v>
      </c>
      <c r="CM20" s="42">
        <v>-500</v>
      </c>
      <c r="CN20" s="42"/>
      <c r="CO20" s="42" t="e">
        <f>NA()</f>
        <v>#N/A</v>
      </c>
      <c r="CP20" s="42">
        <v>500</v>
      </c>
      <c r="CQ20" s="43"/>
      <c r="CR20" s="40">
        <f t="shared" si="25"/>
        <v>488.63551631895359</v>
      </c>
      <c r="CS20" s="40">
        <f t="shared" si="3"/>
        <v>500</v>
      </c>
      <c r="CT20" s="41" t="b">
        <f t="shared" si="4"/>
        <v>0</v>
      </c>
      <c r="CV20" s="29">
        <f t="shared" si="26"/>
        <v>488.63551631895359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488.63551631895359</v>
      </c>
      <c r="CY20" s="29">
        <f t="shared" si="27"/>
        <v>500</v>
      </c>
      <c r="CZ20" s="29">
        <f>Buckets_12_23[[#This Row],[Capacity]]-Buckets_12_23[[#This Row],[After T]]</f>
        <v>11.364483681046408</v>
      </c>
      <c r="DA20" s="29">
        <f>MAX(-Buckets_12_23[[#This Row],[Cap Diff]], 0)</f>
        <v>0</v>
      </c>
      <c r="DB20" s="29">
        <f>Buckets_12_23[[#This Row],[After T]]-Buckets_12_23[[#This Row],[Slush]]</f>
        <v>488.63551631895359</v>
      </c>
      <c r="DC20" s="29">
        <f>Buckets_12_23[[#This Row],[Capacity]]-Buckets_12_23[[#This Row],[Before Fill]]</f>
        <v>11.364483681046408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488.63551631895359</v>
      </c>
      <c r="DG20" s="29">
        <f>IF(NOT(Buckets_12_23[[#This Row],[Is Crit]]), Buckets_12_23[[#This Row],[S Cap Diff]], 0)</f>
        <v>11.364483681046408</v>
      </c>
      <c r="DH20" s="31">
        <f>DF$41/Buckets_12_23[[#Totals],[NC To Fill]]*Buckets_12_23[[#This Row],[NC To Fill]]</f>
        <v>5.1960699505097665</v>
      </c>
      <c r="DI20" s="31">
        <f>Buckets_12_23[[#This Row],[Crit Filled]]+Buckets_12_23[[#This Row],[Scaled]]</f>
        <v>493.83158626946334</v>
      </c>
      <c r="DJ20" s="31">
        <f>Buckets_12_23[[#This Row],[NC Filled]]</f>
        <v>493.83158626946334</v>
      </c>
      <c r="DK20" s="31">
        <f>Buckets_12_23[[#This Row],[Capacity]]-Buckets_12_23[[#This Row],[Final]]</f>
        <v>6.1684137305366562</v>
      </c>
      <c r="DL20" s="33">
        <f>IF(Buckets_12_23[[#This Row],[Capacity]]=0, 1, Buckets_12_23[[#This Row],[Final]]/Buckets_12_23[[#This Row],[Capacity]])</f>
        <v>0.98766317253892666</v>
      </c>
      <c r="DN20" s="40">
        <f>Buckets_12_23[[#This Row],[Final]]</f>
        <v>493.83158626946334</v>
      </c>
      <c r="DO20" s="40">
        <f>Buckets_12_23[[#This Row],[Capacity]]</f>
        <v>500</v>
      </c>
      <c r="DP20" s="41" t="b">
        <f t="shared" si="28"/>
        <v>0</v>
      </c>
      <c r="DQ20" s="42"/>
      <c r="DR20" s="42"/>
      <c r="DS20" s="42" t="e">
        <f>NA()</f>
        <v>#N/A</v>
      </c>
      <c r="DT20" s="42"/>
      <c r="DU20" s="43"/>
      <c r="DV20" s="40">
        <f t="shared" si="29"/>
        <v>493.83158626946334</v>
      </c>
      <c r="DW20" s="40">
        <f t="shared" si="5"/>
        <v>500</v>
      </c>
      <c r="DX20" s="41" t="b">
        <f t="shared" si="6"/>
        <v>0</v>
      </c>
      <c r="DZ20" s="29">
        <f t="shared" si="30"/>
        <v>493.83158626946334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493.83158626946334</v>
      </c>
      <c r="EC20" s="29">
        <f t="shared" si="31"/>
        <v>500</v>
      </c>
      <c r="ED20" s="29">
        <f>Buckets_1_24[[#This Row],[Capacity]]-Buckets_1_24[[#This Row],[After T]]</f>
        <v>6.1684137305366562</v>
      </c>
      <c r="EE20" s="29">
        <f>MAX(-Buckets_1_24[[#This Row],[Cap Diff]], 0)</f>
        <v>0</v>
      </c>
      <c r="EF20" s="29">
        <f>Buckets_1_24[[#This Row],[After T]]-Buckets_1_24[[#This Row],[Slush]]</f>
        <v>493.83158626946334</v>
      </c>
      <c r="EG20" s="29">
        <f>Buckets_1_24[[#This Row],[Capacity]]-Buckets_1_24[[#This Row],[Before Fill]]</f>
        <v>6.1684137305366562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493.83158626946334</v>
      </c>
      <c r="EK20" s="29">
        <f>IF(NOT(Buckets_1_24[[#This Row],[Is Crit]]), Buckets_1_24[[#This Row],[S Cap Diff]], 0)</f>
        <v>6.1684137305366562</v>
      </c>
      <c r="EL20" s="31">
        <f>EJ$41/Buckets_1_24[[#Totals],[NC To Fill]]*Buckets_1_24[[#This Row],[NC To Fill]]</f>
        <v>3.787359275607634</v>
      </c>
      <c r="EM20" s="31">
        <f>Buckets_1_24[[#This Row],[Crit Filled]]+Buckets_1_24[[#This Row],[Scaled]]</f>
        <v>497.61894554507097</v>
      </c>
      <c r="EN20" s="31">
        <f>Buckets_1_24[[#This Row],[NC Filled]]</f>
        <v>497.61894554507097</v>
      </c>
      <c r="EO20" s="31">
        <f>Buckets_1_24[[#This Row],[Capacity]]-Buckets_1_24[[#This Row],[Final]]</f>
        <v>2.3810544549290285</v>
      </c>
      <c r="EP20" s="33">
        <f>IF(Buckets_1_24[[#This Row],[Capacity]]=0, 1, Buckets_1_24[[#This Row],[Final]]/Buckets_1_24[[#This Row],[Capacity]])</f>
        <v>0.99523789109014194</v>
      </c>
      <c r="ER20" s="40">
        <f>Buckets_1_24[[#This Row],[Final]]</f>
        <v>497.61894554507097</v>
      </c>
      <c r="ES20" s="40">
        <f>Buckets_1_24[[#This Row],[Capacity]]</f>
        <v>500</v>
      </c>
      <c r="ET20" s="41" t="b">
        <f t="shared" si="32"/>
        <v>0</v>
      </c>
      <c r="EU20" s="42"/>
      <c r="EV20" s="42"/>
      <c r="EW20" s="42"/>
      <c r="EX20" s="42"/>
      <c r="EY20" s="43"/>
      <c r="EZ20" s="40">
        <f t="shared" si="33"/>
        <v>497.61894554507097</v>
      </c>
      <c r="FA20" s="40">
        <f t="shared" si="34"/>
        <v>500</v>
      </c>
      <c r="FB20" s="41" t="b">
        <f t="shared" si="7"/>
        <v>0</v>
      </c>
      <c r="FD20" s="29">
        <f t="shared" si="35"/>
        <v>497.61894554507097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497.61894554507097</v>
      </c>
      <c r="FG20" s="29">
        <f t="shared" si="36"/>
        <v>500</v>
      </c>
      <c r="FH20" s="29">
        <f>Buckets_2_24[[#This Row],[Capacity]]-Buckets_2_24[[#This Row],[After T]]</f>
        <v>2.3810544549290285</v>
      </c>
      <c r="FI20" s="29">
        <f>MAX(-Buckets_2_24[[#This Row],[Cap Diff]], 0)</f>
        <v>0</v>
      </c>
      <c r="FJ20" s="29">
        <f>Buckets_2_24[[#This Row],[After T]]-Buckets_2_24[[#This Row],[Slush]]</f>
        <v>497.61894554507097</v>
      </c>
      <c r="FK20" s="29">
        <f>Buckets_2_24[[#This Row],[Capacity]]-Buckets_2_24[[#This Row],[Before Fill]]</f>
        <v>2.3810544549290285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497.61894554507097</v>
      </c>
      <c r="FO20" s="29">
        <f>IF(NOT(Buckets_2_24[[#This Row],[Is Crit]]), Buckets_2_24[[#This Row],[S Cap Diff]], 0)</f>
        <v>2.3810544549290285</v>
      </c>
      <c r="FP20" s="31">
        <f>FN$41/Buckets_2_24[[#Totals],[NC To Fill]]*Buckets_2_24[[#This Row],[NC To Fill]]</f>
        <v>2.2937786491412848</v>
      </c>
      <c r="FQ20" s="31">
        <f>Buckets_2_24[[#This Row],[Crit Filled]]+Buckets_2_24[[#This Row],[Scaled]]</f>
        <v>499.91272419421227</v>
      </c>
      <c r="FR20" s="31">
        <f>Buckets_2_24[[#This Row],[NC Filled]]</f>
        <v>499.91272419421227</v>
      </c>
      <c r="FS20" s="31">
        <f>Buckets_2_24[[#This Row],[Capacity]]-Buckets_2_24[[#This Row],[Final]]</f>
        <v>8.7275805787726313E-2</v>
      </c>
      <c r="FT20" s="33">
        <f>IF(Buckets_2_24[[#This Row],[Capacity]]=0, 1, Buckets_2_24[[#This Row],[Final]]/Buckets_2_24[[#This Row],[Capacity]])</f>
        <v>0.99982544838842458</v>
      </c>
      <c r="FV20" s="40">
        <f>Buckets_2_24[[#This Row],[Final]]</f>
        <v>499.91272419421227</v>
      </c>
      <c r="FW20" s="40">
        <f>Buckets_2_24[[#This Row],[Capacity]]</f>
        <v>500</v>
      </c>
      <c r="FX20" s="41" t="b">
        <f t="shared" si="37"/>
        <v>0</v>
      </c>
      <c r="FY20" s="42"/>
      <c r="FZ20" s="42"/>
      <c r="GA20" s="42"/>
      <c r="GB20" s="42">
        <v>1000</v>
      </c>
      <c r="GC20" s="43"/>
      <c r="GD20" s="40">
        <f t="shared" si="38"/>
        <v>499.91272419421227</v>
      </c>
      <c r="GE20" s="40">
        <f t="shared" si="39"/>
        <v>1000</v>
      </c>
      <c r="GF20" s="41" t="b">
        <f t="shared" si="8"/>
        <v>0</v>
      </c>
      <c r="GH20" s="29">
        <f t="shared" si="40"/>
        <v>499.91272419421227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499.91272419421227</v>
      </c>
      <c r="GK20" s="29">
        <f t="shared" si="41"/>
        <v>1000</v>
      </c>
      <c r="GL20" s="29">
        <f>Buckets_3_24[[#This Row],[Capacity]]-Buckets_3_24[[#This Row],[After T]]</f>
        <v>500.08727580578773</v>
      </c>
      <c r="GM20" s="29">
        <f>MAX(-Buckets_3_24[[#This Row],[Cap Diff]], 0)</f>
        <v>0</v>
      </c>
      <c r="GN20" s="29">
        <f>Buckets_3_24[[#This Row],[After T]]-Buckets_3_24[[#This Row],[Slush]]</f>
        <v>499.91272419421227</v>
      </c>
      <c r="GO20" s="29">
        <f>Buckets_3_24[[#This Row],[Capacity]]-Buckets_3_24[[#This Row],[Before Fill]]</f>
        <v>500.08727580578773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499.91272419421227</v>
      </c>
      <c r="GS20" s="29">
        <f>IF(NOT(Buckets_3_24[[#This Row],[Is Crit]]), Buckets_3_24[[#This Row],[S Cap Diff]], 0)</f>
        <v>500.08727580578773</v>
      </c>
      <c r="GT20" s="31">
        <f>GR$41/Buckets_3_24[[#Totals],[NC To Fill]]*Buckets_3_24[[#This Row],[NC To Fill]]</f>
        <v>485.7041597420781</v>
      </c>
      <c r="GU20" s="31">
        <f>Buckets_3_24[[#This Row],[Crit Filled]]+Buckets_3_24[[#This Row],[Scaled]]</f>
        <v>985.61688393629038</v>
      </c>
      <c r="GV20" s="31">
        <f>Buckets_3_24[[#This Row],[NC Filled]]</f>
        <v>985.61688393629038</v>
      </c>
      <c r="GW20" s="31">
        <f>Buckets_3_24[[#This Row],[Capacity]]-Buckets_3_24[[#This Row],[Final]]</f>
        <v>14.383116063709622</v>
      </c>
      <c r="GX20" s="33">
        <f>IF(Buckets_3_24[[#This Row],[Capacity]]=0, 1, Buckets_3_24[[#This Row],[Final]]/Buckets_3_24[[#This Row],[Capacity]])</f>
        <v>0.98561688393629043</v>
      </c>
      <c r="GZ20" s="40">
        <f>Buckets_3_24[[#This Row],[Final]]</f>
        <v>985.61688393629038</v>
      </c>
      <c r="HA20" s="40">
        <f>Buckets_3_24[[#This Row],[Capacity]]</f>
        <v>1000</v>
      </c>
      <c r="HB20" s="41" t="b">
        <f t="shared" si="42"/>
        <v>0</v>
      </c>
      <c r="HC20" s="42"/>
      <c r="HD20" s="42"/>
      <c r="HE20" s="42"/>
      <c r="HF20" s="42"/>
      <c r="HG20" s="43"/>
      <c r="HH20" s="40">
        <f t="shared" si="43"/>
        <v>985.61688393629038</v>
      </c>
      <c r="HI20" s="40">
        <f t="shared" si="44"/>
        <v>1000</v>
      </c>
      <c r="HJ20" s="41" t="b">
        <f t="shared" si="9"/>
        <v>0</v>
      </c>
      <c r="HL20" s="29">
        <f t="shared" si="45"/>
        <v>985.61688393629038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985.61688393629038</v>
      </c>
      <c r="HO20" s="29">
        <f t="shared" si="46"/>
        <v>1000</v>
      </c>
      <c r="HP20" s="29">
        <f>Buckets_4_24[[#This Row],[Capacity]]-Buckets_4_24[[#This Row],[After T]]</f>
        <v>14.383116063709622</v>
      </c>
      <c r="HQ20" s="29">
        <f>MAX(-Buckets_4_24[[#This Row],[Cap Diff]], 0)</f>
        <v>0</v>
      </c>
      <c r="HR20" s="29">
        <f>Buckets_4_24[[#This Row],[After T]]-Buckets_4_24[[#This Row],[Slush]]</f>
        <v>985.61688393629038</v>
      </c>
      <c r="HS20" s="29">
        <f>Buckets_4_24[[#This Row],[Capacity]]-Buckets_4_24[[#This Row],[Before Fill]]</f>
        <v>14.383116063709622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985.61688393629038</v>
      </c>
      <c r="HW20" s="29">
        <f>IF(NOT(Buckets_4_24[[#This Row],[Is Crit]]), Buckets_4_24[[#This Row],[S Cap Diff]], 0)</f>
        <v>14.383116063709622</v>
      </c>
      <c r="HX20" s="31">
        <f>HV$41/Buckets_4_24[[#Totals],[NC To Fill]]*Buckets_4_24[[#This Row],[NC To Fill]]</f>
        <v>9.3861282186382589</v>
      </c>
      <c r="HY20" s="31">
        <f>Buckets_4_24[[#This Row],[Crit Filled]]+Buckets_4_24[[#This Row],[Scaled]]</f>
        <v>995.00301215492868</v>
      </c>
      <c r="HZ20" s="31">
        <f>Buckets_4_24[[#This Row],[NC Filled]]</f>
        <v>995.00301215492868</v>
      </c>
      <c r="IA20" s="31">
        <f>Buckets_4_24[[#This Row],[Capacity]]-Buckets_4_24[[#This Row],[Final]]</f>
        <v>4.9969878450713168</v>
      </c>
      <c r="IB20" s="33">
        <f>IF(Buckets_4_24[[#This Row],[Capacity]]=0, 1, Buckets_4_24[[#This Row],[Final]]/Buckets_4_24[[#This Row],[Capacity]])</f>
        <v>0.9950030121549287</v>
      </c>
      <c r="ID20" s="40">
        <f>Buckets_4_24[[#This Row],[Final]]</f>
        <v>995.00301215492868</v>
      </c>
      <c r="IE20" s="40">
        <f>Buckets_4_24[[#This Row],[Capacity]]</f>
        <v>1000</v>
      </c>
      <c r="IF20" s="41" t="b">
        <f t="shared" si="47"/>
        <v>0</v>
      </c>
      <c r="IG20" s="42"/>
      <c r="IH20" s="42"/>
      <c r="II20" s="42"/>
      <c r="IJ20" s="42"/>
      <c r="IK20" s="43"/>
      <c r="IL20" s="40">
        <f t="shared" si="48"/>
        <v>995.00301215492868</v>
      </c>
      <c r="IM20" s="40">
        <f t="shared" si="49"/>
        <v>1000</v>
      </c>
      <c r="IN20" s="41" t="b">
        <f t="shared" si="10"/>
        <v>0</v>
      </c>
    </row>
    <row r="21" spans="1:24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8">
        <v>0</v>
      </c>
      <c r="H21" t="b">
        <v>0</v>
      </c>
      <c r="J21" s="29">
        <f t="shared" si="11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2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 t="shared" si="13"/>
        <v>0</v>
      </c>
      <c r="AD21" t="b">
        <f t="shared" si="14"/>
        <v>0</v>
      </c>
      <c r="AE21" s="43" t="e">
        <f>NA()</f>
        <v>#N/A</v>
      </c>
      <c r="AF21" s="42"/>
      <c r="AG21" s="43" t="e">
        <f>NA()</f>
        <v>#N/A</v>
      </c>
      <c r="AH21" s="42">
        <v>500</v>
      </c>
      <c r="AI21" s="43"/>
      <c r="AJ21" s="31">
        <f t="shared" si="15"/>
        <v>0</v>
      </c>
      <c r="AK21" s="31">
        <f t="shared" si="16"/>
        <v>500</v>
      </c>
      <c r="AL21" t="b">
        <f t="shared" si="17"/>
        <v>0</v>
      </c>
      <c r="AN21" s="29">
        <f t="shared" si="18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19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31">
        <f>AX$41/Buckets_10_23[[#Totals],[NC To Fill]]*Buckets_10_23[[#This Row],[NC To Fill]]</f>
        <v>296.98616902711763</v>
      </c>
      <c r="BA21" s="31">
        <f>Buckets_10_23[[#This Row],[Crit Filled]]+Buckets_10_23[[#This Row],[Scaled]]</f>
        <v>296.98616902711763</v>
      </c>
      <c r="BB21" s="31">
        <f>Buckets_10_23[[#This Row],[NC Filled]]</f>
        <v>296.98616902711763</v>
      </c>
      <c r="BC21" s="31">
        <f>Buckets_10_23[[#This Row],[Capacity]]-Buckets_10_23[[#This Row],[Final]]</f>
        <v>203.01383097288237</v>
      </c>
      <c r="BD21" s="33">
        <f>IF(Buckets_10_23[[#This Row],[Capacity]]=0, 1, Buckets_10_23[[#This Row],[Final]]/Buckets_10_23[[#This Row],[Capacity]])</f>
        <v>0.59397233805423522</v>
      </c>
      <c r="BF21" s="31">
        <f>Buckets_10_23[[#This Row],[Final]]</f>
        <v>296.98616902711763</v>
      </c>
      <c r="BG21" s="31">
        <f>Buckets_10_23[[#This Row],[Capacity]]</f>
        <v>500</v>
      </c>
      <c r="BH21" t="b">
        <f t="shared" si="20"/>
        <v>0</v>
      </c>
      <c r="BI21" s="43" t="e">
        <f>NA()</f>
        <v>#N/A</v>
      </c>
      <c r="BJ21" s="42"/>
      <c r="BK21" s="43" t="e">
        <f>NA()</f>
        <v>#N/A</v>
      </c>
      <c r="BL21" s="42"/>
      <c r="BM21" s="43"/>
      <c r="BN21" s="31">
        <f t="shared" si="21"/>
        <v>296.98616902711763</v>
      </c>
      <c r="BO21" s="31">
        <f t="shared" si="1"/>
        <v>500</v>
      </c>
      <c r="BP21" t="b">
        <f t="shared" si="2"/>
        <v>0</v>
      </c>
      <c r="BR21" s="29">
        <f t="shared" si="22"/>
        <v>296.98616902711763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296.98616902711763</v>
      </c>
      <c r="BU21" s="29">
        <f t="shared" si="23"/>
        <v>500</v>
      </c>
      <c r="BV21" s="29">
        <f>Buckets_11_23[[#This Row],[Capacity]]-Buckets_11_23[[#This Row],[After T]]</f>
        <v>203.01383097288237</v>
      </c>
      <c r="BW21" s="29">
        <f>MAX(-Buckets_11_23[[#This Row],[Cap Diff]], 0)</f>
        <v>0</v>
      </c>
      <c r="BX21" s="29">
        <f>Buckets_11_23[[#This Row],[After T]]-Buckets_11_23[[#This Row],[Slush]]</f>
        <v>296.98616902711763</v>
      </c>
      <c r="BY21" s="29">
        <f>Buckets_11_23[[#This Row],[Capacity]]-Buckets_11_23[[#This Row],[Before Fill]]</f>
        <v>203.01383097288237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296.98616902711763</v>
      </c>
      <c r="CC21" s="29">
        <f>IF(NOT(Buckets_11_23[[#This Row],[Is Crit]]), Buckets_11_23[[#This Row],[S Cap Diff]], 0)</f>
        <v>203.01383097288237</v>
      </c>
      <c r="CD21" s="31">
        <f>CB$41/Buckets_11_23[[#Totals],[NC To Fill]]*Buckets_11_23[[#This Row],[NC To Fill]]</f>
        <v>200.21285750741029</v>
      </c>
      <c r="CE21" s="31">
        <f>Buckets_11_23[[#This Row],[Crit Filled]]+Buckets_11_23[[#This Row],[Scaled]]</f>
        <v>497.19902653452789</v>
      </c>
      <c r="CF21" s="31">
        <f>Buckets_11_23[[#This Row],[NC Filled]]</f>
        <v>497.19902653452789</v>
      </c>
      <c r="CG21" s="31">
        <f>Buckets_11_23[[#This Row],[Capacity]]-Buckets_11_23[[#This Row],[Final]]</f>
        <v>2.8009734654721115</v>
      </c>
      <c r="CH21" s="33">
        <f>IF(Buckets_11_23[[#This Row],[Capacity]]=0, 1, Buckets_11_23[[#This Row],[Final]]/Buckets_11_23[[#This Row],[Capacity]])</f>
        <v>0.99439805306905582</v>
      </c>
      <c r="CJ21" s="40">
        <f>Buckets_11_23[[#This Row],[Final]]</f>
        <v>497.19902653452789</v>
      </c>
      <c r="CK21" s="40">
        <f>Buckets_11_23[[#This Row],[Capacity]]</f>
        <v>500</v>
      </c>
      <c r="CL21" s="41" t="b">
        <f t="shared" si="24"/>
        <v>0</v>
      </c>
      <c r="CM21" s="42"/>
      <c r="CN21" s="42"/>
      <c r="CO21" s="42" t="e">
        <f>NA()</f>
        <v>#N/A</v>
      </c>
      <c r="CP21" s="42">
        <v>1000</v>
      </c>
      <c r="CQ21" s="43"/>
      <c r="CR21" s="40">
        <f t="shared" si="25"/>
        <v>497.19902653452789</v>
      </c>
      <c r="CS21" s="40">
        <f t="shared" si="3"/>
        <v>1000</v>
      </c>
      <c r="CT21" s="41" t="b">
        <f t="shared" si="4"/>
        <v>0</v>
      </c>
      <c r="CV21" s="29">
        <f t="shared" si="26"/>
        <v>497.19902653452789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497.19902653452789</v>
      </c>
      <c r="CY21" s="29">
        <f t="shared" si="27"/>
        <v>1000</v>
      </c>
      <c r="CZ21" s="29">
        <f>Buckets_12_23[[#This Row],[Capacity]]-Buckets_12_23[[#This Row],[After T]]</f>
        <v>502.80097346547211</v>
      </c>
      <c r="DA21" s="29">
        <f>MAX(-Buckets_12_23[[#This Row],[Cap Diff]], 0)</f>
        <v>0</v>
      </c>
      <c r="DB21" s="29">
        <f>Buckets_12_23[[#This Row],[After T]]-Buckets_12_23[[#This Row],[Slush]]</f>
        <v>497.19902653452789</v>
      </c>
      <c r="DC21" s="29">
        <f>Buckets_12_23[[#This Row],[Capacity]]-Buckets_12_23[[#This Row],[Before Fill]]</f>
        <v>502.80097346547211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497.19902653452789</v>
      </c>
      <c r="DG21" s="29">
        <f>IF(NOT(Buckets_12_23[[#This Row],[Is Crit]]), Buckets_12_23[[#This Row],[S Cap Diff]], 0)</f>
        <v>502.80097346547211</v>
      </c>
      <c r="DH21" s="31">
        <f>DF$41/Buckets_12_23[[#Totals],[NC To Fill]]*Buckets_12_23[[#This Row],[NC To Fill]]</f>
        <v>229.89069302534637</v>
      </c>
      <c r="DI21" s="31">
        <f>Buckets_12_23[[#This Row],[Crit Filled]]+Buckets_12_23[[#This Row],[Scaled]]</f>
        <v>727.08971955987431</v>
      </c>
      <c r="DJ21" s="31">
        <f>Buckets_12_23[[#This Row],[NC Filled]]</f>
        <v>727.08971955987431</v>
      </c>
      <c r="DK21" s="31">
        <f>Buckets_12_23[[#This Row],[Capacity]]-Buckets_12_23[[#This Row],[Final]]</f>
        <v>272.91028044012569</v>
      </c>
      <c r="DL21" s="33">
        <f>IF(Buckets_12_23[[#This Row],[Capacity]]=0, 1, Buckets_12_23[[#This Row],[Final]]/Buckets_12_23[[#This Row],[Capacity]])</f>
        <v>0.72708971955987434</v>
      </c>
      <c r="DN21" s="40">
        <f>Buckets_12_23[[#This Row],[Final]]</f>
        <v>727.08971955987431</v>
      </c>
      <c r="DO21" s="40">
        <f>Buckets_12_23[[#This Row],[Capacity]]</f>
        <v>1000</v>
      </c>
      <c r="DP21" s="41" t="b">
        <f t="shared" si="28"/>
        <v>0</v>
      </c>
      <c r="DQ21" s="42"/>
      <c r="DR21" s="42"/>
      <c r="DS21" s="42" t="e">
        <f>NA()</f>
        <v>#N/A</v>
      </c>
      <c r="DT21" s="42"/>
      <c r="DU21" s="43"/>
      <c r="DV21" s="40">
        <f t="shared" si="29"/>
        <v>727.08971955987431</v>
      </c>
      <c r="DW21" s="40">
        <f t="shared" si="5"/>
        <v>1000</v>
      </c>
      <c r="DX21" s="41" t="b">
        <f t="shared" si="6"/>
        <v>0</v>
      </c>
      <c r="DZ21" s="29">
        <f t="shared" si="30"/>
        <v>727.08971955987431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727.08971955987431</v>
      </c>
      <c r="EC21" s="29">
        <f t="shared" si="31"/>
        <v>1000</v>
      </c>
      <c r="ED21" s="29">
        <f>Buckets_1_24[[#This Row],[Capacity]]-Buckets_1_24[[#This Row],[After T]]</f>
        <v>272.91028044012569</v>
      </c>
      <c r="EE21" s="29">
        <f>MAX(-Buckets_1_24[[#This Row],[Cap Diff]], 0)</f>
        <v>0</v>
      </c>
      <c r="EF21" s="29">
        <f>Buckets_1_24[[#This Row],[After T]]-Buckets_1_24[[#This Row],[Slush]]</f>
        <v>727.08971955987431</v>
      </c>
      <c r="EG21" s="29">
        <f>Buckets_1_24[[#This Row],[Capacity]]-Buckets_1_24[[#This Row],[Before Fill]]</f>
        <v>272.91028044012569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727.08971955987431</v>
      </c>
      <c r="EK21" s="29">
        <f>IF(NOT(Buckets_1_24[[#This Row],[Is Crit]]), Buckets_1_24[[#This Row],[S Cap Diff]], 0)</f>
        <v>272.91028044012569</v>
      </c>
      <c r="EL21" s="31">
        <f>EJ$41/Buckets_1_24[[#Totals],[NC To Fill]]*Buckets_1_24[[#This Row],[NC To Fill]]</f>
        <v>167.56484360261385</v>
      </c>
      <c r="EM21" s="31">
        <f>Buckets_1_24[[#This Row],[Crit Filled]]+Buckets_1_24[[#This Row],[Scaled]]</f>
        <v>894.6545631624881</v>
      </c>
      <c r="EN21" s="31">
        <f>Buckets_1_24[[#This Row],[NC Filled]]</f>
        <v>894.6545631624881</v>
      </c>
      <c r="EO21" s="31">
        <f>Buckets_1_24[[#This Row],[Capacity]]-Buckets_1_24[[#This Row],[Final]]</f>
        <v>105.3454368375119</v>
      </c>
      <c r="EP21" s="33">
        <f>IF(Buckets_1_24[[#This Row],[Capacity]]=0, 1, Buckets_1_24[[#This Row],[Final]]/Buckets_1_24[[#This Row],[Capacity]])</f>
        <v>0.89465456316248815</v>
      </c>
      <c r="ER21" s="40">
        <f>Buckets_1_24[[#This Row],[Final]]</f>
        <v>894.6545631624881</v>
      </c>
      <c r="ES21" s="40">
        <f>Buckets_1_24[[#This Row],[Capacity]]</f>
        <v>1000</v>
      </c>
      <c r="ET21" s="41" t="b">
        <f t="shared" si="32"/>
        <v>0</v>
      </c>
      <c r="EU21" s="42"/>
      <c r="EV21" s="42"/>
      <c r="EW21" s="42"/>
      <c r="EX21" s="42"/>
      <c r="EY21" s="43"/>
      <c r="EZ21" s="40">
        <f t="shared" si="33"/>
        <v>894.6545631624881</v>
      </c>
      <c r="FA21" s="40">
        <f t="shared" si="34"/>
        <v>1000</v>
      </c>
      <c r="FB21" s="41" t="b">
        <f t="shared" si="7"/>
        <v>0</v>
      </c>
      <c r="FD21" s="29">
        <f t="shared" si="35"/>
        <v>894.6545631624881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894.6545631624881</v>
      </c>
      <c r="FG21" s="29">
        <f t="shared" si="36"/>
        <v>1000</v>
      </c>
      <c r="FH21" s="29">
        <f>Buckets_2_24[[#This Row],[Capacity]]-Buckets_2_24[[#This Row],[After T]]</f>
        <v>105.3454368375119</v>
      </c>
      <c r="FI21" s="29">
        <f>MAX(-Buckets_2_24[[#This Row],[Cap Diff]], 0)</f>
        <v>0</v>
      </c>
      <c r="FJ21" s="29">
        <f>Buckets_2_24[[#This Row],[After T]]-Buckets_2_24[[#This Row],[Slush]]</f>
        <v>894.6545631624881</v>
      </c>
      <c r="FK21" s="29">
        <f>Buckets_2_24[[#This Row],[Capacity]]-Buckets_2_24[[#This Row],[Before Fill]]</f>
        <v>105.3454368375119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894.6545631624881</v>
      </c>
      <c r="FO21" s="29">
        <f>IF(NOT(Buckets_2_24[[#This Row],[Is Crit]]), Buckets_2_24[[#This Row],[S Cap Diff]], 0)</f>
        <v>105.3454368375119</v>
      </c>
      <c r="FP21" s="31">
        <f>FN$41/Buckets_2_24[[#Totals],[NC To Fill]]*Buckets_2_24[[#This Row],[NC To Fill]]</f>
        <v>101.48407706599431</v>
      </c>
      <c r="FQ21" s="31">
        <f>Buckets_2_24[[#This Row],[Crit Filled]]+Buckets_2_24[[#This Row],[Scaled]]</f>
        <v>996.13864022848247</v>
      </c>
      <c r="FR21" s="31">
        <f>Buckets_2_24[[#This Row],[NC Filled]]</f>
        <v>996.13864022848247</v>
      </c>
      <c r="FS21" s="31">
        <f>Buckets_2_24[[#This Row],[Capacity]]-Buckets_2_24[[#This Row],[Final]]</f>
        <v>3.8613597715175274</v>
      </c>
      <c r="FT21" s="33">
        <f>IF(Buckets_2_24[[#This Row],[Capacity]]=0, 1, Buckets_2_24[[#This Row],[Final]]/Buckets_2_24[[#This Row],[Capacity]])</f>
        <v>0.99613864022848242</v>
      </c>
      <c r="FV21" s="40">
        <f>Buckets_2_24[[#This Row],[Final]]</f>
        <v>996.13864022848247</v>
      </c>
      <c r="FW21" s="40">
        <f>Buckets_2_24[[#This Row],[Capacity]]</f>
        <v>1000</v>
      </c>
      <c r="FX21" s="41" t="b">
        <f t="shared" si="37"/>
        <v>0</v>
      </c>
      <c r="FY21" s="42"/>
      <c r="FZ21" s="42"/>
      <c r="GA21" s="42"/>
      <c r="GB21" s="42"/>
      <c r="GC21" s="43"/>
      <c r="GD21" s="40">
        <f t="shared" si="38"/>
        <v>996.13864022848247</v>
      </c>
      <c r="GE21" s="40">
        <f t="shared" si="39"/>
        <v>1000</v>
      </c>
      <c r="GF21" s="41" t="b">
        <f t="shared" si="8"/>
        <v>0</v>
      </c>
      <c r="GH21" s="29">
        <f t="shared" si="40"/>
        <v>996.13864022848247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996.13864022848247</v>
      </c>
      <c r="GK21" s="29">
        <f t="shared" si="41"/>
        <v>1000</v>
      </c>
      <c r="GL21" s="29">
        <f>Buckets_3_24[[#This Row],[Capacity]]-Buckets_3_24[[#This Row],[After T]]</f>
        <v>3.8613597715175274</v>
      </c>
      <c r="GM21" s="29">
        <f>MAX(-Buckets_3_24[[#This Row],[Cap Diff]], 0)</f>
        <v>0</v>
      </c>
      <c r="GN21" s="29">
        <f>Buckets_3_24[[#This Row],[After T]]-Buckets_3_24[[#This Row],[Slush]]</f>
        <v>996.13864022848247</v>
      </c>
      <c r="GO21" s="29">
        <f>Buckets_3_24[[#This Row],[Capacity]]-Buckets_3_24[[#This Row],[Before Fill]]</f>
        <v>3.8613597715175274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996.13864022848247</v>
      </c>
      <c r="GS21" s="29">
        <f>IF(NOT(Buckets_3_24[[#This Row],[Is Crit]]), Buckets_3_24[[#This Row],[S Cap Diff]], 0)</f>
        <v>3.8613597715175274</v>
      </c>
      <c r="GT21" s="31">
        <f>GR$41/Buckets_3_24[[#Totals],[NC To Fill]]*Buckets_3_24[[#This Row],[NC To Fill]]</f>
        <v>3.7503023852483262</v>
      </c>
      <c r="GU21" s="31">
        <f>Buckets_3_24[[#This Row],[Crit Filled]]+Buckets_3_24[[#This Row],[Scaled]]</f>
        <v>999.88894261373082</v>
      </c>
      <c r="GV21" s="31">
        <f>Buckets_3_24[[#This Row],[NC Filled]]</f>
        <v>999.88894261373082</v>
      </c>
      <c r="GW21" s="31">
        <f>Buckets_3_24[[#This Row],[Capacity]]-Buckets_3_24[[#This Row],[Final]]</f>
        <v>0.11105738626918082</v>
      </c>
      <c r="GX21" s="33">
        <f>IF(Buckets_3_24[[#This Row],[Capacity]]=0, 1, Buckets_3_24[[#This Row],[Final]]/Buckets_3_24[[#This Row],[Capacity]])</f>
        <v>0.99988894261373085</v>
      </c>
      <c r="GZ21" s="40">
        <f>Buckets_3_24[[#This Row],[Final]]</f>
        <v>999.88894261373082</v>
      </c>
      <c r="HA21" s="40">
        <f>Buckets_3_24[[#This Row],[Capacity]]</f>
        <v>1000</v>
      </c>
      <c r="HB21" s="41" t="b">
        <f t="shared" si="42"/>
        <v>0</v>
      </c>
      <c r="HC21" s="42"/>
      <c r="HD21" s="42"/>
      <c r="HE21" s="42"/>
      <c r="HF21" s="42"/>
      <c r="HG21" s="43"/>
      <c r="HH21" s="40">
        <f t="shared" si="43"/>
        <v>999.88894261373082</v>
      </c>
      <c r="HI21" s="40">
        <f t="shared" si="44"/>
        <v>1000</v>
      </c>
      <c r="HJ21" s="41" t="b">
        <f t="shared" si="9"/>
        <v>0</v>
      </c>
      <c r="HL21" s="29">
        <f t="shared" si="45"/>
        <v>999.88894261373082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999.88894261373082</v>
      </c>
      <c r="HO21" s="29">
        <f t="shared" si="46"/>
        <v>1000</v>
      </c>
      <c r="HP21" s="29">
        <f>Buckets_4_24[[#This Row],[Capacity]]-Buckets_4_24[[#This Row],[After T]]</f>
        <v>0.11105738626918082</v>
      </c>
      <c r="HQ21" s="29">
        <f>MAX(-Buckets_4_24[[#This Row],[Cap Diff]], 0)</f>
        <v>0</v>
      </c>
      <c r="HR21" s="29">
        <f>Buckets_4_24[[#This Row],[After T]]-Buckets_4_24[[#This Row],[Slush]]</f>
        <v>999.88894261373082</v>
      </c>
      <c r="HS21" s="29">
        <f>Buckets_4_24[[#This Row],[Capacity]]-Buckets_4_24[[#This Row],[Before Fill]]</f>
        <v>0.11105738626918082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999.88894261373082</v>
      </c>
      <c r="HW21" s="29">
        <f>IF(NOT(Buckets_4_24[[#This Row],[Is Crit]]), Buckets_4_24[[#This Row],[S Cap Diff]], 0)</f>
        <v>0.11105738626918082</v>
      </c>
      <c r="HX21" s="31">
        <f>HV$41/Buckets_4_24[[#Totals],[NC To Fill]]*Buckets_4_24[[#This Row],[NC To Fill]]</f>
        <v>7.2473785411456715E-2</v>
      </c>
      <c r="HY21" s="31">
        <f>Buckets_4_24[[#This Row],[Crit Filled]]+Buckets_4_24[[#This Row],[Scaled]]</f>
        <v>999.96141639914231</v>
      </c>
      <c r="HZ21" s="31">
        <f>Buckets_4_24[[#This Row],[NC Filled]]</f>
        <v>999.96141639914231</v>
      </c>
      <c r="IA21" s="31">
        <f>Buckets_4_24[[#This Row],[Capacity]]-Buckets_4_24[[#This Row],[Final]]</f>
        <v>3.8583600857691636E-2</v>
      </c>
      <c r="IB21" s="33">
        <f>IF(Buckets_4_24[[#This Row],[Capacity]]=0, 1, Buckets_4_24[[#This Row],[Final]]/Buckets_4_24[[#This Row],[Capacity]])</f>
        <v>0.99996141639914227</v>
      </c>
      <c r="ID21" s="40">
        <f>Buckets_4_24[[#This Row],[Final]]</f>
        <v>999.96141639914231</v>
      </c>
      <c r="IE21" s="40">
        <f>Buckets_4_24[[#This Row],[Capacity]]</f>
        <v>1000</v>
      </c>
      <c r="IF21" s="41" t="b">
        <f t="shared" si="47"/>
        <v>0</v>
      </c>
      <c r="IG21" s="42"/>
      <c r="IH21" s="42"/>
      <c r="II21" s="42"/>
      <c r="IJ21" s="42"/>
      <c r="IK21" s="43"/>
      <c r="IL21" s="40">
        <f t="shared" si="48"/>
        <v>999.96141639914231</v>
      </c>
      <c r="IM21" s="40">
        <f t="shared" si="49"/>
        <v>1000</v>
      </c>
      <c r="IN21" s="41" t="b">
        <f t="shared" si="10"/>
        <v>0</v>
      </c>
    </row>
    <row r="22" spans="1:24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8">
        <v>0</v>
      </c>
      <c r="H22" t="b">
        <v>0</v>
      </c>
      <c r="J22" s="29">
        <f t="shared" si="11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2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 t="shared" si="13"/>
        <v>0</v>
      </c>
      <c r="AD22" t="b">
        <f t="shared" si="14"/>
        <v>0</v>
      </c>
      <c r="AE22" s="43" t="e">
        <f>NA()</f>
        <v>#N/A</v>
      </c>
      <c r="AF22" s="42"/>
      <c r="AG22" s="43" t="e">
        <f>NA()</f>
        <v>#N/A</v>
      </c>
      <c r="AH22" s="42"/>
      <c r="AI22" s="43"/>
      <c r="AJ22" s="31">
        <f t="shared" si="15"/>
        <v>0</v>
      </c>
      <c r="AK22" s="31">
        <f t="shared" si="16"/>
        <v>0</v>
      </c>
      <c r="AL22" t="b">
        <f t="shared" si="17"/>
        <v>0</v>
      </c>
      <c r="AN22" s="29">
        <f t="shared" si="18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19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31">
        <f>AX$41/Buckets_10_23[[#Totals],[NC To Fill]]*Buckets_10_23[[#This Row],[NC To Fill]]</f>
        <v>0</v>
      </c>
      <c r="BA22" s="31">
        <f>Buckets_10_23[[#This Row],[Crit Filled]]+Buckets_10_23[[#This Row],[Scaled]]</f>
        <v>0</v>
      </c>
      <c r="BB22" s="31">
        <f>Buckets_10_23[[#This Row],[NC Filled]]</f>
        <v>0</v>
      </c>
      <c r="BC22" s="31">
        <f>Buckets_10_23[[#This Row],[Capacity]]-Buckets_10_23[[#This Row],[Final]]</f>
        <v>0</v>
      </c>
      <c r="BD22" s="33">
        <f>IF(Buckets_10_23[[#This Row],[Capacity]]=0, 1, Buckets_10_23[[#This Row],[Final]]/Buckets_10_23[[#This Row],[Capacity]])</f>
        <v>1</v>
      </c>
      <c r="BF22" s="31">
        <f>Buckets_10_23[[#This Row],[Final]]</f>
        <v>0</v>
      </c>
      <c r="BG22" s="31">
        <f>Buckets_10_23[[#This Row],[Capacity]]</f>
        <v>0</v>
      </c>
      <c r="BH22" t="b">
        <f t="shared" si="20"/>
        <v>0</v>
      </c>
      <c r="BI22" s="43" t="e">
        <f>NA()</f>
        <v>#N/A</v>
      </c>
      <c r="BJ22" s="42"/>
      <c r="BK22" s="43" t="e">
        <f>NA()</f>
        <v>#N/A</v>
      </c>
      <c r="BL22" s="42"/>
      <c r="BM22" s="43"/>
      <c r="BN22" s="31">
        <f t="shared" si="21"/>
        <v>0</v>
      </c>
      <c r="BO22" s="31">
        <f t="shared" si="1"/>
        <v>0</v>
      </c>
      <c r="BP22" t="b">
        <f t="shared" si="2"/>
        <v>0</v>
      </c>
      <c r="BR22" s="29">
        <f t="shared" si="22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3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31">
        <f>CB$41/Buckets_11_23[[#Totals],[NC To Fill]]*Buckets_11_23[[#This Row],[NC To Fill]]</f>
        <v>0</v>
      </c>
      <c r="CE22" s="31">
        <f>Buckets_11_23[[#This Row],[Crit Filled]]+Buckets_11_23[[#This Row],[Scaled]]</f>
        <v>0</v>
      </c>
      <c r="CF22" s="31">
        <f>Buckets_11_23[[#This Row],[NC Filled]]</f>
        <v>0</v>
      </c>
      <c r="CG22" s="31">
        <f>Buckets_11_23[[#This Row],[Capacity]]-Buckets_11_23[[#This Row],[Final]]</f>
        <v>0</v>
      </c>
      <c r="CH22" s="33">
        <f>IF(Buckets_11_23[[#This Row],[Capacity]]=0, 1, Buckets_11_23[[#This Row],[Final]]/Buckets_11_23[[#This Row],[Capacity]])</f>
        <v>1</v>
      </c>
      <c r="CJ22" s="40">
        <f>Buckets_11_23[[#This Row],[Final]]</f>
        <v>0</v>
      </c>
      <c r="CK22" s="40">
        <f>Buckets_11_23[[#This Row],[Capacity]]</f>
        <v>0</v>
      </c>
      <c r="CL22" s="41" t="b">
        <f t="shared" si="24"/>
        <v>0</v>
      </c>
      <c r="CM22" s="42"/>
      <c r="CN22" s="42"/>
      <c r="CO22" s="42" t="e">
        <f>NA()</f>
        <v>#N/A</v>
      </c>
      <c r="CP22" s="42"/>
      <c r="CQ22" s="43"/>
      <c r="CR22" s="40">
        <f t="shared" si="25"/>
        <v>0</v>
      </c>
      <c r="CS22" s="40">
        <f t="shared" si="3"/>
        <v>0</v>
      </c>
      <c r="CT22" s="41" t="b">
        <f t="shared" si="4"/>
        <v>0</v>
      </c>
      <c r="CV22" s="29">
        <f t="shared" si="26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7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31">
        <f>DF$41/Buckets_12_23[[#Totals],[NC To Fill]]*Buckets_12_23[[#This Row],[NC To Fill]]</f>
        <v>0</v>
      </c>
      <c r="DI22" s="31">
        <f>Buckets_12_23[[#This Row],[Crit Filled]]+Buckets_12_23[[#This Row],[Scaled]]</f>
        <v>0</v>
      </c>
      <c r="DJ22" s="31">
        <f>Buckets_12_23[[#This Row],[NC Filled]]</f>
        <v>0</v>
      </c>
      <c r="DK22" s="31">
        <f>Buckets_12_23[[#This Row],[Capacity]]-Buckets_12_23[[#This Row],[Final]]</f>
        <v>0</v>
      </c>
      <c r="DL22" s="33">
        <f>IF(Buckets_12_23[[#This Row],[Capacity]]=0, 1, Buckets_12_23[[#This Row],[Final]]/Buckets_12_23[[#This Row],[Capacity]])</f>
        <v>1</v>
      </c>
      <c r="DN22" s="40">
        <f>Buckets_12_23[[#This Row],[Final]]</f>
        <v>0</v>
      </c>
      <c r="DO22" s="40">
        <f>Buckets_12_23[[#This Row],[Capacity]]</f>
        <v>0</v>
      </c>
      <c r="DP22" s="41" t="b">
        <f t="shared" si="28"/>
        <v>0</v>
      </c>
      <c r="DQ22" s="42"/>
      <c r="DR22" s="42"/>
      <c r="DS22" s="42" t="e">
        <f>NA()</f>
        <v>#N/A</v>
      </c>
      <c r="DT22" s="42"/>
      <c r="DU22" s="43"/>
      <c r="DV22" s="40">
        <f t="shared" si="29"/>
        <v>0</v>
      </c>
      <c r="DW22" s="40">
        <f t="shared" si="5"/>
        <v>0</v>
      </c>
      <c r="DX22" s="41" t="b">
        <f t="shared" si="6"/>
        <v>0</v>
      </c>
      <c r="DZ22" s="29">
        <f t="shared" si="30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1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31">
        <f>EJ$41/Buckets_1_24[[#Totals],[NC To Fill]]*Buckets_1_24[[#This Row],[NC To Fill]]</f>
        <v>0</v>
      </c>
      <c r="EM22" s="31">
        <f>Buckets_1_24[[#This Row],[Crit Filled]]+Buckets_1_24[[#This Row],[Scaled]]</f>
        <v>0</v>
      </c>
      <c r="EN22" s="31">
        <f>Buckets_1_24[[#This Row],[NC Filled]]</f>
        <v>0</v>
      </c>
      <c r="EO22" s="31">
        <f>Buckets_1_24[[#This Row],[Capacity]]-Buckets_1_24[[#This Row],[Final]]</f>
        <v>0</v>
      </c>
      <c r="EP22" s="33">
        <f>IF(Buckets_1_24[[#This Row],[Capacity]]=0, 1, Buckets_1_24[[#This Row],[Final]]/Buckets_1_24[[#This Row],[Capacity]])</f>
        <v>1</v>
      </c>
      <c r="ER22" s="40">
        <f>Buckets_1_24[[#This Row],[Final]]</f>
        <v>0</v>
      </c>
      <c r="ES22" s="40">
        <f>Buckets_1_24[[#This Row],[Capacity]]</f>
        <v>0</v>
      </c>
      <c r="ET22" s="41" t="b">
        <f t="shared" si="32"/>
        <v>0</v>
      </c>
      <c r="EU22" s="42"/>
      <c r="EV22" s="42"/>
      <c r="EW22" s="42"/>
      <c r="EX22" s="42"/>
      <c r="EY22" s="43"/>
      <c r="EZ22" s="40">
        <f t="shared" si="33"/>
        <v>0</v>
      </c>
      <c r="FA22" s="40">
        <f t="shared" si="34"/>
        <v>0</v>
      </c>
      <c r="FB22" s="41" t="b">
        <f t="shared" si="7"/>
        <v>0</v>
      </c>
      <c r="FD22" s="29">
        <f t="shared" si="35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6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31">
        <f>FN$41/Buckets_2_24[[#Totals],[NC To Fill]]*Buckets_2_24[[#This Row],[NC To Fill]]</f>
        <v>0</v>
      </c>
      <c r="FQ22" s="31">
        <f>Buckets_2_24[[#This Row],[Crit Filled]]+Buckets_2_24[[#This Row],[Scaled]]</f>
        <v>0</v>
      </c>
      <c r="FR22" s="31">
        <f>Buckets_2_24[[#This Row],[NC Filled]]</f>
        <v>0</v>
      </c>
      <c r="FS22" s="31">
        <f>Buckets_2_24[[#This Row],[Capacity]]-Buckets_2_24[[#This Row],[Final]]</f>
        <v>0</v>
      </c>
      <c r="FT22" s="33">
        <f>IF(Buckets_2_24[[#This Row],[Capacity]]=0, 1, Buckets_2_24[[#This Row],[Final]]/Buckets_2_24[[#This Row],[Capacity]])</f>
        <v>1</v>
      </c>
      <c r="FV22" s="40">
        <f>Buckets_2_24[[#This Row],[Final]]</f>
        <v>0</v>
      </c>
      <c r="FW22" s="40">
        <f>Buckets_2_24[[#This Row],[Capacity]]</f>
        <v>0</v>
      </c>
      <c r="FX22" s="41" t="b">
        <f t="shared" si="37"/>
        <v>0</v>
      </c>
      <c r="FY22" s="42"/>
      <c r="FZ22" s="42"/>
      <c r="GA22" s="42"/>
      <c r="GB22" s="42"/>
      <c r="GC22" s="43"/>
      <c r="GD22" s="40">
        <f t="shared" si="38"/>
        <v>0</v>
      </c>
      <c r="GE22" s="40">
        <f t="shared" si="39"/>
        <v>0</v>
      </c>
      <c r="GF22" s="41" t="b">
        <f t="shared" si="8"/>
        <v>0</v>
      </c>
      <c r="GH22" s="29">
        <f t="shared" si="40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1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31">
        <f>GR$41/Buckets_3_24[[#Totals],[NC To Fill]]*Buckets_3_24[[#This Row],[NC To Fill]]</f>
        <v>0</v>
      </c>
      <c r="GU22" s="31">
        <f>Buckets_3_24[[#This Row],[Crit Filled]]+Buckets_3_24[[#This Row],[Scaled]]</f>
        <v>0</v>
      </c>
      <c r="GV22" s="31">
        <f>Buckets_3_24[[#This Row],[NC Filled]]</f>
        <v>0</v>
      </c>
      <c r="GW22" s="31">
        <f>Buckets_3_24[[#This Row],[Capacity]]-Buckets_3_24[[#This Row],[Final]]</f>
        <v>0</v>
      </c>
      <c r="GX22" s="33">
        <f>IF(Buckets_3_24[[#This Row],[Capacity]]=0, 1, Buckets_3_24[[#This Row],[Final]]/Buckets_3_24[[#This Row],[Capacity]])</f>
        <v>1</v>
      </c>
      <c r="GZ22" s="40">
        <f>Buckets_3_24[[#This Row],[Final]]</f>
        <v>0</v>
      </c>
      <c r="HA22" s="40">
        <f>Buckets_3_24[[#This Row],[Capacity]]</f>
        <v>0</v>
      </c>
      <c r="HB22" s="41" t="b">
        <f t="shared" si="42"/>
        <v>0</v>
      </c>
      <c r="HC22" s="42"/>
      <c r="HD22" s="42"/>
      <c r="HE22" s="42"/>
      <c r="HF22" s="42"/>
      <c r="HG22" s="43"/>
      <c r="HH22" s="40">
        <f t="shared" si="43"/>
        <v>0</v>
      </c>
      <c r="HI22" s="40">
        <f t="shared" si="44"/>
        <v>0</v>
      </c>
      <c r="HJ22" s="41" t="b">
        <f t="shared" si="9"/>
        <v>0</v>
      </c>
      <c r="HL22" s="29">
        <f t="shared" si="45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6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31">
        <f>HV$41/Buckets_4_24[[#Totals],[NC To Fill]]*Buckets_4_24[[#This Row],[NC To Fill]]</f>
        <v>0</v>
      </c>
      <c r="HY22" s="31">
        <f>Buckets_4_24[[#This Row],[Crit Filled]]+Buckets_4_24[[#This Row],[Scaled]]</f>
        <v>0</v>
      </c>
      <c r="HZ22" s="31">
        <f>Buckets_4_24[[#This Row],[NC Filled]]</f>
        <v>0</v>
      </c>
      <c r="IA22" s="31">
        <f>Buckets_4_24[[#This Row],[Capacity]]-Buckets_4_24[[#This Row],[Final]]</f>
        <v>0</v>
      </c>
      <c r="IB22" s="33">
        <f>IF(Buckets_4_24[[#This Row],[Capacity]]=0, 1, Buckets_4_24[[#This Row],[Final]]/Buckets_4_24[[#This Row],[Capacity]])</f>
        <v>1</v>
      </c>
      <c r="ID22" s="40">
        <f>Buckets_4_24[[#This Row],[Final]]</f>
        <v>0</v>
      </c>
      <c r="IE22" s="40">
        <f>Buckets_4_24[[#This Row],[Capacity]]</f>
        <v>0</v>
      </c>
      <c r="IF22" s="41" t="b">
        <f t="shared" si="47"/>
        <v>0</v>
      </c>
      <c r="IG22" s="42"/>
      <c r="IH22" s="42"/>
      <c r="II22" s="42"/>
      <c r="IJ22" s="42"/>
      <c r="IK22" s="43"/>
      <c r="IL22" s="40">
        <f t="shared" si="48"/>
        <v>0</v>
      </c>
      <c r="IM22" s="40">
        <f t="shared" si="49"/>
        <v>0</v>
      </c>
      <c r="IN22" s="41" t="b">
        <f t="shared" si="10"/>
        <v>0</v>
      </c>
    </row>
    <row r="23" spans="1:24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8">
        <v>0</v>
      </c>
      <c r="H23" t="b">
        <v>0</v>
      </c>
      <c r="J23" s="29">
        <f t="shared" si="11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2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 t="shared" si="13"/>
        <v>0</v>
      </c>
      <c r="AD23" t="b">
        <f t="shared" si="14"/>
        <v>0</v>
      </c>
      <c r="AE23" s="43" t="e">
        <f>NA()</f>
        <v>#N/A</v>
      </c>
      <c r="AF23" s="42"/>
      <c r="AG23" s="43" t="e">
        <f>NA()</f>
        <v>#N/A</v>
      </c>
      <c r="AH23" s="42"/>
      <c r="AI23" s="43"/>
      <c r="AJ23" s="31">
        <f t="shared" si="15"/>
        <v>0</v>
      </c>
      <c r="AK23" s="31">
        <f t="shared" si="16"/>
        <v>0</v>
      </c>
      <c r="AL23" t="b">
        <f t="shared" si="17"/>
        <v>0</v>
      </c>
      <c r="AN23" s="29">
        <f t="shared" si="18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19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31">
        <f>AX$41/Buckets_10_23[[#Totals],[NC To Fill]]*Buckets_10_23[[#This Row],[NC To Fill]]</f>
        <v>0</v>
      </c>
      <c r="BA23" s="31">
        <f>Buckets_10_23[[#This Row],[Crit Filled]]+Buckets_10_23[[#This Row],[Scaled]]</f>
        <v>0</v>
      </c>
      <c r="BB23" s="31">
        <f>Buckets_10_23[[#This Row],[NC Filled]]</f>
        <v>0</v>
      </c>
      <c r="BC23" s="31">
        <f>Buckets_10_23[[#This Row],[Capacity]]-Buckets_10_23[[#This Row],[Final]]</f>
        <v>0</v>
      </c>
      <c r="BD23" s="33">
        <f>IF(Buckets_10_23[[#This Row],[Capacity]]=0, 1, Buckets_10_23[[#This Row],[Final]]/Buckets_10_23[[#This Row],[Capacity]])</f>
        <v>1</v>
      </c>
      <c r="BF23" s="31">
        <f>Buckets_10_23[[#This Row],[Final]]</f>
        <v>0</v>
      </c>
      <c r="BG23" s="31">
        <f>Buckets_10_23[[#This Row],[Capacity]]</f>
        <v>0</v>
      </c>
      <c r="BH23" t="b">
        <f t="shared" si="20"/>
        <v>0</v>
      </c>
      <c r="BI23" s="43" t="e">
        <f>NA()</f>
        <v>#N/A</v>
      </c>
      <c r="BJ23" s="42"/>
      <c r="BK23" s="43" t="e">
        <f>NA()</f>
        <v>#N/A</v>
      </c>
      <c r="BL23" s="42"/>
      <c r="BM23" s="43"/>
      <c r="BN23" s="31">
        <f t="shared" si="21"/>
        <v>0</v>
      </c>
      <c r="BO23" s="31">
        <f t="shared" si="1"/>
        <v>0</v>
      </c>
      <c r="BP23" t="b">
        <f t="shared" si="2"/>
        <v>0</v>
      </c>
      <c r="BR23" s="29">
        <f t="shared" si="22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3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31">
        <f>CB$41/Buckets_11_23[[#Totals],[NC To Fill]]*Buckets_11_23[[#This Row],[NC To Fill]]</f>
        <v>0</v>
      </c>
      <c r="CE23" s="31">
        <f>Buckets_11_23[[#This Row],[Crit Filled]]+Buckets_11_23[[#This Row],[Scaled]]</f>
        <v>0</v>
      </c>
      <c r="CF23" s="31">
        <f>Buckets_11_23[[#This Row],[NC Filled]]</f>
        <v>0</v>
      </c>
      <c r="CG23" s="31">
        <f>Buckets_11_23[[#This Row],[Capacity]]-Buckets_11_23[[#This Row],[Final]]</f>
        <v>0</v>
      </c>
      <c r="CH23" s="33">
        <f>IF(Buckets_11_23[[#This Row],[Capacity]]=0, 1, Buckets_11_23[[#This Row],[Final]]/Buckets_11_23[[#This Row],[Capacity]])</f>
        <v>1</v>
      </c>
      <c r="CJ23" s="40">
        <f>Buckets_11_23[[#This Row],[Final]]</f>
        <v>0</v>
      </c>
      <c r="CK23" s="40">
        <f>Buckets_11_23[[#This Row],[Capacity]]</f>
        <v>0</v>
      </c>
      <c r="CL23" s="41" t="b">
        <f t="shared" si="24"/>
        <v>0</v>
      </c>
      <c r="CM23" s="42"/>
      <c r="CN23" s="42"/>
      <c r="CO23" s="42" t="e">
        <f>NA()</f>
        <v>#N/A</v>
      </c>
      <c r="CP23" s="42"/>
      <c r="CQ23" s="43"/>
      <c r="CR23" s="40">
        <f t="shared" si="25"/>
        <v>0</v>
      </c>
      <c r="CS23" s="40">
        <f t="shared" si="3"/>
        <v>0</v>
      </c>
      <c r="CT23" s="41" t="b">
        <f t="shared" si="4"/>
        <v>0</v>
      </c>
      <c r="CV23" s="29">
        <f t="shared" si="26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7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31">
        <f>DF$41/Buckets_12_23[[#Totals],[NC To Fill]]*Buckets_12_23[[#This Row],[NC To Fill]]</f>
        <v>0</v>
      </c>
      <c r="DI23" s="31">
        <f>Buckets_12_23[[#This Row],[Crit Filled]]+Buckets_12_23[[#This Row],[Scaled]]</f>
        <v>0</v>
      </c>
      <c r="DJ23" s="31">
        <f>Buckets_12_23[[#This Row],[NC Filled]]</f>
        <v>0</v>
      </c>
      <c r="DK23" s="31">
        <f>Buckets_12_23[[#This Row],[Capacity]]-Buckets_12_23[[#This Row],[Final]]</f>
        <v>0</v>
      </c>
      <c r="DL23" s="33">
        <f>IF(Buckets_12_23[[#This Row],[Capacity]]=0, 1, Buckets_12_23[[#This Row],[Final]]/Buckets_12_23[[#This Row],[Capacity]])</f>
        <v>1</v>
      </c>
      <c r="DN23" s="40">
        <f>Buckets_12_23[[#This Row],[Final]]</f>
        <v>0</v>
      </c>
      <c r="DO23" s="40">
        <f>Buckets_12_23[[#This Row],[Capacity]]</f>
        <v>0</v>
      </c>
      <c r="DP23" s="41" t="b">
        <f t="shared" si="28"/>
        <v>0</v>
      </c>
      <c r="DQ23" s="42"/>
      <c r="DR23" s="42"/>
      <c r="DS23" s="42" t="e">
        <f>NA()</f>
        <v>#N/A</v>
      </c>
      <c r="DT23" s="42"/>
      <c r="DU23" s="43"/>
      <c r="DV23" s="40">
        <f t="shared" si="29"/>
        <v>0</v>
      </c>
      <c r="DW23" s="40">
        <f t="shared" si="5"/>
        <v>0</v>
      </c>
      <c r="DX23" s="41" t="b">
        <f t="shared" si="6"/>
        <v>0</v>
      </c>
      <c r="DZ23" s="29">
        <f t="shared" si="30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1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31">
        <f>EJ$41/Buckets_1_24[[#Totals],[NC To Fill]]*Buckets_1_24[[#This Row],[NC To Fill]]</f>
        <v>0</v>
      </c>
      <c r="EM23" s="31">
        <f>Buckets_1_24[[#This Row],[Crit Filled]]+Buckets_1_24[[#This Row],[Scaled]]</f>
        <v>0</v>
      </c>
      <c r="EN23" s="31">
        <f>Buckets_1_24[[#This Row],[NC Filled]]</f>
        <v>0</v>
      </c>
      <c r="EO23" s="31">
        <f>Buckets_1_24[[#This Row],[Capacity]]-Buckets_1_24[[#This Row],[Final]]</f>
        <v>0</v>
      </c>
      <c r="EP23" s="33">
        <f>IF(Buckets_1_24[[#This Row],[Capacity]]=0, 1, Buckets_1_24[[#This Row],[Final]]/Buckets_1_24[[#This Row],[Capacity]])</f>
        <v>1</v>
      </c>
      <c r="ER23" s="40">
        <f>Buckets_1_24[[#This Row],[Final]]</f>
        <v>0</v>
      </c>
      <c r="ES23" s="40">
        <f>Buckets_1_24[[#This Row],[Capacity]]</f>
        <v>0</v>
      </c>
      <c r="ET23" s="41" t="b">
        <f t="shared" si="32"/>
        <v>0</v>
      </c>
      <c r="EU23" s="42"/>
      <c r="EV23" s="42"/>
      <c r="EW23" s="42"/>
      <c r="EX23" s="42"/>
      <c r="EY23" s="43"/>
      <c r="EZ23" s="40">
        <f t="shared" si="33"/>
        <v>0</v>
      </c>
      <c r="FA23" s="40">
        <f t="shared" si="34"/>
        <v>0</v>
      </c>
      <c r="FB23" s="41" t="b">
        <f t="shared" si="7"/>
        <v>0</v>
      </c>
      <c r="FD23" s="29">
        <f t="shared" si="35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6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31">
        <f>FN$41/Buckets_2_24[[#Totals],[NC To Fill]]*Buckets_2_24[[#This Row],[NC To Fill]]</f>
        <v>0</v>
      </c>
      <c r="FQ23" s="31">
        <f>Buckets_2_24[[#This Row],[Crit Filled]]+Buckets_2_24[[#This Row],[Scaled]]</f>
        <v>0</v>
      </c>
      <c r="FR23" s="31">
        <f>Buckets_2_24[[#This Row],[NC Filled]]</f>
        <v>0</v>
      </c>
      <c r="FS23" s="31">
        <f>Buckets_2_24[[#This Row],[Capacity]]-Buckets_2_24[[#This Row],[Final]]</f>
        <v>0</v>
      </c>
      <c r="FT23" s="33">
        <f>IF(Buckets_2_24[[#This Row],[Capacity]]=0, 1, Buckets_2_24[[#This Row],[Final]]/Buckets_2_24[[#This Row],[Capacity]])</f>
        <v>1</v>
      </c>
      <c r="FV23" s="40">
        <f>Buckets_2_24[[#This Row],[Final]]</f>
        <v>0</v>
      </c>
      <c r="FW23" s="40">
        <f>Buckets_2_24[[#This Row],[Capacity]]</f>
        <v>0</v>
      </c>
      <c r="FX23" s="41" t="b">
        <f t="shared" si="37"/>
        <v>0</v>
      </c>
      <c r="FY23" s="42"/>
      <c r="FZ23" s="42"/>
      <c r="GA23" s="42"/>
      <c r="GB23" s="42"/>
      <c r="GC23" s="43"/>
      <c r="GD23" s="40">
        <f t="shared" si="38"/>
        <v>0</v>
      </c>
      <c r="GE23" s="40">
        <f t="shared" si="39"/>
        <v>0</v>
      </c>
      <c r="GF23" s="41" t="b">
        <f t="shared" si="8"/>
        <v>0</v>
      </c>
      <c r="GH23" s="29">
        <f t="shared" si="40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1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31">
        <f>GR$41/Buckets_3_24[[#Totals],[NC To Fill]]*Buckets_3_24[[#This Row],[NC To Fill]]</f>
        <v>0</v>
      </c>
      <c r="GU23" s="31">
        <f>Buckets_3_24[[#This Row],[Crit Filled]]+Buckets_3_24[[#This Row],[Scaled]]</f>
        <v>0</v>
      </c>
      <c r="GV23" s="31">
        <f>Buckets_3_24[[#This Row],[NC Filled]]</f>
        <v>0</v>
      </c>
      <c r="GW23" s="31">
        <f>Buckets_3_24[[#This Row],[Capacity]]-Buckets_3_24[[#This Row],[Final]]</f>
        <v>0</v>
      </c>
      <c r="GX23" s="33">
        <f>IF(Buckets_3_24[[#This Row],[Capacity]]=0, 1, Buckets_3_24[[#This Row],[Final]]/Buckets_3_24[[#This Row],[Capacity]])</f>
        <v>1</v>
      </c>
      <c r="GZ23" s="40">
        <f>Buckets_3_24[[#This Row],[Final]]</f>
        <v>0</v>
      </c>
      <c r="HA23" s="40">
        <f>Buckets_3_24[[#This Row],[Capacity]]</f>
        <v>0</v>
      </c>
      <c r="HB23" s="41" t="b">
        <f t="shared" si="42"/>
        <v>0</v>
      </c>
      <c r="HC23" s="42"/>
      <c r="HD23" s="42"/>
      <c r="HE23" s="42"/>
      <c r="HF23" s="42"/>
      <c r="HG23" s="43"/>
      <c r="HH23" s="40">
        <f t="shared" si="43"/>
        <v>0</v>
      </c>
      <c r="HI23" s="40">
        <f t="shared" si="44"/>
        <v>0</v>
      </c>
      <c r="HJ23" s="41" t="b">
        <f t="shared" si="9"/>
        <v>0</v>
      </c>
      <c r="HL23" s="29">
        <f t="shared" si="45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6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31">
        <f>HV$41/Buckets_4_24[[#Totals],[NC To Fill]]*Buckets_4_24[[#This Row],[NC To Fill]]</f>
        <v>0</v>
      </c>
      <c r="HY23" s="31">
        <f>Buckets_4_24[[#This Row],[Crit Filled]]+Buckets_4_24[[#This Row],[Scaled]]</f>
        <v>0</v>
      </c>
      <c r="HZ23" s="31">
        <f>Buckets_4_24[[#This Row],[NC Filled]]</f>
        <v>0</v>
      </c>
      <c r="IA23" s="31">
        <f>Buckets_4_24[[#This Row],[Capacity]]-Buckets_4_24[[#This Row],[Final]]</f>
        <v>0</v>
      </c>
      <c r="IB23" s="33">
        <f>IF(Buckets_4_24[[#This Row],[Capacity]]=0, 1, Buckets_4_24[[#This Row],[Final]]/Buckets_4_24[[#This Row],[Capacity]])</f>
        <v>1</v>
      </c>
      <c r="ID23" s="40">
        <f>Buckets_4_24[[#This Row],[Final]]</f>
        <v>0</v>
      </c>
      <c r="IE23" s="40">
        <f>Buckets_4_24[[#This Row],[Capacity]]</f>
        <v>0</v>
      </c>
      <c r="IF23" s="41" t="b">
        <f t="shared" si="47"/>
        <v>0</v>
      </c>
      <c r="IG23" s="42"/>
      <c r="IH23" s="42"/>
      <c r="II23" s="42"/>
      <c r="IJ23" s="42"/>
      <c r="IK23" s="43"/>
      <c r="IL23" s="40">
        <f t="shared" si="48"/>
        <v>0</v>
      </c>
      <c r="IM23" s="40">
        <f t="shared" si="49"/>
        <v>0</v>
      </c>
      <c r="IN23" s="41" t="b">
        <f t="shared" si="10"/>
        <v>0</v>
      </c>
    </row>
    <row r="24" spans="1:24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8">
        <v>0</v>
      </c>
      <c r="H24" t="b">
        <v>0</v>
      </c>
      <c r="J24" s="29">
        <f t="shared" si="11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2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 t="shared" si="13"/>
        <v>0</v>
      </c>
      <c r="AD24" t="b">
        <f t="shared" si="14"/>
        <v>0</v>
      </c>
      <c r="AE24" s="43" t="e">
        <f>NA()</f>
        <v>#N/A</v>
      </c>
      <c r="AF24" s="42"/>
      <c r="AG24" s="43" t="e">
        <f>NA()</f>
        <v>#N/A</v>
      </c>
      <c r="AH24" s="42"/>
      <c r="AI24" s="43"/>
      <c r="AJ24" s="31">
        <f t="shared" si="15"/>
        <v>0</v>
      </c>
      <c r="AK24" s="31">
        <f t="shared" si="16"/>
        <v>0</v>
      </c>
      <c r="AL24" t="b">
        <f t="shared" si="17"/>
        <v>0</v>
      </c>
      <c r="AN24" s="29">
        <f t="shared" si="18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19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31">
        <f>AX$41/Buckets_10_23[[#Totals],[NC To Fill]]*Buckets_10_23[[#This Row],[NC To Fill]]</f>
        <v>0</v>
      </c>
      <c r="BA24" s="31">
        <f>Buckets_10_23[[#This Row],[Crit Filled]]+Buckets_10_23[[#This Row],[Scaled]]</f>
        <v>0</v>
      </c>
      <c r="BB24" s="31">
        <f>Buckets_10_23[[#This Row],[NC Filled]]</f>
        <v>0</v>
      </c>
      <c r="BC24" s="31">
        <f>Buckets_10_23[[#This Row],[Capacity]]-Buckets_10_23[[#This Row],[Final]]</f>
        <v>0</v>
      </c>
      <c r="BD24" s="33">
        <f>IF(Buckets_10_23[[#This Row],[Capacity]]=0, 1, Buckets_10_23[[#This Row],[Final]]/Buckets_10_23[[#This Row],[Capacity]])</f>
        <v>1</v>
      </c>
      <c r="BF24" s="31">
        <f>Buckets_10_23[[#This Row],[Final]]</f>
        <v>0</v>
      </c>
      <c r="BG24" s="31">
        <f>Buckets_10_23[[#This Row],[Capacity]]</f>
        <v>0</v>
      </c>
      <c r="BH24" t="b">
        <f t="shared" si="20"/>
        <v>0</v>
      </c>
      <c r="BI24" s="43" t="e">
        <f>NA()</f>
        <v>#N/A</v>
      </c>
      <c r="BJ24" s="42"/>
      <c r="BK24" s="43" t="e">
        <f>NA()</f>
        <v>#N/A</v>
      </c>
      <c r="BL24" s="42"/>
      <c r="BM24" s="43"/>
      <c r="BN24" s="31">
        <f t="shared" si="21"/>
        <v>0</v>
      </c>
      <c r="BO24" s="31">
        <f t="shared" si="1"/>
        <v>0</v>
      </c>
      <c r="BP24" t="b">
        <f t="shared" si="2"/>
        <v>0</v>
      </c>
      <c r="BR24" s="29">
        <f t="shared" si="22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3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31">
        <f>CB$41/Buckets_11_23[[#Totals],[NC To Fill]]*Buckets_11_23[[#This Row],[NC To Fill]]</f>
        <v>0</v>
      </c>
      <c r="CE24" s="31">
        <f>Buckets_11_23[[#This Row],[Crit Filled]]+Buckets_11_23[[#This Row],[Scaled]]</f>
        <v>0</v>
      </c>
      <c r="CF24" s="31">
        <f>Buckets_11_23[[#This Row],[NC Filled]]</f>
        <v>0</v>
      </c>
      <c r="CG24" s="31">
        <f>Buckets_11_23[[#This Row],[Capacity]]-Buckets_11_23[[#This Row],[Final]]</f>
        <v>0</v>
      </c>
      <c r="CH24" s="33">
        <f>IF(Buckets_11_23[[#This Row],[Capacity]]=0, 1, Buckets_11_23[[#This Row],[Final]]/Buckets_11_23[[#This Row],[Capacity]])</f>
        <v>1</v>
      </c>
      <c r="CJ24" s="40">
        <f>Buckets_11_23[[#This Row],[Final]]</f>
        <v>0</v>
      </c>
      <c r="CK24" s="40">
        <f>Buckets_11_23[[#This Row],[Capacity]]</f>
        <v>0</v>
      </c>
      <c r="CL24" s="41" t="b">
        <f t="shared" si="24"/>
        <v>0</v>
      </c>
      <c r="CM24" s="42"/>
      <c r="CN24" s="42"/>
      <c r="CO24" s="42" t="e">
        <f>NA()</f>
        <v>#N/A</v>
      </c>
      <c r="CP24" s="42"/>
      <c r="CQ24" s="43"/>
      <c r="CR24" s="40">
        <f t="shared" si="25"/>
        <v>0</v>
      </c>
      <c r="CS24" s="40">
        <f t="shared" si="3"/>
        <v>0</v>
      </c>
      <c r="CT24" s="41" t="b">
        <f t="shared" si="4"/>
        <v>0</v>
      </c>
      <c r="CV24" s="29">
        <f t="shared" si="26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7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31">
        <f>DF$41/Buckets_12_23[[#Totals],[NC To Fill]]*Buckets_12_23[[#This Row],[NC To Fill]]</f>
        <v>0</v>
      </c>
      <c r="DI24" s="31">
        <f>Buckets_12_23[[#This Row],[Crit Filled]]+Buckets_12_23[[#This Row],[Scaled]]</f>
        <v>0</v>
      </c>
      <c r="DJ24" s="31">
        <f>Buckets_12_23[[#This Row],[NC Filled]]</f>
        <v>0</v>
      </c>
      <c r="DK24" s="31">
        <f>Buckets_12_23[[#This Row],[Capacity]]-Buckets_12_23[[#This Row],[Final]]</f>
        <v>0</v>
      </c>
      <c r="DL24" s="33">
        <f>IF(Buckets_12_23[[#This Row],[Capacity]]=0, 1, Buckets_12_23[[#This Row],[Final]]/Buckets_12_23[[#This Row],[Capacity]])</f>
        <v>1</v>
      </c>
      <c r="DN24" s="40">
        <f>Buckets_12_23[[#This Row],[Final]]</f>
        <v>0</v>
      </c>
      <c r="DO24" s="40">
        <f>Buckets_12_23[[#This Row],[Capacity]]</f>
        <v>0</v>
      </c>
      <c r="DP24" s="41" t="b">
        <f t="shared" si="28"/>
        <v>0</v>
      </c>
      <c r="DQ24" s="42"/>
      <c r="DR24" s="42"/>
      <c r="DS24" s="42" t="e">
        <f>NA()</f>
        <v>#N/A</v>
      </c>
      <c r="DT24" s="42"/>
      <c r="DU24" s="43"/>
      <c r="DV24" s="40">
        <f t="shared" si="29"/>
        <v>0</v>
      </c>
      <c r="DW24" s="40">
        <f t="shared" si="5"/>
        <v>0</v>
      </c>
      <c r="DX24" s="41" t="b">
        <f t="shared" si="6"/>
        <v>0</v>
      </c>
      <c r="DZ24" s="29">
        <f t="shared" si="30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1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31">
        <f>EJ$41/Buckets_1_24[[#Totals],[NC To Fill]]*Buckets_1_24[[#This Row],[NC To Fill]]</f>
        <v>0</v>
      </c>
      <c r="EM24" s="31">
        <f>Buckets_1_24[[#This Row],[Crit Filled]]+Buckets_1_24[[#This Row],[Scaled]]</f>
        <v>0</v>
      </c>
      <c r="EN24" s="31">
        <f>Buckets_1_24[[#This Row],[NC Filled]]</f>
        <v>0</v>
      </c>
      <c r="EO24" s="31">
        <f>Buckets_1_24[[#This Row],[Capacity]]-Buckets_1_24[[#This Row],[Final]]</f>
        <v>0</v>
      </c>
      <c r="EP24" s="33">
        <f>IF(Buckets_1_24[[#This Row],[Capacity]]=0, 1, Buckets_1_24[[#This Row],[Final]]/Buckets_1_24[[#This Row],[Capacity]])</f>
        <v>1</v>
      </c>
      <c r="ER24" s="40">
        <f>Buckets_1_24[[#This Row],[Final]]</f>
        <v>0</v>
      </c>
      <c r="ES24" s="40">
        <f>Buckets_1_24[[#This Row],[Capacity]]</f>
        <v>0</v>
      </c>
      <c r="ET24" s="41" t="b">
        <f t="shared" si="32"/>
        <v>0</v>
      </c>
      <c r="EU24" s="42"/>
      <c r="EV24" s="42"/>
      <c r="EW24" s="42"/>
      <c r="EX24" s="42"/>
      <c r="EY24" s="43"/>
      <c r="EZ24" s="40">
        <f t="shared" si="33"/>
        <v>0</v>
      </c>
      <c r="FA24" s="40">
        <f t="shared" si="34"/>
        <v>0</v>
      </c>
      <c r="FB24" s="41" t="b">
        <f t="shared" si="7"/>
        <v>0</v>
      </c>
      <c r="FD24" s="29">
        <f t="shared" si="35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6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31">
        <f>FN$41/Buckets_2_24[[#Totals],[NC To Fill]]*Buckets_2_24[[#This Row],[NC To Fill]]</f>
        <v>0</v>
      </c>
      <c r="FQ24" s="31">
        <f>Buckets_2_24[[#This Row],[Crit Filled]]+Buckets_2_24[[#This Row],[Scaled]]</f>
        <v>0</v>
      </c>
      <c r="FR24" s="31">
        <f>Buckets_2_24[[#This Row],[NC Filled]]</f>
        <v>0</v>
      </c>
      <c r="FS24" s="31">
        <f>Buckets_2_24[[#This Row],[Capacity]]-Buckets_2_24[[#This Row],[Final]]</f>
        <v>0</v>
      </c>
      <c r="FT24" s="33">
        <f>IF(Buckets_2_24[[#This Row],[Capacity]]=0, 1, Buckets_2_24[[#This Row],[Final]]/Buckets_2_24[[#This Row],[Capacity]])</f>
        <v>1</v>
      </c>
      <c r="FV24" s="40">
        <f>Buckets_2_24[[#This Row],[Final]]</f>
        <v>0</v>
      </c>
      <c r="FW24" s="40">
        <f>Buckets_2_24[[#This Row],[Capacity]]</f>
        <v>0</v>
      </c>
      <c r="FX24" s="41" t="b">
        <f t="shared" si="37"/>
        <v>0</v>
      </c>
      <c r="FY24" s="42"/>
      <c r="FZ24" s="42"/>
      <c r="GA24" s="42"/>
      <c r="GB24" s="42"/>
      <c r="GC24" s="43"/>
      <c r="GD24" s="40">
        <f t="shared" si="38"/>
        <v>0</v>
      </c>
      <c r="GE24" s="40">
        <f t="shared" si="39"/>
        <v>0</v>
      </c>
      <c r="GF24" s="41" t="b">
        <f t="shared" si="8"/>
        <v>0</v>
      </c>
      <c r="GH24" s="29">
        <f t="shared" si="40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1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31">
        <f>GR$41/Buckets_3_24[[#Totals],[NC To Fill]]*Buckets_3_24[[#This Row],[NC To Fill]]</f>
        <v>0</v>
      </c>
      <c r="GU24" s="31">
        <f>Buckets_3_24[[#This Row],[Crit Filled]]+Buckets_3_24[[#This Row],[Scaled]]</f>
        <v>0</v>
      </c>
      <c r="GV24" s="31">
        <f>Buckets_3_24[[#This Row],[NC Filled]]</f>
        <v>0</v>
      </c>
      <c r="GW24" s="31">
        <f>Buckets_3_24[[#This Row],[Capacity]]-Buckets_3_24[[#This Row],[Final]]</f>
        <v>0</v>
      </c>
      <c r="GX24" s="33">
        <f>IF(Buckets_3_24[[#This Row],[Capacity]]=0, 1, Buckets_3_24[[#This Row],[Final]]/Buckets_3_24[[#This Row],[Capacity]])</f>
        <v>1</v>
      </c>
      <c r="GZ24" s="40">
        <f>Buckets_3_24[[#This Row],[Final]]</f>
        <v>0</v>
      </c>
      <c r="HA24" s="40">
        <f>Buckets_3_24[[#This Row],[Capacity]]</f>
        <v>0</v>
      </c>
      <c r="HB24" s="41" t="b">
        <f t="shared" si="42"/>
        <v>0</v>
      </c>
      <c r="HC24" s="42"/>
      <c r="HD24" s="42"/>
      <c r="HE24" s="42"/>
      <c r="HF24" s="42"/>
      <c r="HG24" s="43"/>
      <c r="HH24" s="40">
        <f t="shared" si="43"/>
        <v>0</v>
      </c>
      <c r="HI24" s="40">
        <f t="shared" si="44"/>
        <v>0</v>
      </c>
      <c r="HJ24" s="41" t="b">
        <f t="shared" si="9"/>
        <v>0</v>
      </c>
      <c r="HL24" s="29">
        <f t="shared" si="45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6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31">
        <f>HV$41/Buckets_4_24[[#Totals],[NC To Fill]]*Buckets_4_24[[#This Row],[NC To Fill]]</f>
        <v>0</v>
      </c>
      <c r="HY24" s="31">
        <f>Buckets_4_24[[#This Row],[Crit Filled]]+Buckets_4_24[[#This Row],[Scaled]]</f>
        <v>0</v>
      </c>
      <c r="HZ24" s="31">
        <f>Buckets_4_24[[#This Row],[NC Filled]]</f>
        <v>0</v>
      </c>
      <c r="IA24" s="31">
        <f>Buckets_4_24[[#This Row],[Capacity]]-Buckets_4_24[[#This Row],[Final]]</f>
        <v>0</v>
      </c>
      <c r="IB24" s="33">
        <f>IF(Buckets_4_24[[#This Row],[Capacity]]=0, 1, Buckets_4_24[[#This Row],[Final]]/Buckets_4_24[[#This Row],[Capacity]])</f>
        <v>1</v>
      </c>
      <c r="ID24" s="40">
        <f>Buckets_4_24[[#This Row],[Final]]</f>
        <v>0</v>
      </c>
      <c r="IE24" s="40">
        <f>Buckets_4_24[[#This Row],[Capacity]]</f>
        <v>0</v>
      </c>
      <c r="IF24" s="41" t="b">
        <f t="shared" si="47"/>
        <v>0</v>
      </c>
      <c r="IG24" s="42"/>
      <c r="IH24" s="42"/>
      <c r="II24" s="42"/>
      <c r="IJ24" s="42"/>
      <c r="IK24" s="43"/>
      <c r="IL24" s="40">
        <f t="shared" si="48"/>
        <v>0</v>
      </c>
      <c r="IM24" s="40">
        <f t="shared" si="49"/>
        <v>0</v>
      </c>
      <c r="IN24" s="41" t="b">
        <f t="shared" si="10"/>
        <v>0</v>
      </c>
    </row>
    <row r="25" spans="1:24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8">
        <v>2000</v>
      </c>
      <c r="H25" t="b">
        <v>0</v>
      </c>
      <c r="J25" s="29">
        <f t="shared" si="11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2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 t="shared" si="13"/>
        <v>2000</v>
      </c>
      <c r="AD25" t="b">
        <f t="shared" si="14"/>
        <v>0</v>
      </c>
      <c r="AE25" s="43" t="e">
        <f>NA()</f>
        <v>#N/A</v>
      </c>
      <c r="AF25" s="42"/>
      <c r="AG25" s="43" t="e">
        <f>NA()</f>
        <v>#N/A</v>
      </c>
      <c r="AH25" s="42">
        <f>AC25+500</f>
        <v>2500</v>
      </c>
      <c r="AI25" s="43"/>
      <c r="AJ25" s="31">
        <f t="shared" si="15"/>
        <v>1745.6351941932785</v>
      </c>
      <c r="AK25" s="31">
        <f t="shared" si="16"/>
        <v>2500</v>
      </c>
      <c r="AL25" t="b">
        <f t="shared" si="17"/>
        <v>0</v>
      </c>
      <c r="AN25" s="29">
        <f t="shared" si="18"/>
        <v>1745.6351941932785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1745.6351941932785</v>
      </c>
      <c r="AQ25" s="29">
        <f t="shared" si="19"/>
        <v>2500</v>
      </c>
      <c r="AR25" s="29">
        <f>Buckets_10_23[[#This Row],[Capacity]]-Buckets_10_23[[#This Row],[After T]]</f>
        <v>754.36480580672151</v>
      </c>
      <c r="AS25" s="29">
        <f>MAX(-Buckets_10_23[[#This Row],[Cap Diff]], 0)</f>
        <v>0</v>
      </c>
      <c r="AT25" s="29">
        <f>Buckets_10_23[[#This Row],[After T]]-Buckets_10_23[[#This Row],[Slush]]</f>
        <v>1745.6351941932785</v>
      </c>
      <c r="AU25" s="29">
        <f>Buckets_10_23[[#This Row],[Capacity]]-Buckets_10_23[[#This Row],[Before Fill]]</f>
        <v>754.36480580672151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1745.6351941932785</v>
      </c>
      <c r="AY25" s="29">
        <f>IF(NOT(Buckets_10_23[[#This Row],[Is Crit]]), Buckets_10_23[[#This Row],[S Cap Diff]], 0)</f>
        <v>754.36480580672151</v>
      </c>
      <c r="AZ25" s="31">
        <f>AX$41/Buckets_10_23[[#Totals],[NC To Fill]]*Buckets_10_23[[#This Row],[NC To Fill]]</f>
        <v>448.07182745084748</v>
      </c>
      <c r="BA25" s="31">
        <f>Buckets_10_23[[#This Row],[Crit Filled]]+Buckets_10_23[[#This Row],[Scaled]]</f>
        <v>2193.7070216441261</v>
      </c>
      <c r="BB25" s="31">
        <f>Buckets_10_23[[#This Row],[NC Filled]]</f>
        <v>2193.7070216441261</v>
      </c>
      <c r="BC25" s="31">
        <f>Buckets_10_23[[#This Row],[Capacity]]-Buckets_10_23[[#This Row],[Final]]</f>
        <v>306.29297835587386</v>
      </c>
      <c r="BD25" s="33">
        <f>IF(Buckets_10_23[[#This Row],[Capacity]]=0, 1, Buckets_10_23[[#This Row],[Final]]/Buckets_10_23[[#This Row],[Capacity]])</f>
        <v>0.87748280865765049</v>
      </c>
      <c r="BF25" s="31">
        <f>Buckets_10_23[[#This Row],[Final]]</f>
        <v>2193.7070216441261</v>
      </c>
      <c r="BG25" s="31">
        <f>Buckets_10_23[[#This Row],[Capacity]]</f>
        <v>2500</v>
      </c>
      <c r="BH25" t="b">
        <f t="shared" si="20"/>
        <v>0</v>
      </c>
      <c r="BI25" s="43" t="e">
        <f>NA()</f>
        <v>#N/A</v>
      </c>
      <c r="BJ25" s="42"/>
      <c r="BK25" s="43" t="e">
        <f>NA()</f>
        <v>#N/A</v>
      </c>
      <c r="BL25" s="42">
        <f>BG25+500</f>
        <v>3000</v>
      </c>
      <c r="BM25" s="43"/>
      <c r="BN25" s="31">
        <f t="shared" si="21"/>
        <v>2193.7070216441261</v>
      </c>
      <c r="BO25" s="31">
        <f t="shared" si="1"/>
        <v>3000</v>
      </c>
      <c r="BP25" t="b">
        <f t="shared" si="2"/>
        <v>0</v>
      </c>
      <c r="BR25" s="29">
        <f t="shared" si="22"/>
        <v>2193.7070216441261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2193.7070216441261</v>
      </c>
      <c r="BU25" s="29">
        <f t="shared" si="23"/>
        <v>3000</v>
      </c>
      <c r="BV25" s="29">
        <f>Buckets_11_23[[#This Row],[Capacity]]-Buckets_11_23[[#This Row],[After T]]</f>
        <v>806.29297835587386</v>
      </c>
      <c r="BW25" s="29">
        <f>MAX(-Buckets_11_23[[#This Row],[Cap Diff]], 0)</f>
        <v>0</v>
      </c>
      <c r="BX25" s="29">
        <f>Buckets_11_23[[#This Row],[After T]]-Buckets_11_23[[#This Row],[Slush]]</f>
        <v>2193.7070216441261</v>
      </c>
      <c r="BY25" s="29">
        <f>Buckets_11_23[[#This Row],[Capacity]]-Buckets_11_23[[#This Row],[Before Fill]]</f>
        <v>806.29297835587386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2193.7070216441261</v>
      </c>
      <c r="CC25" s="29">
        <f>IF(NOT(Buckets_11_23[[#This Row],[Is Crit]]), Buckets_11_23[[#This Row],[S Cap Diff]], 0)</f>
        <v>806.29297835587386</v>
      </c>
      <c r="CD25" s="31">
        <f>CB$41/Buckets_11_23[[#Totals],[NC To Fill]]*Buckets_11_23[[#This Row],[NC To Fill]]</f>
        <v>795.16858733803758</v>
      </c>
      <c r="CE25" s="31">
        <f>Buckets_11_23[[#This Row],[Crit Filled]]+Buckets_11_23[[#This Row],[Scaled]]</f>
        <v>2988.8756089821636</v>
      </c>
      <c r="CF25" s="31">
        <f>Buckets_11_23[[#This Row],[NC Filled]]</f>
        <v>2988.8756089821636</v>
      </c>
      <c r="CG25" s="31">
        <f>Buckets_11_23[[#This Row],[Capacity]]-Buckets_11_23[[#This Row],[Final]]</f>
        <v>11.124391017836388</v>
      </c>
      <c r="CH25" s="33">
        <f>IF(Buckets_11_23[[#This Row],[Capacity]]=0, 1, Buckets_11_23[[#This Row],[Final]]/Buckets_11_23[[#This Row],[Capacity]])</f>
        <v>0.99629186966072125</v>
      </c>
      <c r="CJ25" s="40">
        <f>Buckets_11_23[[#This Row],[Final]]</f>
        <v>2988.8756089821636</v>
      </c>
      <c r="CK25" s="40">
        <f>Buckets_11_23[[#This Row],[Capacity]]</f>
        <v>3000</v>
      </c>
      <c r="CL25" s="41" t="b">
        <f t="shared" si="24"/>
        <v>0</v>
      </c>
      <c r="CM25" s="42"/>
      <c r="CN25" s="42"/>
      <c r="CO25" s="42" t="e">
        <f>NA()</f>
        <v>#N/A</v>
      </c>
      <c r="CP25" s="42">
        <f>CK25+500</f>
        <v>3500</v>
      </c>
      <c r="CQ25" s="43"/>
      <c r="CR25" s="40">
        <f t="shared" si="25"/>
        <v>2988.8756089821636</v>
      </c>
      <c r="CS25" s="40">
        <f t="shared" si="3"/>
        <v>3500</v>
      </c>
      <c r="CT25" s="41" t="b">
        <f t="shared" si="4"/>
        <v>0</v>
      </c>
      <c r="CV25" s="29">
        <f t="shared" si="26"/>
        <v>2988.8756089821636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2988.8756089821636</v>
      </c>
      <c r="CY25" s="29">
        <f t="shared" si="27"/>
        <v>3500</v>
      </c>
      <c r="CZ25" s="29">
        <f>Buckets_12_23[[#This Row],[Capacity]]-Buckets_12_23[[#This Row],[After T]]</f>
        <v>511.12439101783639</v>
      </c>
      <c r="DA25" s="29">
        <f>MAX(-Buckets_12_23[[#This Row],[Cap Diff]], 0)</f>
        <v>0</v>
      </c>
      <c r="DB25" s="29">
        <f>Buckets_12_23[[#This Row],[After T]]-Buckets_12_23[[#This Row],[Slush]]</f>
        <v>2988.8756089821636</v>
      </c>
      <c r="DC25" s="29">
        <f>Buckets_12_23[[#This Row],[Capacity]]-Buckets_12_23[[#This Row],[Before Fill]]</f>
        <v>511.12439101783639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2988.8756089821636</v>
      </c>
      <c r="DG25" s="29">
        <f>IF(NOT(Buckets_12_23[[#This Row],[Is Crit]]), Buckets_12_23[[#This Row],[S Cap Diff]], 0)</f>
        <v>511.12439101783639</v>
      </c>
      <c r="DH25" s="31">
        <f>DF$41/Buckets_12_23[[#Totals],[NC To Fill]]*Buckets_12_23[[#This Row],[NC To Fill]]</f>
        <v>233.69632652733432</v>
      </c>
      <c r="DI25" s="31">
        <f>Buckets_12_23[[#This Row],[Crit Filled]]+Buckets_12_23[[#This Row],[Scaled]]</f>
        <v>3222.571935509498</v>
      </c>
      <c r="DJ25" s="31">
        <f>Buckets_12_23[[#This Row],[NC Filled]]</f>
        <v>3222.571935509498</v>
      </c>
      <c r="DK25" s="31">
        <f>Buckets_12_23[[#This Row],[Capacity]]-Buckets_12_23[[#This Row],[Final]]</f>
        <v>277.42806449050204</v>
      </c>
      <c r="DL25" s="33">
        <f>IF(Buckets_12_23[[#This Row],[Capacity]]=0, 1, Buckets_12_23[[#This Row],[Final]]/Buckets_12_23[[#This Row],[Capacity]])</f>
        <v>0.92073483871699946</v>
      </c>
      <c r="DN25" s="40">
        <f>Buckets_12_23[[#This Row],[Final]]</f>
        <v>3222.571935509498</v>
      </c>
      <c r="DO25" s="40">
        <f>Buckets_12_23[[#This Row],[Capacity]]</f>
        <v>3500</v>
      </c>
      <c r="DP25" s="41" t="b">
        <f t="shared" si="28"/>
        <v>0</v>
      </c>
      <c r="DQ25" s="42"/>
      <c r="DR25" s="42"/>
      <c r="DS25" s="42" t="e">
        <f>NA()</f>
        <v>#N/A</v>
      </c>
      <c r="DT25" s="42">
        <f>DO25+500</f>
        <v>4000</v>
      </c>
      <c r="DU25" s="43"/>
      <c r="DV25" s="40">
        <f t="shared" si="29"/>
        <v>3222.571935509498</v>
      </c>
      <c r="DW25" s="40">
        <f t="shared" si="5"/>
        <v>4000</v>
      </c>
      <c r="DX25" s="41" t="b">
        <f t="shared" si="6"/>
        <v>0</v>
      </c>
      <c r="DZ25" s="29">
        <f t="shared" si="30"/>
        <v>3222.571935509498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3222.571935509498</v>
      </c>
      <c r="EC25" s="29">
        <f t="shared" si="31"/>
        <v>4000</v>
      </c>
      <c r="ED25" s="29">
        <f>Buckets_1_24[[#This Row],[Capacity]]-Buckets_1_24[[#This Row],[After T]]</f>
        <v>777.42806449050204</v>
      </c>
      <c r="EE25" s="29">
        <f>MAX(-Buckets_1_24[[#This Row],[Cap Diff]], 0)</f>
        <v>0</v>
      </c>
      <c r="EF25" s="29">
        <f>Buckets_1_24[[#This Row],[After T]]-Buckets_1_24[[#This Row],[Slush]]</f>
        <v>3222.571935509498</v>
      </c>
      <c r="EG25" s="29">
        <f>Buckets_1_24[[#This Row],[Capacity]]-Buckets_1_24[[#This Row],[Before Fill]]</f>
        <v>777.42806449050204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3222.571935509498</v>
      </c>
      <c r="EK25" s="29">
        <f>IF(NOT(Buckets_1_24[[#This Row],[Is Crit]]), Buckets_1_24[[#This Row],[S Cap Diff]], 0)</f>
        <v>777.42806449050204</v>
      </c>
      <c r="EL25" s="31">
        <f>EJ$41/Buckets_1_24[[#Totals],[NC To Fill]]*Buckets_1_24[[#This Row],[NC To Fill]]</f>
        <v>477.33493889840423</v>
      </c>
      <c r="EM25" s="31">
        <f>Buckets_1_24[[#This Row],[Crit Filled]]+Buckets_1_24[[#This Row],[Scaled]]</f>
        <v>3699.9068744079023</v>
      </c>
      <c r="EN25" s="31">
        <f>Buckets_1_24[[#This Row],[NC Filled]]</f>
        <v>3699.9068744079023</v>
      </c>
      <c r="EO25" s="31">
        <f>Buckets_1_24[[#This Row],[Capacity]]-Buckets_1_24[[#This Row],[Final]]</f>
        <v>300.09312559209775</v>
      </c>
      <c r="EP25" s="33">
        <f>IF(Buckets_1_24[[#This Row],[Capacity]]=0, 1, Buckets_1_24[[#This Row],[Final]]/Buckets_1_24[[#This Row],[Capacity]])</f>
        <v>0.92497671860197561</v>
      </c>
      <c r="ER25" s="40">
        <f>Buckets_1_24[[#This Row],[Final]]</f>
        <v>3699.9068744079023</v>
      </c>
      <c r="ES25" s="40">
        <f>Buckets_1_24[[#This Row],[Capacity]]</f>
        <v>4000</v>
      </c>
      <c r="ET25" s="41" t="b">
        <f t="shared" si="32"/>
        <v>0</v>
      </c>
      <c r="EU25" s="42"/>
      <c r="EV25" s="42"/>
      <c r="EW25" s="42"/>
      <c r="EX25" s="42">
        <v>7000</v>
      </c>
      <c r="EY25" s="43"/>
      <c r="EZ25" s="40">
        <f t="shared" si="33"/>
        <v>3699.9068744079023</v>
      </c>
      <c r="FA25" s="40">
        <f t="shared" si="34"/>
        <v>7000</v>
      </c>
      <c r="FB25" s="41" t="b">
        <f t="shared" si="7"/>
        <v>0</v>
      </c>
      <c r="FD25" s="29">
        <f t="shared" si="35"/>
        <v>3699.9068744079023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3699.9068744079023</v>
      </c>
      <c r="FG25" s="29">
        <f t="shared" si="36"/>
        <v>7000</v>
      </c>
      <c r="FH25" s="29">
        <f>Buckets_2_24[[#This Row],[Capacity]]-Buckets_2_24[[#This Row],[After T]]</f>
        <v>3300.0931255920977</v>
      </c>
      <c r="FI25" s="29">
        <f>MAX(-Buckets_2_24[[#This Row],[Cap Diff]], 0)</f>
        <v>0</v>
      </c>
      <c r="FJ25" s="29">
        <f>Buckets_2_24[[#This Row],[After T]]-Buckets_2_24[[#This Row],[Slush]]</f>
        <v>3699.9068744079023</v>
      </c>
      <c r="FK25" s="29">
        <f>Buckets_2_24[[#This Row],[Capacity]]-Buckets_2_24[[#This Row],[Before Fill]]</f>
        <v>3300.0931255920977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3699.9068744079023</v>
      </c>
      <c r="FO25" s="29">
        <f>IF(NOT(Buckets_2_24[[#This Row],[Is Crit]]), Buckets_2_24[[#This Row],[S Cap Diff]], 0)</f>
        <v>3300.0931255920977</v>
      </c>
      <c r="FP25" s="31">
        <f>FN$41/Buckets_2_24[[#Totals],[NC To Fill]]*Buckets_2_24[[#This Row],[NC To Fill]]</f>
        <v>3179.1306309652255</v>
      </c>
      <c r="FQ25" s="31">
        <f>Buckets_2_24[[#This Row],[Crit Filled]]+Buckets_2_24[[#This Row],[Scaled]]</f>
        <v>6879.0375053731277</v>
      </c>
      <c r="FR25" s="31">
        <f>Buckets_2_24[[#This Row],[NC Filled]]</f>
        <v>6879.0375053731277</v>
      </c>
      <c r="FS25" s="31">
        <f>Buckets_2_24[[#This Row],[Capacity]]-Buckets_2_24[[#This Row],[Final]]</f>
        <v>120.96249462687229</v>
      </c>
      <c r="FT25" s="33">
        <f>IF(Buckets_2_24[[#This Row],[Capacity]]=0, 1, Buckets_2_24[[#This Row],[Final]]/Buckets_2_24[[#This Row],[Capacity]])</f>
        <v>0.98271964362473252</v>
      </c>
      <c r="FV25" s="40">
        <f>Buckets_2_24[[#This Row],[Final]]</f>
        <v>6879.0375053731277</v>
      </c>
      <c r="FW25" s="40">
        <f>Buckets_2_24[[#This Row],[Capacity]]</f>
        <v>7000</v>
      </c>
      <c r="FX25" s="41" t="b">
        <f t="shared" si="37"/>
        <v>0</v>
      </c>
      <c r="FY25" s="42"/>
      <c r="FZ25" s="42"/>
      <c r="GA25" s="42">
        <v>500</v>
      </c>
      <c r="GB25" s="42"/>
      <c r="GC25" s="43"/>
      <c r="GD25" s="40">
        <f t="shared" si="38"/>
        <v>6879.0375053731277</v>
      </c>
      <c r="GE25" s="40">
        <f t="shared" si="39"/>
        <v>7500</v>
      </c>
      <c r="GF25" s="41" t="b">
        <f t="shared" si="8"/>
        <v>0</v>
      </c>
      <c r="GH25" s="29">
        <f t="shared" si="40"/>
        <v>6879.0375053731277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6879.0375053731277</v>
      </c>
      <c r="GK25" s="29">
        <f t="shared" si="41"/>
        <v>7500</v>
      </c>
      <c r="GL25" s="29">
        <f>Buckets_3_24[[#This Row],[Capacity]]-Buckets_3_24[[#This Row],[After T]]</f>
        <v>620.96249462687229</v>
      </c>
      <c r="GM25" s="29">
        <f>MAX(-Buckets_3_24[[#This Row],[Cap Diff]], 0)</f>
        <v>0</v>
      </c>
      <c r="GN25" s="29">
        <f>Buckets_3_24[[#This Row],[After T]]-Buckets_3_24[[#This Row],[Slush]]</f>
        <v>6879.0375053731277</v>
      </c>
      <c r="GO25" s="29">
        <f>Buckets_3_24[[#This Row],[Capacity]]-Buckets_3_24[[#This Row],[Before Fill]]</f>
        <v>620.96249462687229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6879.0375053731277</v>
      </c>
      <c r="GS25" s="29">
        <f>IF(NOT(Buckets_3_24[[#This Row],[Is Crit]]), Buckets_3_24[[#This Row],[S Cap Diff]], 0)</f>
        <v>620.96249462687229</v>
      </c>
      <c r="GT25" s="31">
        <f>GR$41/Buckets_3_24[[#Totals],[NC To Fill]]*Buckets_3_24[[#This Row],[NC To Fill]]</f>
        <v>603.10286079188245</v>
      </c>
      <c r="GU25" s="31">
        <f>Buckets_3_24[[#This Row],[Crit Filled]]+Buckets_3_24[[#This Row],[Scaled]]</f>
        <v>7482.1403661650102</v>
      </c>
      <c r="GV25" s="31">
        <f>Buckets_3_24[[#This Row],[NC Filled]]</f>
        <v>7482.1403661650102</v>
      </c>
      <c r="GW25" s="31">
        <f>Buckets_3_24[[#This Row],[Capacity]]-Buckets_3_24[[#This Row],[Final]]</f>
        <v>17.859633834989836</v>
      </c>
      <c r="GX25" s="33">
        <f>IF(Buckets_3_24[[#This Row],[Capacity]]=0, 1, Buckets_3_24[[#This Row],[Final]]/Buckets_3_24[[#This Row],[Capacity]])</f>
        <v>0.99761871548866798</v>
      </c>
      <c r="GZ25" s="40">
        <f>Buckets_3_24[[#This Row],[Final]]</f>
        <v>7482.1403661650102</v>
      </c>
      <c r="HA25" s="40">
        <f>Buckets_3_24[[#This Row],[Capacity]]</f>
        <v>7500</v>
      </c>
      <c r="HB25" s="41" t="b">
        <f t="shared" si="42"/>
        <v>0</v>
      </c>
      <c r="HC25" s="42"/>
      <c r="HD25" s="42"/>
      <c r="HE25" s="42">
        <v>500</v>
      </c>
      <c r="HF25" s="42"/>
      <c r="HG25" s="43"/>
      <c r="HH25" s="40">
        <f t="shared" si="43"/>
        <v>7482.1403661650102</v>
      </c>
      <c r="HI25" s="40">
        <f t="shared" si="44"/>
        <v>8000</v>
      </c>
      <c r="HJ25" s="41" t="b">
        <f t="shared" si="9"/>
        <v>0</v>
      </c>
      <c r="HL25" s="29">
        <f t="shared" si="45"/>
        <v>7482.1403661650102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7482.1403661650102</v>
      </c>
      <c r="HO25" s="29">
        <f t="shared" si="46"/>
        <v>8000</v>
      </c>
      <c r="HP25" s="29">
        <f>Buckets_4_24[[#This Row],[Capacity]]-Buckets_4_24[[#This Row],[After T]]</f>
        <v>517.85963383498984</v>
      </c>
      <c r="HQ25" s="29">
        <f>MAX(-Buckets_4_24[[#This Row],[Cap Diff]], 0)</f>
        <v>0</v>
      </c>
      <c r="HR25" s="29">
        <f>Buckets_4_24[[#This Row],[After T]]-Buckets_4_24[[#This Row],[Slush]]</f>
        <v>7482.1403661650102</v>
      </c>
      <c r="HS25" s="29">
        <f>Buckets_4_24[[#This Row],[Capacity]]-Buckets_4_24[[#This Row],[Before Fill]]</f>
        <v>517.85963383498984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7482.1403661650102</v>
      </c>
      <c r="HW25" s="29">
        <f>IF(NOT(Buckets_4_24[[#This Row],[Is Crit]]), Buckets_4_24[[#This Row],[S Cap Diff]], 0)</f>
        <v>517.85963383498984</v>
      </c>
      <c r="HX25" s="31">
        <f>HV$41/Buckets_4_24[[#Totals],[NC To Fill]]*Buckets_4_24[[#This Row],[NC To Fill]]</f>
        <v>337.9446359816572</v>
      </c>
      <c r="HY25" s="31">
        <f>Buckets_4_24[[#This Row],[Crit Filled]]+Buckets_4_24[[#This Row],[Scaled]]</f>
        <v>7820.0850021466676</v>
      </c>
      <c r="HZ25" s="31">
        <f>Buckets_4_24[[#This Row],[NC Filled]]</f>
        <v>7820.0850021466676</v>
      </c>
      <c r="IA25" s="31">
        <f>Buckets_4_24[[#This Row],[Capacity]]-Buckets_4_24[[#This Row],[Final]]</f>
        <v>179.91499785333235</v>
      </c>
      <c r="IB25" s="33">
        <f>IF(Buckets_4_24[[#This Row],[Capacity]]=0, 1, Buckets_4_24[[#This Row],[Final]]/Buckets_4_24[[#This Row],[Capacity]])</f>
        <v>0.97751062526833343</v>
      </c>
      <c r="ID25" s="40">
        <f>Buckets_4_24[[#This Row],[Final]]</f>
        <v>7820.0850021466676</v>
      </c>
      <c r="IE25" s="40">
        <f>Buckets_4_24[[#This Row],[Capacity]]</f>
        <v>8000</v>
      </c>
      <c r="IF25" s="41" t="b">
        <f t="shared" si="47"/>
        <v>0</v>
      </c>
      <c r="IG25" s="42"/>
      <c r="IH25" s="42"/>
      <c r="II25" s="42">
        <v>500</v>
      </c>
      <c r="IJ25" s="42"/>
      <c r="IK25" s="43"/>
      <c r="IL25" s="40">
        <f t="shared" si="48"/>
        <v>7820.0850021466676</v>
      </c>
      <c r="IM25" s="40">
        <f t="shared" si="49"/>
        <v>8500</v>
      </c>
      <c r="IN25" s="41" t="b">
        <f t="shared" si="10"/>
        <v>0</v>
      </c>
    </row>
    <row r="26" spans="1:24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8">
        <v>600</v>
      </c>
      <c r="H26" t="b">
        <v>0</v>
      </c>
      <c r="J26" s="29">
        <f t="shared" si="11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2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 t="shared" si="13"/>
        <v>600</v>
      </c>
      <c r="AD26" t="b">
        <f t="shared" si="14"/>
        <v>0</v>
      </c>
      <c r="AE26" s="43" t="e">
        <f>NA()</f>
        <v>#N/A</v>
      </c>
      <c r="AF26" s="42"/>
      <c r="AG26" s="43" t="e">
        <f>NA()</f>
        <v>#N/A</v>
      </c>
      <c r="AH26" s="42"/>
      <c r="AI26" s="43"/>
      <c r="AJ26" s="31">
        <f t="shared" si="15"/>
        <v>523.69055825798353</v>
      </c>
      <c r="AK26" s="31">
        <f t="shared" si="16"/>
        <v>600</v>
      </c>
      <c r="AL26" t="b">
        <f t="shared" si="17"/>
        <v>0</v>
      </c>
      <c r="AN26" s="29">
        <f t="shared" si="18"/>
        <v>523.69055825798353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514.44055825798353</v>
      </c>
      <c r="AQ26" s="29">
        <f t="shared" si="19"/>
        <v>600</v>
      </c>
      <c r="AR26" s="29">
        <f>Buckets_10_23[[#This Row],[Capacity]]-Buckets_10_23[[#This Row],[After T]]</f>
        <v>85.559441742016475</v>
      </c>
      <c r="AS26" s="29">
        <f>MAX(-Buckets_10_23[[#This Row],[Cap Diff]], 0)</f>
        <v>0</v>
      </c>
      <c r="AT26" s="29">
        <f>Buckets_10_23[[#This Row],[After T]]-Buckets_10_23[[#This Row],[Slush]]</f>
        <v>514.44055825798353</v>
      </c>
      <c r="AU26" s="29">
        <f>Buckets_10_23[[#This Row],[Capacity]]-Buckets_10_23[[#This Row],[Before Fill]]</f>
        <v>85.559441742016475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514.44055825798353</v>
      </c>
      <c r="AY26" s="29">
        <f>IF(NOT(Buckets_10_23[[#This Row],[Is Crit]]), Buckets_10_23[[#This Row],[S Cap Diff]], 0)</f>
        <v>85.559441742016475</v>
      </c>
      <c r="AZ26" s="31">
        <f>AX$41/Buckets_10_23[[#Totals],[NC To Fill]]*Buckets_10_23[[#This Row],[NC To Fill]]</f>
        <v>50.819941654120655</v>
      </c>
      <c r="BA26" s="31">
        <f>Buckets_10_23[[#This Row],[Crit Filled]]+Buckets_10_23[[#This Row],[Scaled]]</f>
        <v>565.26049991210414</v>
      </c>
      <c r="BB26" s="31">
        <f>Buckets_10_23[[#This Row],[NC Filled]]</f>
        <v>565.26049991210414</v>
      </c>
      <c r="BC26" s="31">
        <f>Buckets_10_23[[#This Row],[Capacity]]-Buckets_10_23[[#This Row],[Final]]</f>
        <v>34.739500087895863</v>
      </c>
      <c r="BD26" s="33">
        <f>IF(Buckets_10_23[[#This Row],[Capacity]]=0, 1, Buckets_10_23[[#This Row],[Final]]/Buckets_10_23[[#This Row],[Capacity]])</f>
        <v>0.94210083318684024</v>
      </c>
      <c r="BF26" s="31">
        <f>Buckets_10_23[[#This Row],[Final]]</f>
        <v>565.26049991210414</v>
      </c>
      <c r="BG26" s="31">
        <f>Buckets_10_23[[#This Row],[Capacity]]</f>
        <v>600</v>
      </c>
      <c r="BH26" t="b">
        <f t="shared" si="20"/>
        <v>0</v>
      </c>
      <c r="BI26" s="43" t="e">
        <f>NA()</f>
        <v>#N/A</v>
      </c>
      <c r="BJ26" s="42"/>
      <c r="BK26" s="43" t="e">
        <f>NA()</f>
        <v>#N/A</v>
      </c>
      <c r="BL26" s="42"/>
      <c r="BM26" s="43"/>
      <c r="BN26" s="31">
        <f t="shared" si="21"/>
        <v>565.26049991210414</v>
      </c>
      <c r="BO26" s="31">
        <f t="shared" si="1"/>
        <v>600</v>
      </c>
      <c r="BP26" t="b">
        <f t="shared" si="2"/>
        <v>0</v>
      </c>
      <c r="BR26" s="29">
        <f t="shared" si="22"/>
        <v>565.26049991210414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565.26049991210414</v>
      </c>
      <c r="BU26" s="29">
        <f t="shared" si="23"/>
        <v>600</v>
      </c>
      <c r="BV26" s="29">
        <f>Buckets_11_23[[#This Row],[Capacity]]-Buckets_11_23[[#This Row],[After T]]</f>
        <v>34.739500087895863</v>
      </c>
      <c r="BW26" s="29">
        <f>MAX(-Buckets_11_23[[#This Row],[Cap Diff]], 0)</f>
        <v>0</v>
      </c>
      <c r="BX26" s="29">
        <f>Buckets_11_23[[#This Row],[After T]]-Buckets_11_23[[#This Row],[Slush]]</f>
        <v>565.26049991210414</v>
      </c>
      <c r="BY26" s="29">
        <f>Buckets_11_23[[#This Row],[Capacity]]-Buckets_11_23[[#This Row],[Before Fill]]</f>
        <v>34.739500087895863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565.26049991210414</v>
      </c>
      <c r="CC26" s="29">
        <f>IF(NOT(Buckets_11_23[[#This Row],[Is Crit]]), Buckets_11_23[[#This Row],[S Cap Diff]], 0)</f>
        <v>34.739500087895863</v>
      </c>
      <c r="CD26" s="31">
        <f>CB$41/Buckets_11_23[[#Totals],[NC To Fill]]*Buckets_11_23[[#This Row],[NC To Fill]]</f>
        <v>34.260200635815877</v>
      </c>
      <c r="CE26" s="31">
        <f>Buckets_11_23[[#This Row],[Crit Filled]]+Buckets_11_23[[#This Row],[Scaled]]</f>
        <v>599.52070054792</v>
      </c>
      <c r="CF26" s="31">
        <f>Buckets_11_23[[#This Row],[NC Filled]]</f>
        <v>599.52070054792</v>
      </c>
      <c r="CG26" s="31">
        <f>Buckets_11_23[[#This Row],[Capacity]]-Buckets_11_23[[#This Row],[Final]]</f>
        <v>0.47929945207999936</v>
      </c>
      <c r="CH26" s="33">
        <f>IF(Buckets_11_23[[#This Row],[Capacity]]=0, 1, Buckets_11_23[[#This Row],[Final]]/Buckets_11_23[[#This Row],[Capacity]])</f>
        <v>0.99920116757986666</v>
      </c>
      <c r="CJ26" s="40">
        <f>Buckets_11_23[[#This Row],[Final]]</f>
        <v>599.52070054792</v>
      </c>
      <c r="CK26" s="40">
        <f>Buckets_11_23[[#This Row],[Capacity]]</f>
        <v>600</v>
      </c>
      <c r="CL26" s="41" t="b">
        <f t="shared" si="24"/>
        <v>0</v>
      </c>
      <c r="CM26" s="42"/>
      <c r="CN26" s="42"/>
      <c r="CO26" s="42" t="e">
        <f>NA()</f>
        <v>#N/A</v>
      </c>
      <c r="CP26" s="42"/>
      <c r="CQ26" s="43"/>
      <c r="CR26" s="40">
        <f t="shared" si="25"/>
        <v>599.52070054792</v>
      </c>
      <c r="CS26" s="40">
        <f t="shared" si="3"/>
        <v>600</v>
      </c>
      <c r="CT26" s="41" t="b">
        <f t="shared" si="4"/>
        <v>0</v>
      </c>
      <c r="CV26" s="29">
        <f t="shared" si="26"/>
        <v>599.52070054792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564.35070054792004</v>
      </c>
      <c r="CY26" s="29">
        <f t="shared" si="27"/>
        <v>600</v>
      </c>
      <c r="CZ26" s="29">
        <f>Buckets_12_23[[#This Row],[Capacity]]-Buckets_12_23[[#This Row],[After T]]</f>
        <v>35.649299452079958</v>
      </c>
      <c r="DA26" s="29">
        <f>MAX(-Buckets_12_23[[#This Row],[Cap Diff]], 0)</f>
        <v>0</v>
      </c>
      <c r="DB26" s="29">
        <f>Buckets_12_23[[#This Row],[After T]]-Buckets_12_23[[#This Row],[Slush]]</f>
        <v>564.35070054792004</v>
      </c>
      <c r="DC26" s="29">
        <f>Buckets_12_23[[#This Row],[Capacity]]-Buckets_12_23[[#This Row],[Before Fill]]</f>
        <v>35.649299452079958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564.35070054792004</v>
      </c>
      <c r="DG26" s="29">
        <f>IF(NOT(Buckets_12_23[[#This Row],[Is Crit]]), Buckets_12_23[[#This Row],[S Cap Diff]], 0)</f>
        <v>35.649299452079958</v>
      </c>
      <c r="DH26" s="31">
        <f>DF$41/Buckets_12_23[[#Totals],[NC To Fill]]*Buckets_12_23[[#This Row],[NC To Fill]]</f>
        <v>16.299574959891267</v>
      </c>
      <c r="DI26" s="31">
        <f>Buckets_12_23[[#This Row],[Crit Filled]]+Buckets_12_23[[#This Row],[Scaled]]</f>
        <v>580.65027550781133</v>
      </c>
      <c r="DJ26" s="31">
        <f>Buckets_12_23[[#This Row],[NC Filled]]</f>
        <v>580.65027550781133</v>
      </c>
      <c r="DK26" s="31">
        <f>Buckets_12_23[[#This Row],[Capacity]]-Buckets_12_23[[#This Row],[Final]]</f>
        <v>19.34972449218867</v>
      </c>
      <c r="DL26" s="33">
        <f>IF(Buckets_12_23[[#This Row],[Capacity]]=0, 1, Buckets_12_23[[#This Row],[Final]]/Buckets_12_23[[#This Row],[Capacity]])</f>
        <v>0.9677504591796855</v>
      </c>
      <c r="DN26" s="40">
        <f>Buckets_12_23[[#This Row],[Final]]</f>
        <v>580.65027550781133</v>
      </c>
      <c r="DO26" s="40">
        <f>Buckets_12_23[[#This Row],[Capacity]]</f>
        <v>600</v>
      </c>
      <c r="DP26" s="41" t="b">
        <f t="shared" si="28"/>
        <v>0</v>
      </c>
      <c r="DQ26" s="42"/>
      <c r="DR26" s="42"/>
      <c r="DS26" s="42" t="e">
        <f>NA()</f>
        <v>#N/A</v>
      </c>
      <c r="DT26" s="42"/>
      <c r="DU26" s="43"/>
      <c r="DV26" s="40">
        <f t="shared" si="29"/>
        <v>580.65027550781133</v>
      </c>
      <c r="DW26" s="40">
        <f t="shared" si="5"/>
        <v>600</v>
      </c>
      <c r="DX26" s="41" t="b">
        <f t="shared" si="6"/>
        <v>0</v>
      </c>
      <c r="DZ26" s="29">
        <f t="shared" si="30"/>
        <v>580.65027550781133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568.13027550781135</v>
      </c>
      <c r="EC26" s="29">
        <f t="shared" si="31"/>
        <v>600</v>
      </c>
      <c r="ED26" s="29">
        <f>Buckets_1_24[[#This Row],[Capacity]]-Buckets_1_24[[#This Row],[After T]]</f>
        <v>31.869724492188652</v>
      </c>
      <c r="EE26" s="29">
        <f>MAX(-Buckets_1_24[[#This Row],[Cap Diff]], 0)</f>
        <v>0</v>
      </c>
      <c r="EF26" s="29">
        <f>Buckets_1_24[[#This Row],[After T]]-Buckets_1_24[[#This Row],[Slush]]</f>
        <v>568.13027550781135</v>
      </c>
      <c r="EG26" s="29">
        <f>Buckets_1_24[[#This Row],[Capacity]]-Buckets_1_24[[#This Row],[Before Fill]]</f>
        <v>31.869724492188652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568.13027550781135</v>
      </c>
      <c r="EK26" s="29">
        <f>IF(NOT(Buckets_1_24[[#This Row],[Is Crit]]), Buckets_1_24[[#This Row],[S Cap Diff]], 0)</f>
        <v>31.869724492188652</v>
      </c>
      <c r="EL26" s="31">
        <f>EJ$41/Buckets_1_24[[#Totals],[NC To Fill]]*Buckets_1_24[[#This Row],[NC To Fill]]</f>
        <v>19.567769274135461</v>
      </c>
      <c r="EM26" s="31">
        <f>Buckets_1_24[[#This Row],[Crit Filled]]+Buckets_1_24[[#This Row],[Scaled]]</f>
        <v>587.69804478194681</v>
      </c>
      <c r="EN26" s="31">
        <f>Buckets_1_24[[#This Row],[NC Filled]]</f>
        <v>587.69804478194681</v>
      </c>
      <c r="EO26" s="31">
        <f>Buckets_1_24[[#This Row],[Capacity]]-Buckets_1_24[[#This Row],[Final]]</f>
        <v>12.301955218053195</v>
      </c>
      <c r="EP26" s="33">
        <f>IF(Buckets_1_24[[#This Row],[Capacity]]=0, 1, Buckets_1_24[[#This Row],[Final]]/Buckets_1_24[[#This Row],[Capacity]])</f>
        <v>0.97949674130324471</v>
      </c>
      <c r="ER26" s="40">
        <f>Buckets_1_24[[#This Row],[Final]]</f>
        <v>587.69804478194681</v>
      </c>
      <c r="ES26" s="40">
        <f>Buckets_1_24[[#This Row],[Capacity]]</f>
        <v>600</v>
      </c>
      <c r="ET26" s="41" t="b">
        <f t="shared" si="32"/>
        <v>0</v>
      </c>
      <c r="EU26" s="42"/>
      <c r="EV26" s="42"/>
      <c r="EW26" s="42"/>
      <c r="EX26" s="42"/>
      <c r="EY26" s="43"/>
      <c r="EZ26" s="40">
        <f t="shared" si="33"/>
        <v>587.69804478194681</v>
      </c>
      <c r="FA26" s="40">
        <f t="shared" si="34"/>
        <v>600</v>
      </c>
      <c r="FB26" s="41" t="b">
        <f t="shared" si="7"/>
        <v>0</v>
      </c>
      <c r="FD26" s="29">
        <f t="shared" si="35"/>
        <v>587.69804478194681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414.67804478194682</v>
      </c>
      <c r="FG26" s="29">
        <f t="shared" si="36"/>
        <v>600</v>
      </c>
      <c r="FH26" s="29">
        <f>Buckets_2_24[[#This Row],[Capacity]]-Buckets_2_24[[#This Row],[After T]]</f>
        <v>185.32195521805318</v>
      </c>
      <c r="FI26" s="29">
        <f>MAX(-Buckets_2_24[[#This Row],[Cap Diff]], 0)</f>
        <v>0</v>
      </c>
      <c r="FJ26" s="29">
        <f>Buckets_2_24[[#This Row],[After T]]-Buckets_2_24[[#This Row],[Slush]]</f>
        <v>414.67804478194682</v>
      </c>
      <c r="FK26" s="29">
        <f>Buckets_2_24[[#This Row],[Capacity]]-Buckets_2_24[[#This Row],[Before Fill]]</f>
        <v>185.32195521805318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414.67804478194682</v>
      </c>
      <c r="FO26" s="29">
        <f>IF(NOT(Buckets_2_24[[#This Row],[Is Crit]]), Buckets_2_24[[#This Row],[S Cap Diff]], 0)</f>
        <v>185.32195521805318</v>
      </c>
      <c r="FP26" s="31">
        <f>FN$41/Buckets_2_24[[#Totals],[NC To Fill]]*Buckets_2_24[[#This Row],[NC To Fill]]</f>
        <v>178.52911478622954</v>
      </c>
      <c r="FQ26" s="31">
        <f>Buckets_2_24[[#This Row],[Crit Filled]]+Buckets_2_24[[#This Row],[Scaled]]</f>
        <v>593.20715956817639</v>
      </c>
      <c r="FR26" s="31">
        <f>Buckets_2_24[[#This Row],[NC Filled]]</f>
        <v>593.20715956817639</v>
      </c>
      <c r="FS26" s="31">
        <f>Buckets_2_24[[#This Row],[Capacity]]-Buckets_2_24[[#This Row],[Final]]</f>
        <v>6.7928404318236062</v>
      </c>
      <c r="FT26" s="33">
        <f>IF(Buckets_2_24[[#This Row],[Capacity]]=0, 1, Buckets_2_24[[#This Row],[Final]]/Buckets_2_24[[#This Row],[Capacity]])</f>
        <v>0.988678599280294</v>
      </c>
      <c r="FV26" s="40">
        <f>Buckets_2_24[[#This Row],[Final]]</f>
        <v>593.20715956817639</v>
      </c>
      <c r="FW26" s="40">
        <f>Buckets_2_24[[#This Row],[Capacity]]</f>
        <v>600</v>
      </c>
      <c r="FX26" s="41" t="b">
        <f t="shared" si="37"/>
        <v>0</v>
      </c>
      <c r="FY26" s="42"/>
      <c r="FZ26" s="42"/>
      <c r="GA26" s="42"/>
      <c r="GB26" s="42">
        <v>1000</v>
      </c>
      <c r="GC26" s="43"/>
      <c r="GD26" s="40">
        <f t="shared" si="38"/>
        <v>593.20715956817639</v>
      </c>
      <c r="GE26" s="40">
        <f t="shared" si="39"/>
        <v>1000</v>
      </c>
      <c r="GF26" s="41" t="b">
        <f t="shared" si="8"/>
        <v>0</v>
      </c>
      <c r="GH26" s="29">
        <f t="shared" si="40"/>
        <v>593.20715956817639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523.20715956817639</v>
      </c>
      <c r="GK26" s="29">
        <f t="shared" si="41"/>
        <v>1000</v>
      </c>
      <c r="GL26" s="29">
        <f>Buckets_3_24[[#This Row],[Capacity]]-Buckets_3_24[[#This Row],[After T]]</f>
        <v>476.79284043182361</v>
      </c>
      <c r="GM26" s="29">
        <f>MAX(-Buckets_3_24[[#This Row],[Cap Diff]], 0)</f>
        <v>0</v>
      </c>
      <c r="GN26" s="29">
        <f>Buckets_3_24[[#This Row],[After T]]-Buckets_3_24[[#This Row],[Slush]]</f>
        <v>523.20715956817639</v>
      </c>
      <c r="GO26" s="29">
        <f>Buckets_3_24[[#This Row],[Capacity]]-Buckets_3_24[[#This Row],[Before Fill]]</f>
        <v>476.79284043182361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523.20715956817639</v>
      </c>
      <c r="GS26" s="29">
        <f>IF(NOT(Buckets_3_24[[#This Row],[Is Crit]]), Buckets_3_24[[#This Row],[S Cap Diff]], 0)</f>
        <v>476.79284043182361</v>
      </c>
      <c r="GT26" s="31">
        <f>GR$41/Buckets_3_24[[#Totals],[NC To Fill]]*Buckets_3_24[[#This Row],[NC To Fill]]</f>
        <v>463.07970055793493</v>
      </c>
      <c r="GU26" s="31">
        <f>Buckets_3_24[[#This Row],[Crit Filled]]+Buckets_3_24[[#This Row],[Scaled]]</f>
        <v>986.28686012611138</v>
      </c>
      <c r="GV26" s="31">
        <f>Buckets_3_24[[#This Row],[NC Filled]]</f>
        <v>986.28686012611138</v>
      </c>
      <c r="GW26" s="31">
        <f>Buckets_3_24[[#This Row],[Capacity]]-Buckets_3_24[[#This Row],[Final]]</f>
        <v>13.713139873888622</v>
      </c>
      <c r="GX26" s="33">
        <f>IF(Buckets_3_24[[#This Row],[Capacity]]=0, 1, Buckets_3_24[[#This Row],[Final]]/Buckets_3_24[[#This Row],[Capacity]])</f>
        <v>0.98628686012611133</v>
      </c>
      <c r="GZ26" s="40">
        <f>Buckets_3_24[[#This Row],[Final]]</f>
        <v>986.28686012611138</v>
      </c>
      <c r="HA26" s="40">
        <f>Buckets_3_24[[#This Row],[Capacity]]</f>
        <v>1000</v>
      </c>
      <c r="HB26" s="41" t="b">
        <f t="shared" si="42"/>
        <v>0</v>
      </c>
      <c r="HC26" s="42"/>
      <c r="HD26" s="42"/>
      <c r="HE26" s="42"/>
      <c r="HF26" s="42"/>
      <c r="HG26" s="43"/>
      <c r="HH26" s="40">
        <f t="shared" si="43"/>
        <v>986.28686012611138</v>
      </c>
      <c r="HI26" s="40">
        <f t="shared" si="44"/>
        <v>1000</v>
      </c>
      <c r="HJ26" s="41" t="b">
        <f t="shared" si="9"/>
        <v>0</v>
      </c>
      <c r="HL26" s="29">
        <f t="shared" si="45"/>
        <v>986.28686012611138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877.1368601261114</v>
      </c>
      <c r="HO26" s="29">
        <f t="shared" si="46"/>
        <v>1000</v>
      </c>
      <c r="HP26" s="29">
        <f>Buckets_4_24[[#This Row],[Capacity]]-Buckets_4_24[[#This Row],[After T]]</f>
        <v>122.8631398738886</v>
      </c>
      <c r="HQ26" s="29">
        <f>MAX(-Buckets_4_24[[#This Row],[Cap Diff]], 0)</f>
        <v>0</v>
      </c>
      <c r="HR26" s="29">
        <f>Buckets_4_24[[#This Row],[After T]]-Buckets_4_24[[#This Row],[Slush]]</f>
        <v>877.1368601261114</v>
      </c>
      <c r="HS26" s="29">
        <f>Buckets_4_24[[#This Row],[Capacity]]-Buckets_4_24[[#This Row],[Before Fill]]</f>
        <v>122.8631398738886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877.1368601261114</v>
      </c>
      <c r="HW26" s="29">
        <f>IF(NOT(Buckets_4_24[[#This Row],[Is Crit]]), Buckets_4_24[[#This Row],[S Cap Diff]], 0)</f>
        <v>122.8631398738886</v>
      </c>
      <c r="HX26" s="31">
        <f>HV$41/Buckets_4_24[[#Totals],[NC To Fill]]*Buckets_4_24[[#This Row],[NC To Fill]]</f>
        <v>80.177979451232716</v>
      </c>
      <c r="HY26" s="31">
        <f>Buckets_4_24[[#This Row],[Crit Filled]]+Buckets_4_24[[#This Row],[Scaled]]</f>
        <v>957.31483957734417</v>
      </c>
      <c r="HZ26" s="31">
        <f>Buckets_4_24[[#This Row],[NC Filled]]</f>
        <v>957.31483957734417</v>
      </c>
      <c r="IA26" s="31">
        <f>Buckets_4_24[[#This Row],[Capacity]]-Buckets_4_24[[#This Row],[Final]]</f>
        <v>42.685160422655827</v>
      </c>
      <c r="IB26" s="33">
        <f>IF(Buckets_4_24[[#This Row],[Capacity]]=0, 1, Buckets_4_24[[#This Row],[Final]]/Buckets_4_24[[#This Row],[Capacity]])</f>
        <v>0.9573148395773442</v>
      </c>
      <c r="ID26" s="40">
        <f>Buckets_4_24[[#This Row],[Final]]</f>
        <v>957.31483957734417</v>
      </c>
      <c r="IE26" s="40">
        <f>Buckets_4_24[[#This Row],[Capacity]]</f>
        <v>1000</v>
      </c>
      <c r="IF26" s="41" t="b">
        <f t="shared" si="47"/>
        <v>0</v>
      </c>
      <c r="IG26" s="42"/>
      <c r="IH26" s="42"/>
      <c r="II26" s="42"/>
      <c r="IJ26" s="42"/>
      <c r="IK26" s="43"/>
      <c r="IL26" s="40">
        <f t="shared" si="48"/>
        <v>957.31483957734417</v>
      </c>
      <c r="IM26" s="40">
        <f t="shared" si="49"/>
        <v>1000</v>
      </c>
      <c r="IN26" s="41" t="b">
        <f t="shared" si="10"/>
        <v>0</v>
      </c>
    </row>
    <row r="27" spans="1:24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8">
        <v>100</v>
      </c>
      <c r="H27" t="b">
        <v>1</v>
      </c>
      <c r="J27" s="29">
        <f t="shared" si="11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2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 t="shared" si="13"/>
        <v>100</v>
      </c>
      <c r="AD27" t="b">
        <f t="shared" si="14"/>
        <v>1</v>
      </c>
      <c r="AE27" s="43" t="e">
        <f>NA()</f>
        <v>#N/A</v>
      </c>
      <c r="AF27" s="42"/>
      <c r="AG27" s="43" t="e">
        <f>NA()</f>
        <v>#N/A</v>
      </c>
      <c r="AH27" s="42"/>
      <c r="AI27" s="43"/>
      <c r="AJ27" s="31">
        <f t="shared" si="15"/>
        <v>100</v>
      </c>
      <c r="AK27" s="31">
        <f t="shared" si="16"/>
        <v>100</v>
      </c>
      <c r="AL27" t="b">
        <f t="shared" si="17"/>
        <v>1</v>
      </c>
      <c r="AN27" s="29">
        <f t="shared" si="18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19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31">
        <f>AX$41/Buckets_10_23[[#Totals],[NC To Fill]]*Buckets_10_23[[#This Row],[NC To Fill]]</f>
        <v>0</v>
      </c>
      <c r="BA27" s="31">
        <f>Buckets_10_23[[#This Row],[Crit Filled]]+Buckets_10_23[[#This Row],[Scaled]]</f>
        <v>100</v>
      </c>
      <c r="BB27" s="31">
        <f>Buckets_10_23[[#This Row],[NC Filled]]</f>
        <v>100</v>
      </c>
      <c r="BC27" s="31">
        <f>Buckets_10_23[[#This Row],[Capacity]]-Buckets_10_23[[#This Row],[Final]]</f>
        <v>0</v>
      </c>
      <c r="BD27" s="33">
        <f>IF(Buckets_10_23[[#This Row],[Capacity]]=0, 1, Buckets_10_23[[#This Row],[Final]]/Buckets_10_23[[#This Row],[Capacity]])</f>
        <v>1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0"/>
        <v>1</v>
      </c>
      <c r="BI27" s="43" t="e">
        <f>NA()</f>
        <v>#N/A</v>
      </c>
      <c r="BJ27" s="42"/>
      <c r="BK27" s="43" t="e">
        <f>NA()</f>
        <v>#N/A</v>
      </c>
      <c r="BL27" s="42"/>
      <c r="BM27" s="43"/>
      <c r="BN27" s="31">
        <f t="shared" si="21"/>
        <v>100</v>
      </c>
      <c r="BO27" s="31">
        <f t="shared" si="1"/>
        <v>100</v>
      </c>
      <c r="BP27" t="b">
        <f t="shared" si="2"/>
        <v>1</v>
      </c>
      <c r="BR27" s="29">
        <f t="shared" si="22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3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31">
        <f>CB$41/Buckets_11_23[[#Totals],[NC To Fill]]*Buckets_11_23[[#This Row],[NC To Fill]]</f>
        <v>0</v>
      </c>
      <c r="CE27" s="31">
        <f>Buckets_11_23[[#This Row],[Crit Filled]]+Buckets_11_23[[#This Row],[Scaled]]</f>
        <v>100</v>
      </c>
      <c r="CF27" s="31">
        <f>Buckets_11_23[[#This Row],[NC Filled]]</f>
        <v>100</v>
      </c>
      <c r="CG27" s="31">
        <f>Buckets_11_23[[#This Row],[Capacity]]-Buckets_11_23[[#This Row],[Final]]</f>
        <v>0</v>
      </c>
      <c r="CH27" s="33">
        <f>IF(Buckets_11_23[[#This Row],[Capacity]]=0, 1, Buckets_11_23[[#This Row],[Final]]/Buckets_11_23[[#This Row],[Capacity]])</f>
        <v>1</v>
      </c>
      <c r="CJ27" s="40">
        <f>Buckets_11_23[[#This Row],[Final]]</f>
        <v>100</v>
      </c>
      <c r="CK27" s="40">
        <f>Buckets_11_23[[#This Row],[Capacity]]</f>
        <v>100</v>
      </c>
      <c r="CL27" s="41" t="b">
        <f t="shared" si="24"/>
        <v>1</v>
      </c>
      <c r="CM27" s="42"/>
      <c r="CN27" s="42"/>
      <c r="CO27" s="42" t="e">
        <f>NA()</f>
        <v>#N/A</v>
      </c>
      <c r="CP27" s="42"/>
      <c r="CQ27" s="43"/>
      <c r="CR27" s="40">
        <f t="shared" si="25"/>
        <v>100</v>
      </c>
      <c r="CS27" s="40">
        <f t="shared" si="3"/>
        <v>100</v>
      </c>
      <c r="CT27" s="41" t="b">
        <f t="shared" si="4"/>
        <v>1</v>
      </c>
      <c r="CV27" s="29">
        <f t="shared" si="26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7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31">
        <f>DF$41/Buckets_12_23[[#Totals],[NC To Fill]]*Buckets_12_23[[#This Row],[NC To Fill]]</f>
        <v>0</v>
      </c>
      <c r="DI27" s="31">
        <f>Buckets_12_23[[#This Row],[Crit Filled]]+Buckets_12_23[[#This Row],[Scaled]]</f>
        <v>100</v>
      </c>
      <c r="DJ27" s="31">
        <f>Buckets_12_23[[#This Row],[NC Filled]]</f>
        <v>100</v>
      </c>
      <c r="DK27" s="31">
        <f>Buckets_12_23[[#This Row],[Capacity]]-Buckets_12_23[[#This Row],[Final]]</f>
        <v>0</v>
      </c>
      <c r="DL27" s="33">
        <f>IF(Buckets_12_23[[#This Row],[Capacity]]=0, 1, Buckets_12_23[[#This Row],[Final]]/Buckets_12_23[[#This Row],[Capacity]])</f>
        <v>1</v>
      </c>
      <c r="DN27" s="40">
        <f>Buckets_12_23[[#This Row],[Final]]</f>
        <v>100</v>
      </c>
      <c r="DO27" s="40">
        <f>Buckets_12_23[[#This Row],[Capacity]]</f>
        <v>100</v>
      </c>
      <c r="DP27" s="41" t="b">
        <f t="shared" si="28"/>
        <v>1</v>
      </c>
      <c r="DQ27" s="42"/>
      <c r="DR27" s="42"/>
      <c r="DS27" s="42" t="e">
        <f>NA()</f>
        <v>#N/A</v>
      </c>
      <c r="DT27" s="42"/>
      <c r="DU27" s="43"/>
      <c r="DV27" s="40">
        <f t="shared" si="29"/>
        <v>100</v>
      </c>
      <c r="DW27" s="40">
        <f t="shared" si="5"/>
        <v>100</v>
      </c>
      <c r="DX27" s="41" t="b">
        <f t="shared" si="6"/>
        <v>1</v>
      </c>
      <c r="DZ27" s="29">
        <f t="shared" si="30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1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31">
        <f>EJ$41/Buckets_1_24[[#Totals],[NC To Fill]]*Buckets_1_24[[#This Row],[NC To Fill]]</f>
        <v>0</v>
      </c>
      <c r="EM27" s="31">
        <f>Buckets_1_24[[#This Row],[Crit Filled]]+Buckets_1_24[[#This Row],[Scaled]]</f>
        <v>100</v>
      </c>
      <c r="EN27" s="31">
        <f>Buckets_1_24[[#This Row],[NC Filled]]</f>
        <v>100</v>
      </c>
      <c r="EO27" s="31">
        <f>Buckets_1_24[[#This Row],[Capacity]]-Buckets_1_24[[#This Row],[Final]]</f>
        <v>0</v>
      </c>
      <c r="EP27" s="33">
        <f>IF(Buckets_1_24[[#This Row],[Capacity]]=0, 1, Buckets_1_24[[#This Row],[Final]]/Buckets_1_24[[#This Row],[Capacity]])</f>
        <v>1</v>
      </c>
      <c r="ER27" s="40">
        <f>Buckets_1_24[[#This Row],[Final]]</f>
        <v>100</v>
      </c>
      <c r="ES27" s="40">
        <f>Buckets_1_24[[#This Row],[Capacity]]</f>
        <v>100</v>
      </c>
      <c r="ET27" s="41" t="b">
        <f t="shared" si="32"/>
        <v>1</v>
      </c>
      <c r="EU27" s="42"/>
      <c r="EV27" s="42"/>
      <c r="EW27" s="42"/>
      <c r="EX27" s="42"/>
      <c r="EY27" s="43"/>
      <c r="EZ27" s="40">
        <f t="shared" si="33"/>
        <v>100</v>
      </c>
      <c r="FA27" s="40">
        <f t="shared" si="34"/>
        <v>100</v>
      </c>
      <c r="FB27" s="41" t="b">
        <f t="shared" si="7"/>
        <v>1</v>
      </c>
      <c r="FD27" s="29">
        <f t="shared" si="35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6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31">
        <f>FN$41/Buckets_2_24[[#Totals],[NC To Fill]]*Buckets_2_24[[#This Row],[NC To Fill]]</f>
        <v>0</v>
      </c>
      <c r="FQ27" s="31">
        <f>Buckets_2_24[[#This Row],[Crit Filled]]+Buckets_2_24[[#This Row],[Scaled]]</f>
        <v>100</v>
      </c>
      <c r="FR27" s="31">
        <f>Buckets_2_24[[#This Row],[NC Filled]]</f>
        <v>100</v>
      </c>
      <c r="FS27" s="31">
        <f>Buckets_2_24[[#This Row],[Capacity]]-Buckets_2_24[[#This Row],[Final]]</f>
        <v>0</v>
      </c>
      <c r="FT27" s="33">
        <f>IF(Buckets_2_24[[#This Row],[Capacity]]=0, 1, Buckets_2_24[[#This Row],[Final]]/Buckets_2_24[[#This Row],[Capacity]])</f>
        <v>1</v>
      </c>
      <c r="FV27" s="40">
        <f>Buckets_2_24[[#This Row],[Final]]</f>
        <v>100</v>
      </c>
      <c r="FW27" s="40">
        <f>Buckets_2_24[[#This Row],[Capacity]]</f>
        <v>100</v>
      </c>
      <c r="FX27" s="41" t="b">
        <f t="shared" si="37"/>
        <v>1</v>
      </c>
      <c r="FY27" s="42"/>
      <c r="FZ27" s="42"/>
      <c r="GA27" s="42"/>
      <c r="GB27" s="42"/>
      <c r="GC27" s="43"/>
      <c r="GD27" s="40">
        <f t="shared" si="38"/>
        <v>100</v>
      </c>
      <c r="GE27" s="40">
        <f t="shared" si="39"/>
        <v>100</v>
      </c>
      <c r="GF27" s="41" t="b">
        <f t="shared" si="8"/>
        <v>1</v>
      </c>
      <c r="GH27" s="29">
        <f t="shared" si="40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1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31">
        <f>GR$41/Buckets_3_24[[#Totals],[NC To Fill]]*Buckets_3_24[[#This Row],[NC To Fill]]</f>
        <v>0</v>
      </c>
      <c r="GU27" s="31">
        <f>Buckets_3_24[[#This Row],[Crit Filled]]+Buckets_3_24[[#This Row],[Scaled]]</f>
        <v>100</v>
      </c>
      <c r="GV27" s="31">
        <f>Buckets_3_24[[#This Row],[NC Filled]]</f>
        <v>100</v>
      </c>
      <c r="GW27" s="31">
        <f>Buckets_3_24[[#This Row],[Capacity]]-Buckets_3_24[[#This Row],[Final]]</f>
        <v>0</v>
      </c>
      <c r="GX27" s="33">
        <f>IF(Buckets_3_24[[#This Row],[Capacity]]=0, 1, Buckets_3_24[[#This Row],[Final]]/Buckets_3_24[[#This Row],[Capacity]])</f>
        <v>1</v>
      </c>
      <c r="GZ27" s="40">
        <f>Buckets_3_24[[#This Row],[Final]]</f>
        <v>100</v>
      </c>
      <c r="HA27" s="40">
        <f>Buckets_3_24[[#This Row],[Capacity]]</f>
        <v>100</v>
      </c>
      <c r="HB27" s="41" t="b">
        <f t="shared" si="42"/>
        <v>1</v>
      </c>
      <c r="HC27" s="42"/>
      <c r="HD27" s="42"/>
      <c r="HE27" s="42"/>
      <c r="HF27" s="42"/>
      <c r="HG27" s="43"/>
      <c r="HH27" s="40">
        <f t="shared" si="43"/>
        <v>100</v>
      </c>
      <c r="HI27" s="40">
        <f t="shared" si="44"/>
        <v>100</v>
      </c>
      <c r="HJ27" s="41" t="b">
        <f t="shared" si="9"/>
        <v>1</v>
      </c>
      <c r="HL27" s="29">
        <f t="shared" si="45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6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31">
        <f>HV$41/Buckets_4_24[[#Totals],[NC To Fill]]*Buckets_4_24[[#This Row],[NC To Fill]]</f>
        <v>0</v>
      </c>
      <c r="HY27" s="31">
        <f>Buckets_4_24[[#This Row],[Crit Filled]]+Buckets_4_24[[#This Row],[Scaled]]</f>
        <v>100</v>
      </c>
      <c r="HZ27" s="31">
        <f>Buckets_4_24[[#This Row],[NC Filled]]</f>
        <v>100</v>
      </c>
      <c r="IA27" s="31">
        <f>Buckets_4_24[[#This Row],[Capacity]]-Buckets_4_24[[#This Row],[Final]]</f>
        <v>0</v>
      </c>
      <c r="IB27" s="33">
        <f>IF(Buckets_4_24[[#This Row],[Capacity]]=0, 1, Buckets_4_24[[#This Row],[Final]]/Buckets_4_24[[#This Row],[Capacity]])</f>
        <v>1</v>
      </c>
      <c r="ID27" s="40">
        <f>Buckets_4_24[[#This Row],[Final]]</f>
        <v>100</v>
      </c>
      <c r="IE27" s="40">
        <f>Buckets_4_24[[#This Row],[Capacity]]</f>
        <v>100</v>
      </c>
      <c r="IF27" s="41" t="b">
        <f t="shared" si="47"/>
        <v>1</v>
      </c>
      <c r="IG27" s="42"/>
      <c r="IH27" s="42"/>
      <c r="II27" s="42"/>
      <c r="IJ27" s="42"/>
      <c r="IK27" s="43"/>
      <c r="IL27" s="40">
        <f t="shared" si="48"/>
        <v>100</v>
      </c>
      <c r="IM27" s="40">
        <f t="shared" si="49"/>
        <v>100</v>
      </c>
      <c r="IN27" s="41" t="b">
        <f t="shared" si="10"/>
        <v>1</v>
      </c>
    </row>
    <row r="28" spans="1:24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8">
        <v>250</v>
      </c>
      <c r="H28" t="b">
        <v>0</v>
      </c>
      <c r="J28" s="29">
        <f t="shared" si="11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2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 t="shared" si="13"/>
        <v>250</v>
      </c>
      <c r="AD28" t="b">
        <f t="shared" si="14"/>
        <v>0</v>
      </c>
      <c r="AE28" s="43" t="e">
        <f>NA()</f>
        <v>#N/A</v>
      </c>
      <c r="AF28" s="42"/>
      <c r="AG28" s="43" t="e">
        <f>NA()</f>
        <v>#N/A</v>
      </c>
      <c r="AH28" s="42"/>
      <c r="AI28" s="43"/>
      <c r="AJ28" s="31">
        <f t="shared" si="15"/>
        <v>230.92263956449588</v>
      </c>
      <c r="AK28" s="31">
        <f t="shared" si="16"/>
        <v>250</v>
      </c>
      <c r="AL28" t="b">
        <f t="shared" si="17"/>
        <v>0</v>
      </c>
      <c r="AN28" s="29">
        <f t="shared" si="18"/>
        <v>230.92263956449588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130.92263956449588</v>
      </c>
      <c r="AQ28" s="29">
        <f t="shared" si="19"/>
        <v>250</v>
      </c>
      <c r="AR28" s="29">
        <f>Buckets_10_23[[#This Row],[Capacity]]-Buckets_10_23[[#This Row],[After T]]</f>
        <v>119.07736043550412</v>
      </c>
      <c r="AS28" s="29">
        <f>MAX(-Buckets_10_23[[#This Row],[Cap Diff]], 0)</f>
        <v>0</v>
      </c>
      <c r="AT28" s="29">
        <f>Buckets_10_23[[#This Row],[After T]]-Buckets_10_23[[#This Row],[Slush]]</f>
        <v>130.92263956449588</v>
      </c>
      <c r="AU28" s="29">
        <f>Buckets_10_23[[#This Row],[Capacity]]-Buckets_10_23[[#This Row],[Before Fill]]</f>
        <v>119.07736043550412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130.92263956449588</v>
      </c>
      <c r="AY28" s="29">
        <f>IF(NOT(Buckets_10_23[[#This Row],[Is Crit]]), Buckets_10_23[[#This Row],[S Cap Diff]], 0)</f>
        <v>119.07736043550412</v>
      </c>
      <c r="AZ28" s="31">
        <f>AX$41/Buckets_10_23[[#Totals],[NC To Fill]]*Buckets_10_23[[#This Row],[NC To Fill]]</f>
        <v>70.728658187203266</v>
      </c>
      <c r="BA28" s="31">
        <f>Buckets_10_23[[#This Row],[Crit Filled]]+Buckets_10_23[[#This Row],[Scaled]]</f>
        <v>201.65129775169913</v>
      </c>
      <c r="BB28" s="31">
        <f>Buckets_10_23[[#This Row],[NC Filled]]</f>
        <v>201.65129775169913</v>
      </c>
      <c r="BC28" s="31">
        <f>Buckets_10_23[[#This Row],[Capacity]]-Buckets_10_23[[#This Row],[Final]]</f>
        <v>48.348702248300867</v>
      </c>
      <c r="BD28" s="33">
        <f>IF(Buckets_10_23[[#This Row],[Capacity]]=0, 1, Buckets_10_23[[#This Row],[Final]]/Buckets_10_23[[#This Row],[Capacity]])</f>
        <v>0.80660519100679651</v>
      </c>
      <c r="BF28" s="31">
        <f>Buckets_10_23[[#This Row],[Final]]</f>
        <v>201.65129775169913</v>
      </c>
      <c r="BG28" s="31">
        <f>Buckets_10_23[[#This Row],[Capacity]]</f>
        <v>250</v>
      </c>
      <c r="BH28" t="b">
        <f t="shared" si="20"/>
        <v>0</v>
      </c>
      <c r="BI28" s="43" t="e">
        <f>NA()</f>
        <v>#N/A</v>
      </c>
      <c r="BJ28" s="42"/>
      <c r="BK28" s="43" t="e">
        <f>NA()</f>
        <v>#N/A</v>
      </c>
      <c r="BL28" s="42"/>
      <c r="BM28" s="43"/>
      <c r="BN28" s="31">
        <f t="shared" si="21"/>
        <v>201.65129775169913</v>
      </c>
      <c r="BO28" s="31">
        <f t="shared" si="1"/>
        <v>250</v>
      </c>
      <c r="BP28" t="b">
        <f t="shared" si="2"/>
        <v>0</v>
      </c>
      <c r="BR28" s="29">
        <f t="shared" si="22"/>
        <v>201.65129775169913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201.65129775169913</v>
      </c>
      <c r="BU28" s="29">
        <f t="shared" si="23"/>
        <v>250</v>
      </c>
      <c r="BV28" s="29">
        <f>Buckets_11_23[[#This Row],[Capacity]]-Buckets_11_23[[#This Row],[After T]]</f>
        <v>48.348702248300867</v>
      </c>
      <c r="BW28" s="29">
        <f>MAX(-Buckets_11_23[[#This Row],[Cap Diff]], 0)</f>
        <v>0</v>
      </c>
      <c r="BX28" s="29">
        <f>Buckets_11_23[[#This Row],[After T]]-Buckets_11_23[[#This Row],[Slush]]</f>
        <v>201.65129775169913</v>
      </c>
      <c r="BY28" s="29">
        <f>Buckets_11_23[[#This Row],[Capacity]]-Buckets_11_23[[#This Row],[Before Fill]]</f>
        <v>48.348702248300867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201.65129775169913</v>
      </c>
      <c r="CC28" s="29">
        <f>IF(NOT(Buckets_11_23[[#This Row],[Is Crit]]), Buckets_11_23[[#This Row],[S Cap Diff]], 0)</f>
        <v>48.348702248300867</v>
      </c>
      <c r="CD28" s="31">
        <f>CB$41/Buckets_11_23[[#Totals],[NC To Fill]]*Buckets_11_23[[#This Row],[NC To Fill]]</f>
        <v>47.681637194464258</v>
      </c>
      <c r="CE28" s="31">
        <f>Buckets_11_23[[#This Row],[Crit Filled]]+Buckets_11_23[[#This Row],[Scaled]]</f>
        <v>249.33293494616339</v>
      </c>
      <c r="CF28" s="31">
        <f>Buckets_11_23[[#This Row],[NC Filled]]</f>
        <v>249.33293494616339</v>
      </c>
      <c r="CG28" s="31">
        <f>Buckets_11_23[[#This Row],[Capacity]]-Buckets_11_23[[#This Row],[Final]]</f>
        <v>0.66706505383660897</v>
      </c>
      <c r="CH28" s="33">
        <f>IF(Buckets_11_23[[#This Row],[Capacity]]=0, 1, Buckets_11_23[[#This Row],[Final]]/Buckets_11_23[[#This Row],[Capacity]])</f>
        <v>0.99733173978465361</v>
      </c>
      <c r="CJ28" s="40">
        <f>Buckets_11_23[[#This Row],[Final]]</f>
        <v>249.33293494616339</v>
      </c>
      <c r="CK28" s="40">
        <f>Buckets_11_23[[#This Row],[Capacity]]</f>
        <v>250</v>
      </c>
      <c r="CL28" s="41" t="b">
        <f t="shared" si="24"/>
        <v>0</v>
      </c>
      <c r="CM28" s="42">
        <v>-100</v>
      </c>
      <c r="CN28" s="42"/>
      <c r="CO28" s="42" t="e">
        <f>NA()</f>
        <v>#N/A</v>
      </c>
      <c r="CP28" s="42"/>
      <c r="CQ28" s="43"/>
      <c r="CR28" s="40">
        <f t="shared" si="25"/>
        <v>149.33293494616339</v>
      </c>
      <c r="CS28" s="40">
        <f t="shared" si="3"/>
        <v>250</v>
      </c>
      <c r="CT28" s="41" t="b">
        <f t="shared" si="4"/>
        <v>0</v>
      </c>
      <c r="CV28" s="29">
        <f t="shared" si="26"/>
        <v>149.33293494616339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149.33293494616339</v>
      </c>
      <c r="CY28" s="29">
        <f t="shared" si="27"/>
        <v>250</v>
      </c>
      <c r="CZ28" s="29">
        <f>Buckets_12_23[[#This Row],[Capacity]]-Buckets_12_23[[#This Row],[After T]]</f>
        <v>100.66706505383661</v>
      </c>
      <c r="DA28" s="29">
        <f>MAX(-Buckets_12_23[[#This Row],[Cap Diff]], 0)</f>
        <v>0</v>
      </c>
      <c r="DB28" s="29">
        <f>Buckets_12_23[[#This Row],[After T]]-Buckets_12_23[[#This Row],[Slush]]</f>
        <v>149.33293494616339</v>
      </c>
      <c r="DC28" s="29">
        <f>Buckets_12_23[[#This Row],[Capacity]]-Buckets_12_23[[#This Row],[Before Fill]]</f>
        <v>100.66706505383661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149.33293494616339</v>
      </c>
      <c r="DG28" s="29">
        <f>IF(NOT(Buckets_12_23[[#This Row],[Is Crit]]), Buckets_12_23[[#This Row],[S Cap Diff]], 0)</f>
        <v>100.66706505383661</v>
      </c>
      <c r="DH28" s="31">
        <f>DF$41/Buckets_12_23[[#Totals],[NC To Fill]]*Buckets_12_23[[#This Row],[NC To Fill]]</f>
        <v>46.027001878196124</v>
      </c>
      <c r="DI28" s="31">
        <f>Buckets_12_23[[#This Row],[Crit Filled]]+Buckets_12_23[[#This Row],[Scaled]]</f>
        <v>195.35993682435952</v>
      </c>
      <c r="DJ28" s="31">
        <f>Buckets_12_23[[#This Row],[NC Filled]]</f>
        <v>195.35993682435952</v>
      </c>
      <c r="DK28" s="31">
        <f>Buckets_12_23[[#This Row],[Capacity]]-Buckets_12_23[[#This Row],[Final]]</f>
        <v>54.640063175640478</v>
      </c>
      <c r="DL28" s="33">
        <f>IF(Buckets_12_23[[#This Row],[Capacity]]=0, 1, Buckets_12_23[[#This Row],[Final]]/Buckets_12_23[[#This Row],[Capacity]])</f>
        <v>0.78143974729743804</v>
      </c>
      <c r="DN28" s="40">
        <f>Buckets_12_23[[#This Row],[Final]]</f>
        <v>195.35993682435952</v>
      </c>
      <c r="DO28" s="40">
        <f>Buckets_12_23[[#This Row],[Capacity]]</f>
        <v>250</v>
      </c>
      <c r="DP28" s="41" t="b">
        <f t="shared" si="28"/>
        <v>0</v>
      </c>
      <c r="DQ28" s="42"/>
      <c r="DR28" s="42"/>
      <c r="DS28" s="42" t="e">
        <f>NA()</f>
        <v>#N/A</v>
      </c>
      <c r="DT28" s="42"/>
      <c r="DU28" s="43"/>
      <c r="DV28" s="40">
        <f t="shared" si="29"/>
        <v>195.35993682435952</v>
      </c>
      <c r="DW28" s="40">
        <f t="shared" si="5"/>
        <v>250</v>
      </c>
      <c r="DX28" s="41" t="b">
        <f t="shared" si="6"/>
        <v>0</v>
      </c>
      <c r="DZ28" s="29">
        <f t="shared" si="30"/>
        <v>195.35993682435952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195.35993682435952</v>
      </c>
      <c r="EC28" s="29">
        <f t="shared" si="31"/>
        <v>250</v>
      </c>
      <c r="ED28" s="29">
        <f>Buckets_1_24[[#This Row],[Capacity]]-Buckets_1_24[[#This Row],[After T]]</f>
        <v>54.640063175640478</v>
      </c>
      <c r="EE28" s="29">
        <f>MAX(-Buckets_1_24[[#This Row],[Cap Diff]], 0)</f>
        <v>0</v>
      </c>
      <c r="EF28" s="29">
        <f>Buckets_1_24[[#This Row],[After T]]-Buckets_1_24[[#This Row],[Slush]]</f>
        <v>195.35993682435952</v>
      </c>
      <c r="EG28" s="29">
        <f>Buckets_1_24[[#This Row],[Capacity]]-Buckets_1_24[[#This Row],[Before Fill]]</f>
        <v>54.640063175640478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195.35993682435952</v>
      </c>
      <c r="EK28" s="29">
        <f>IF(NOT(Buckets_1_24[[#This Row],[Is Crit]]), Buckets_1_24[[#This Row],[S Cap Diff]], 0)</f>
        <v>54.640063175640478</v>
      </c>
      <c r="EL28" s="31">
        <f>EJ$41/Buckets_1_24[[#Totals],[NC To Fill]]*Buckets_1_24[[#This Row],[NC To Fill]]</f>
        <v>33.548584632640235</v>
      </c>
      <c r="EM28" s="31">
        <f>Buckets_1_24[[#This Row],[Crit Filled]]+Buckets_1_24[[#This Row],[Scaled]]</f>
        <v>228.90852145699975</v>
      </c>
      <c r="EN28" s="31">
        <f>Buckets_1_24[[#This Row],[NC Filled]]</f>
        <v>228.90852145699975</v>
      </c>
      <c r="EO28" s="31">
        <f>Buckets_1_24[[#This Row],[Capacity]]-Buckets_1_24[[#This Row],[Final]]</f>
        <v>21.09147854300025</v>
      </c>
      <c r="EP28" s="33">
        <f>IF(Buckets_1_24[[#This Row],[Capacity]]=0, 1, Buckets_1_24[[#This Row],[Final]]/Buckets_1_24[[#This Row],[Capacity]])</f>
        <v>0.91563408582799899</v>
      </c>
      <c r="ER28" s="40">
        <f>Buckets_1_24[[#This Row],[Final]]</f>
        <v>228.90852145699975</v>
      </c>
      <c r="ES28" s="40">
        <f>Buckets_1_24[[#This Row],[Capacity]]</f>
        <v>250</v>
      </c>
      <c r="ET28" s="41" t="b">
        <f t="shared" si="32"/>
        <v>0</v>
      </c>
      <c r="EU28" s="42"/>
      <c r="EV28" s="42"/>
      <c r="EW28" s="42"/>
      <c r="EX28" s="42"/>
      <c r="EY28" s="43"/>
      <c r="EZ28" s="40">
        <f t="shared" si="33"/>
        <v>228.90852145699975</v>
      </c>
      <c r="FA28" s="40">
        <f t="shared" si="34"/>
        <v>250</v>
      </c>
      <c r="FB28" s="41" t="b">
        <f t="shared" si="7"/>
        <v>0</v>
      </c>
      <c r="FD28" s="29">
        <f t="shared" si="35"/>
        <v>228.90852145699975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228.90852145699975</v>
      </c>
      <c r="FG28" s="29">
        <f t="shared" si="36"/>
        <v>250</v>
      </c>
      <c r="FH28" s="29">
        <f>Buckets_2_24[[#This Row],[Capacity]]-Buckets_2_24[[#This Row],[After T]]</f>
        <v>21.09147854300025</v>
      </c>
      <c r="FI28" s="29">
        <f>MAX(-Buckets_2_24[[#This Row],[Cap Diff]], 0)</f>
        <v>0</v>
      </c>
      <c r="FJ28" s="29">
        <f>Buckets_2_24[[#This Row],[After T]]-Buckets_2_24[[#This Row],[Slush]]</f>
        <v>228.90852145699975</v>
      </c>
      <c r="FK28" s="29">
        <f>Buckets_2_24[[#This Row],[Capacity]]-Buckets_2_24[[#This Row],[Before Fill]]</f>
        <v>21.09147854300025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228.90852145699975</v>
      </c>
      <c r="FO28" s="29">
        <f>IF(NOT(Buckets_2_24[[#This Row],[Is Crit]]), Buckets_2_24[[#This Row],[S Cap Diff]], 0)</f>
        <v>21.09147854300025</v>
      </c>
      <c r="FP28" s="31">
        <f>FN$41/Buckets_2_24[[#Totals],[NC To Fill]]*Buckets_2_24[[#This Row],[NC To Fill]]</f>
        <v>20.318385856571069</v>
      </c>
      <c r="FQ28" s="31">
        <f>Buckets_2_24[[#This Row],[Crit Filled]]+Buckets_2_24[[#This Row],[Scaled]]</f>
        <v>249.22690731357082</v>
      </c>
      <c r="FR28" s="31">
        <f>Buckets_2_24[[#This Row],[NC Filled]]</f>
        <v>249.22690731357082</v>
      </c>
      <c r="FS28" s="31">
        <f>Buckets_2_24[[#This Row],[Capacity]]-Buckets_2_24[[#This Row],[Final]]</f>
        <v>0.77309268642918028</v>
      </c>
      <c r="FT28" s="33">
        <f>IF(Buckets_2_24[[#This Row],[Capacity]]=0, 1, Buckets_2_24[[#This Row],[Final]]/Buckets_2_24[[#This Row],[Capacity]])</f>
        <v>0.99690762925428333</v>
      </c>
      <c r="FV28" s="40">
        <f>Buckets_2_24[[#This Row],[Final]]</f>
        <v>249.22690731357082</v>
      </c>
      <c r="FW28" s="40">
        <f>Buckets_2_24[[#This Row],[Capacity]]</f>
        <v>250</v>
      </c>
      <c r="FX28" s="41" t="b">
        <f t="shared" si="37"/>
        <v>0</v>
      </c>
      <c r="FY28" s="42"/>
      <c r="FZ28" s="42"/>
      <c r="GA28" s="42"/>
      <c r="GB28" s="42"/>
      <c r="GC28" s="43"/>
      <c r="GD28" s="40">
        <f t="shared" si="38"/>
        <v>249.22690731357082</v>
      </c>
      <c r="GE28" s="40">
        <f t="shared" si="39"/>
        <v>250</v>
      </c>
      <c r="GF28" s="41" t="b">
        <f t="shared" si="8"/>
        <v>0</v>
      </c>
      <c r="GH28" s="29">
        <f t="shared" si="40"/>
        <v>249.22690731357082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249.22690731357082</v>
      </c>
      <c r="GK28" s="29">
        <f t="shared" si="41"/>
        <v>250</v>
      </c>
      <c r="GL28" s="29">
        <f>Buckets_3_24[[#This Row],[Capacity]]-Buckets_3_24[[#This Row],[After T]]</f>
        <v>0.77309268642918028</v>
      </c>
      <c r="GM28" s="29">
        <f>MAX(-Buckets_3_24[[#This Row],[Cap Diff]], 0)</f>
        <v>0</v>
      </c>
      <c r="GN28" s="29">
        <f>Buckets_3_24[[#This Row],[After T]]-Buckets_3_24[[#This Row],[Slush]]</f>
        <v>249.22690731357082</v>
      </c>
      <c r="GO28" s="29">
        <f>Buckets_3_24[[#This Row],[Capacity]]-Buckets_3_24[[#This Row],[Before Fill]]</f>
        <v>0.77309268642918028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249.22690731357082</v>
      </c>
      <c r="GS28" s="29">
        <f>IF(NOT(Buckets_3_24[[#This Row],[Is Crit]]), Buckets_3_24[[#This Row],[S Cap Diff]], 0)</f>
        <v>0.77309268642918028</v>
      </c>
      <c r="GT28" s="31">
        <f>GR$41/Buckets_3_24[[#Totals],[NC To Fill]]*Buckets_3_24[[#This Row],[NC To Fill]]</f>
        <v>0.75085760392483303</v>
      </c>
      <c r="GU28" s="31">
        <f>Buckets_3_24[[#This Row],[Crit Filled]]+Buckets_3_24[[#This Row],[Scaled]]</f>
        <v>249.97776491749565</v>
      </c>
      <c r="GV28" s="31">
        <f>Buckets_3_24[[#This Row],[NC Filled]]</f>
        <v>249.97776491749565</v>
      </c>
      <c r="GW28" s="31">
        <f>Buckets_3_24[[#This Row],[Capacity]]-Buckets_3_24[[#This Row],[Final]]</f>
        <v>2.2235082504352022E-2</v>
      </c>
      <c r="GX28" s="33">
        <f>IF(Buckets_3_24[[#This Row],[Capacity]]=0, 1, Buckets_3_24[[#This Row],[Final]]/Buckets_3_24[[#This Row],[Capacity]])</f>
        <v>0.99991105966998262</v>
      </c>
      <c r="GZ28" s="40">
        <f>Buckets_3_24[[#This Row],[Final]]</f>
        <v>249.97776491749565</v>
      </c>
      <c r="HA28" s="40">
        <f>Buckets_3_24[[#This Row],[Capacity]]</f>
        <v>250</v>
      </c>
      <c r="HB28" s="41" t="b">
        <f t="shared" si="42"/>
        <v>0</v>
      </c>
      <c r="HC28" s="42"/>
      <c r="HD28" s="42"/>
      <c r="HE28" s="42"/>
      <c r="HF28" s="42"/>
      <c r="HG28" s="43"/>
      <c r="HH28" s="40">
        <f t="shared" si="43"/>
        <v>249.97776491749565</v>
      </c>
      <c r="HI28" s="40">
        <f t="shared" si="44"/>
        <v>250</v>
      </c>
      <c r="HJ28" s="41" t="b">
        <f t="shared" si="9"/>
        <v>0</v>
      </c>
      <c r="HL28" s="29">
        <f t="shared" si="45"/>
        <v>249.97776491749565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249.97776491749565</v>
      </c>
      <c r="HO28" s="29">
        <f t="shared" si="46"/>
        <v>250</v>
      </c>
      <c r="HP28" s="29">
        <f>Buckets_4_24[[#This Row],[Capacity]]-Buckets_4_24[[#This Row],[After T]]</f>
        <v>2.2235082504352022E-2</v>
      </c>
      <c r="HQ28" s="29">
        <f>MAX(-Buckets_4_24[[#This Row],[Cap Diff]], 0)</f>
        <v>0</v>
      </c>
      <c r="HR28" s="29">
        <f>Buckets_4_24[[#This Row],[After T]]-Buckets_4_24[[#This Row],[Slush]]</f>
        <v>249.97776491749565</v>
      </c>
      <c r="HS28" s="29">
        <f>Buckets_4_24[[#This Row],[Capacity]]-Buckets_4_24[[#This Row],[Before Fill]]</f>
        <v>2.2235082504352022E-2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249.97776491749565</v>
      </c>
      <c r="HW28" s="29">
        <f>IF(NOT(Buckets_4_24[[#This Row],[Is Crit]]), Buckets_4_24[[#This Row],[S Cap Diff]], 0)</f>
        <v>2.2235082504352022E-2</v>
      </c>
      <c r="HX28" s="31">
        <f>HV$41/Buckets_4_24[[#Totals],[NC To Fill]]*Buckets_4_24[[#This Row],[NC To Fill]]</f>
        <v>1.4510161387380276E-2</v>
      </c>
      <c r="HY28" s="31">
        <f>Buckets_4_24[[#This Row],[Crit Filled]]+Buckets_4_24[[#This Row],[Scaled]]</f>
        <v>249.99227507888304</v>
      </c>
      <c r="HZ28" s="31">
        <f>Buckets_4_24[[#This Row],[NC Filled]]</f>
        <v>249.99227507888304</v>
      </c>
      <c r="IA28" s="31">
        <f>Buckets_4_24[[#This Row],[Capacity]]-Buckets_4_24[[#This Row],[Final]]</f>
        <v>7.724921116960104E-3</v>
      </c>
      <c r="IB28" s="33">
        <f>IF(Buckets_4_24[[#This Row],[Capacity]]=0, 1, Buckets_4_24[[#This Row],[Final]]/Buckets_4_24[[#This Row],[Capacity]])</f>
        <v>0.99996910031553221</v>
      </c>
      <c r="ID28" s="40">
        <f>Buckets_4_24[[#This Row],[Final]]</f>
        <v>249.99227507888304</v>
      </c>
      <c r="IE28" s="40">
        <f>Buckets_4_24[[#This Row],[Capacity]]</f>
        <v>250</v>
      </c>
      <c r="IF28" s="41" t="b">
        <f t="shared" si="47"/>
        <v>0</v>
      </c>
      <c r="IG28" s="42"/>
      <c r="IH28" s="42"/>
      <c r="II28" s="42"/>
      <c r="IJ28" s="42"/>
      <c r="IK28" s="43"/>
      <c r="IL28" s="40">
        <f t="shared" si="48"/>
        <v>249.99227507888304</v>
      </c>
      <c r="IM28" s="40">
        <f t="shared" si="49"/>
        <v>250</v>
      </c>
      <c r="IN28" s="41" t="b">
        <f t="shared" si="10"/>
        <v>0</v>
      </c>
    </row>
    <row r="29" spans="1:248" x14ac:dyDescent="0.25">
      <c r="A29" s="48"/>
      <c r="B29" t="s">
        <v>321</v>
      </c>
      <c r="C29" t="s">
        <v>321</v>
      </c>
      <c r="D29" t="s">
        <v>304</v>
      </c>
      <c r="F29" s="30">
        <v>50</v>
      </c>
      <c r="G29" s="38">
        <v>500</v>
      </c>
      <c r="H29" t="b">
        <v>0</v>
      </c>
      <c r="J29" s="29">
        <f t="shared" si="11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2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 t="shared" si="13"/>
        <v>500</v>
      </c>
      <c r="AD29" t="b">
        <f t="shared" si="14"/>
        <v>0</v>
      </c>
      <c r="AE29" s="43" t="e">
        <f>NA()</f>
        <v>#N/A</v>
      </c>
      <c r="AF29" s="42"/>
      <c r="AG29" s="43" t="e">
        <f>NA()</f>
        <v>#N/A</v>
      </c>
      <c r="AH29" s="42"/>
      <c r="AI29" s="43"/>
      <c r="AJ29" s="31">
        <f t="shared" si="15"/>
        <v>436.40879854831962</v>
      </c>
      <c r="AK29" s="31">
        <f t="shared" si="16"/>
        <v>500</v>
      </c>
      <c r="AL29" t="b">
        <f t="shared" si="17"/>
        <v>0</v>
      </c>
      <c r="AN29" s="29">
        <f t="shared" si="18"/>
        <v>436.40879854831962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373.77879854831963</v>
      </c>
      <c r="AQ29" s="29">
        <f t="shared" si="19"/>
        <v>500</v>
      </c>
      <c r="AR29" s="29">
        <f>Buckets_10_23[[#This Row],[Capacity]]-Buckets_10_23[[#This Row],[After T]]</f>
        <v>126.22120145168037</v>
      </c>
      <c r="AS29" s="29">
        <f>MAX(-Buckets_10_23[[#This Row],[Cap Diff]], 0)</f>
        <v>0</v>
      </c>
      <c r="AT29" s="29">
        <f>Buckets_10_23[[#This Row],[After T]]-Buckets_10_23[[#This Row],[Slush]]</f>
        <v>373.77879854831963</v>
      </c>
      <c r="AU29" s="29">
        <f>Buckets_10_23[[#This Row],[Capacity]]-Buckets_10_23[[#This Row],[Before Fill]]</f>
        <v>126.22120145168037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373.77879854831963</v>
      </c>
      <c r="AY29" s="29">
        <f>IF(NOT(Buckets_10_23[[#This Row],[Is Crit]]), Buckets_10_23[[#This Row],[S Cap Diff]], 0)</f>
        <v>126.22120145168037</v>
      </c>
      <c r="AZ29" s="31">
        <f>AX$41/Buckets_10_23[[#Totals],[NC To Fill]]*Buckets_10_23[[#This Row],[NC To Fill]]</f>
        <v>74.971902138269215</v>
      </c>
      <c r="BA29" s="31">
        <f>Buckets_10_23[[#This Row],[Crit Filled]]+Buckets_10_23[[#This Row],[Scaled]]</f>
        <v>448.75070068658886</v>
      </c>
      <c r="BB29" s="31">
        <f>Buckets_10_23[[#This Row],[NC Filled]]</f>
        <v>448.75070068658886</v>
      </c>
      <c r="BC29" s="31">
        <f>Buckets_10_23[[#This Row],[Capacity]]-Buckets_10_23[[#This Row],[Final]]</f>
        <v>51.249299313411143</v>
      </c>
      <c r="BD29" s="33">
        <f>IF(Buckets_10_23[[#This Row],[Capacity]]=0, 1, Buckets_10_23[[#This Row],[Final]]/Buckets_10_23[[#This Row],[Capacity]])</f>
        <v>0.89750140137317769</v>
      </c>
      <c r="BF29" s="31">
        <f>Buckets_10_23[[#This Row],[Final]]</f>
        <v>448.75070068658886</v>
      </c>
      <c r="BG29" s="31">
        <f>Buckets_10_23[[#This Row],[Capacity]]</f>
        <v>500</v>
      </c>
      <c r="BH29" t="b">
        <f t="shared" si="20"/>
        <v>0</v>
      </c>
      <c r="BI29" s="43" t="e">
        <f>NA()</f>
        <v>#N/A</v>
      </c>
      <c r="BJ29" s="42"/>
      <c r="BK29" s="43" t="e">
        <f>NA()</f>
        <v>#N/A</v>
      </c>
      <c r="BL29" s="42"/>
      <c r="BM29" s="43"/>
      <c r="BN29" s="31">
        <f t="shared" si="21"/>
        <v>448.75070068658886</v>
      </c>
      <c r="BO29" s="31">
        <f t="shared" si="1"/>
        <v>500</v>
      </c>
      <c r="BP29" t="b">
        <f t="shared" si="2"/>
        <v>0</v>
      </c>
      <c r="BR29" s="29">
        <f t="shared" si="22"/>
        <v>448.75070068658886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448.29070068658888</v>
      </c>
      <c r="BU29" s="29">
        <f t="shared" si="23"/>
        <v>500</v>
      </c>
      <c r="BV29" s="29">
        <f>Buckets_11_23[[#This Row],[Capacity]]-Buckets_11_23[[#This Row],[After T]]</f>
        <v>51.709299313411123</v>
      </c>
      <c r="BW29" s="29">
        <f>MAX(-Buckets_11_23[[#This Row],[Cap Diff]], 0)</f>
        <v>0</v>
      </c>
      <c r="BX29" s="29">
        <f>Buckets_11_23[[#This Row],[After T]]-Buckets_11_23[[#This Row],[Slush]]</f>
        <v>448.29070068658888</v>
      </c>
      <c r="BY29" s="29">
        <f>Buckets_11_23[[#This Row],[Capacity]]-Buckets_11_23[[#This Row],[Before Fill]]</f>
        <v>51.709299313411123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448.29070068658888</v>
      </c>
      <c r="CC29" s="29">
        <f>IF(NOT(Buckets_11_23[[#This Row],[Is Crit]]), Buckets_11_23[[#This Row],[S Cap Diff]], 0)</f>
        <v>51.709299313411123</v>
      </c>
      <c r="CD29" s="31">
        <f>CB$41/Buckets_11_23[[#Totals],[NC To Fill]]*Buckets_11_23[[#This Row],[NC To Fill]]</f>
        <v>50.995868240262389</v>
      </c>
      <c r="CE29" s="31">
        <f>Buckets_11_23[[#This Row],[Crit Filled]]+Buckets_11_23[[#This Row],[Scaled]]</f>
        <v>499.28656892685126</v>
      </c>
      <c r="CF29" s="31">
        <f>Buckets_11_23[[#This Row],[NC Filled]]</f>
        <v>499.28656892685126</v>
      </c>
      <c r="CG29" s="31">
        <f>Buckets_11_23[[#This Row],[Capacity]]-Buckets_11_23[[#This Row],[Final]]</f>
        <v>0.71343107314874032</v>
      </c>
      <c r="CH29" s="33">
        <f>IF(Buckets_11_23[[#This Row],[Capacity]]=0, 1, Buckets_11_23[[#This Row],[Final]]/Buckets_11_23[[#This Row],[Capacity]])</f>
        <v>0.9985731378537025</v>
      </c>
      <c r="CJ29" s="40">
        <f>Buckets_11_23[[#This Row],[Final]]</f>
        <v>499.28656892685126</v>
      </c>
      <c r="CK29" s="40">
        <f>Buckets_11_23[[#This Row],[Capacity]]</f>
        <v>500</v>
      </c>
      <c r="CL29" s="41" t="b">
        <f t="shared" si="24"/>
        <v>0</v>
      </c>
      <c r="CM29" s="42">
        <v>-200</v>
      </c>
      <c r="CN29" s="42"/>
      <c r="CO29" s="42" t="e">
        <f>NA()</f>
        <v>#N/A</v>
      </c>
      <c r="CP29" s="42"/>
      <c r="CQ29" s="43"/>
      <c r="CR29" s="40">
        <f t="shared" si="25"/>
        <v>299.28656892685126</v>
      </c>
      <c r="CS29" s="40">
        <f t="shared" si="3"/>
        <v>500</v>
      </c>
      <c r="CT29" s="41" t="b">
        <f t="shared" si="4"/>
        <v>0</v>
      </c>
      <c r="CV29" s="29">
        <f t="shared" si="26"/>
        <v>299.28656892685126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116.39656892685124</v>
      </c>
      <c r="CY29" s="29">
        <f t="shared" si="27"/>
        <v>500</v>
      </c>
      <c r="CZ29" s="29">
        <f>Buckets_12_23[[#This Row],[Capacity]]-Buckets_12_23[[#This Row],[After T]]</f>
        <v>383.60343107314873</v>
      </c>
      <c r="DA29" s="29">
        <f>MAX(-Buckets_12_23[[#This Row],[Cap Diff]], 0)</f>
        <v>0</v>
      </c>
      <c r="DB29" s="29">
        <f>Buckets_12_23[[#This Row],[After T]]-Buckets_12_23[[#This Row],[Slush]]</f>
        <v>116.39656892685124</v>
      </c>
      <c r="DC29" s="29">
        <f>Buckets_12_23[[#This Row],[Capacity]]-Buckets_12_23[[#This Row],[Before Fill]]</f>
        <v>383.60343107314873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116.39656892685124</v>
      </c>
      <c r="DG29" s="29">
        <f>IF(NOT(Buckets_12_23[[#This Row],[Is Crit]]), Buckets_12_23[[#This Row],[S Cap Diff]], 0)</f>
        <v>383.60343107314873</v>
      </c>
      <c r="DH29" s="31">
        <f>DF$41/Buckets_12_23[[#Totals],[NC To Fill]]*Buckets_12_23[[#This Row],[NC To Fill]]</f>
        <v>175.39118512140817</v>
      </c>
      <c r="DI29" s="31">
        <f>Buckets_12_23[[#This Row],[Crit Filled]]+Buckets_12_23[[#This Row],[Scaled]]</f>
        <v>291.78775404825944</v>
      </c>
      <c r="DJ29" s="31">
        <f>Buckets_12_23[[#This Row],[NC Filled]]</f>
        <v>291.78775404825944</v>
      </c>
      <c r="DK29" s="31">
        <f>Buckets_12_23[[#This Row],[Capacity]]-Buckets_12_23[[#This Row],[Final]]</f>
        <v>208.21224595174056</v>
      </c>
      <c r="DL29" s="33">
        <f>IF(Buckets_12_23[[#This Row],[Capacity]]=0, 1, Buckets_12_23[[#This Row],[Final]]/Buckets_12_23[[#This Row],[Capacity]])</f>
        <v>0.58357550809651892</v>
      </c>
      <c r="DN29" s="40">
        <f>Buckets_12_23[[#This Row],[Final]]</f>
        <v>291.78775404825944</v>
      </c>
      <c r="DO29" s="40">
        <f>Buckets_12_23[[#This Row],[Capacity]]</f>
        <v>500</v>
      </c>
      <c r="DP29" s="41" t="b">
        <f t="shared" si="28"/>
        <v>0</v>
      </c>
      <c r="DQ29" s="42"/>
      <c r="DR29" s="42"/>
      <c r="DS29" s="42" t="e">
        <f>NA()</f>
        <v>#N/A</v>
      </c>
      <c r="DT29" s="42"/>
      <c r="DU29" s="43"/>
      <c r="DV29" s="40">
        <f t="shared" si="29"/>
        <v>291.78775404825944</v>
      </c>
      <c r="DW29" s="40">
        <f t="shared" si="5"/>
        <v>500</v>
      </c>
      <c r="DX29" s="41" t="b">
        <f t="shared" si="6"/>
        <v>0</v>
      </c>
      <c r="DZ29" s="29">
        <f t="shared" si="30"/>
        <v>291.78775404825944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261.78775404825944</v>
      </c>
      <c r="EC29" s="29">
        <f t="shared" si="31"/>
        <v>500</v>
      </c>
      <c r="ED29" s="29">
        <f>Buckets_1_24[[#This Row],[Capacity]]-Buckets_1_24[[#This Row],[After T]]</f>
        <v>238.21224595174056</v>
      </c>
      <c r="EE29" s="29">
        <f>MAX(-Buckets_1_24[[#This Row],[Cap Diff]], 0)</f>
        <v>0</v>
      </c>
      <c r="EF29" s="29">
        <f>Buckets_1_24[[#This Row],[After T]]-Buckets_1_24[[#This Row],[Slush]]</f>
        <v>261.78775404825944</v>
      </c>
      <c r="EG29" s="29">
        <f>Buckets_1_24[[#This Row],[Capacity]]-Buckets_1_24[[#This Row],[Before Fill]]</f>
        <v>238.21224595174056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261.78775404825944</v>
      </c>
      <c r="EK29" s="29">
        <f>IF(NOT(Buckets_1_24[[#This Row],[Is Crit]]), Buckets_1_24[[#This Row],[S Cap Diff]], 0)</f>
        <v>238.21224595174056</v>
      </c>
      <c r="EL29" s="31">
        <f>EJ$41/Buckets_1_24[[#Totals],[NC To Fill]]*Buckets_1_24[[#This Row],[NC To Fill]]</f>
        <v>146.26051342865421</v>
      </c>
      <c r="EM29" s="31">
        <f>Buckets_1_24[[#This Row],[Crit Filled]]+Buckets_1_24[[#This Row],[Scaled]]</f>
        <v>408.04826747691368</v>
      </c>
      <c r="EN29" s="31">
        <f>Buckets_1_24[[#This Row],[NC Filled]]</f>
        <v>408.04826747691368</v>
      </c>
      <c r="EO29" s="31">
        <f>Buckets_1_24[[#This Row],[Capacity]]-Buckets_1_24[[#This Row],[Final]]</f>
        <v>91.951732523086321</v>
      </c>
      <c r="EP29" s="33">
        <f>IF(Buckets_1_24[[#This Row],[Capacity]]=0, 1, Buckets_1_24[[#This Row],[Final]]/Buckets_1_24[[#This Row],[Capacity]])</f>
        <v>0.81609653495382739</v>
      </c>
      <c r="ER29" s="40">
        <f>Buckets_1_24[[#This Row],[Final]]</f>
        <v>408.04826747691368</v>
      </c>
      <c r="ES29" s="40">
        <f>Buckets_1_24[[#This Row],[Capacity]]</f>
        <v>500</v>
      </c>
      <c r="ET29" s="41" t="b">
        <f t="shared" si="32"/>
        <v>0</v>
      </c>
      <c r="EU29" s="42"/>
      <c r="EV29" s="42"/>
      <c r="EW29" s="42"/>
      <c r="EX29" s="42"/>
      <c r="EY29" s="43"/>
      <c r="EZ29" s="40">
        <f t="shared" si="33"/>
        <v>408.04826747691368</v>
      </c>
      <c r="FA29" s="40">
        <f t="shared" si="34"/>
        <v>500</v>
      </c>
      <c r="FB29" s="41" t="b">
        <f t="shared" si="7"/>
        <v>0</v>
      </c>
      <c r="FD29" s="29">
        <f t="shared" si="35"/>
        <v>408.04826747691368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378.04826747691368</v>
      </c>
      <c r="FG29" s="29">
        <f t="shared" si="36"/>
        <v>500</v>
      </c>
      <c r="FH29" s="29">
        <f>Buckets_2_24[[#This Row],[Capacity]]-Buckets_2_24[[#This Row],[After T]]</f>
        <v>121.95173252308632</v>
      </c>
      <c r="FI29" s="29">
        <f>MAX(-Buckets_2_24[[#This Row],[Cap Diff]], 0)</f>
        <v>0</v>
      </c>
      <c r="FJ29" s="29">
        <f>Buckets_2_24[[#This Row],[After T]]-Buckets_2_24[[#This Row],[Slush]]</f>
        <v>378.04826747691368</v>
      </c>
      <c r="FK29" s="29">
        <f>Buckets_2_24[[#This Row],[Capacity]]-Buckets_2_24[[#This Row],[Before Fill]]</f>
        <v>121.95173252308632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378.04826747691368</v>
      </c>
      <c r="FO29" s="29">
        <f>IF(NOT(Buckets_2_24[[#This Row],[Is Crit]]), Buckets_2_24[[#This Row],[S Cap Diff]], 0)</f>
        <v>121.95173252308632</v>
      </c>
      <c r="FP29" s="31">
        <f>FN$41/Buckets_2_24[[#Totals],[NC To Fill]]*Buckets_2_24[[#This Row],[NC To Fill]]</f>
        <v>117.48168115524351</v>
      </c>
      <c r="FQ29" s="31">
        <f>Buckets_2_24[[#This Row],[Crit Filled]]+Buckets_2_24[[#This Row],[Scaled]]</f>
        <v>495.52994863215719</v>
      </c>
      <c r="FR29" s="31">
        <f>Buckets_2_24[[#This Row],[NC Filled]]</f>
        <v>495.52994863215719</v>
      </c>
      <c r="FS29" s="31">
        <f>Buckets_2_24[[#This Row],[Capacity]]-Buckets_2_24[[#This Row],[Final]]</f>
        <v>4.4700513678428138</v>
      </c>
      <c r="FT29" s="33">
        <f>IF(Buckets_2_24[[#This Row],[Capacity]]=0, 1, Buckets_2_24[[#This Row],[Final]]/Buckets_2_24[[#This Row],[Capacity]])</f>
        <v>0.99105989726431443</v>
      </c>
      <c r="FV29" s="40">
        <f>Buckets_2_24[[#This Row],[Final]]</f>
        <v>495.52994863215719</v>
      </c>
      <c r="FW29" s="40">
        <f>Buckets_2_24[[#This Row],[Capacity]]</f>
        <v>500</v>
      </c>
      <c r="FX29" s="41" t="b">
        <f t="shared" si="37"/>
        <v>0</v>
      </c>
      <c r="FY29" s="42"/>
      <c r="FZ29" s="42"/>
      <c r="GA29" s="42"/>
      <c r="GB29" s="42"/>
      <c r="GC29" s="43"/>
      <c r="GD29" s="40">
        <f t="shared" si="38"/>
        <v>495.52994863215719</v>
      </c>
      <c r="GE29" s="40">
        <f t="shared" si="39"/>
        <v>500</v>
      </c>
      <c r="GF29" s="41" t="b">
        <f t="shared" si="8"/>
        <v>0</v>
      </c>
      <c r="GH29" s="29">
        <f t="shared" si="40"/>
        <v>495.52994863215719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465.52994863215719</v>
      </c>
      <c r="GK29" s="29">
        <f t="shared" si="41"/>
        <v>500</v>
      </c>
      <c r="GL29" s="29">
        <f>Buckets_3_24[[#This Row],[Capacity]]-Buckets_3_24[[#This Row],[After T]]</f>
        <v>34.470051367842814</v>
      </c>
      <c r="GM29" s="29">
        <f>MAX(-Buckets_3_24[[#This Row],[Cap Diff]], 0)</f>
        <v>0</v>
      </c>
      <c r="GN29" s="29">
        <f>Buckets_3_24[[#This Row],[After T]]-Buckets_3_24[[#This Row],[Slush]]</f>
        <v>465.52994863215719</v>
      </c>
      <c r="GO29" s="29">
        <f>Buckets_3_24[[#This Row],[Capacity]]-Buckets_3_24[[#This Row],[Before Fill]]</f>
        <v>34.470051367842814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465.52994863215719</v>
      </c>
      <c r="GS29" s="29">
        <f>IF(NOT(Buckets_3_24[[#This Row],[Is Crit]]), Buckets_3_24[[#This Row],[S Cap Diff]], 0)</f>
        <v>34.470051367842814</v>
      </c>
      <c r="GT29" s="31">
        <f>GR$41/Buckets_3_24[[#Totals],[NC To Fill]]*Buckets_3_24[[#This Row],[NC To Fill]]</f>
        <v>33.478650919297394</v>
      </c>
      <c r="GU29" s="31">
        <f>Buckets_3_24[[#This Row],[Crit Filled]]+Buckets_3_24[[#This Row],[Scaled]]</f>
        <v>499.00859955145461</v>
      </c>
      <c r="GV29" s="31">
        <f>Buckets_3_24[[#This Row],[NC Filled]]</f>
        <v>499.00859955145461</v>
      </c>
      <c r="GW29" s="31">
        <f>Buckets_3_24[[#This Row],[Capacity]]-Buckets_3_24[[#This Row],[Final]]</f>
        <v>0.99140044854539155</v>
      </c>
      <c r="GX29" s="33">
        <f>IF(Buckets_3_24[[#This Row],[Capacity]]=0, 1, Buckets_3_24[[#This Row],[Final]]/Buckets_3_24[[#This Row],[Capacity]])</f>
        <v>0.9980171991029092</v>
      </c>
      <c r="GZ29" s="40">
        <f>Buckets_3_24[[#This Row],[Final]]</f>
        <v>499.00859955145461</v>
      </c>
      <c r="HA29" s="40">
        <f>Buckets_3_24[[#This Row],[Capacity]]</f>
        <v>500</v>
      </c>
      <c r="HB29" s="41" t="b">
        <f t="shared" si="42"/>
        <v>0</v>
      </c>
      <c r="HC29" s="42"/>
      <c r="HD29" s="42"/>
      <c r="HE29" s="42"/>
      <c r="HF29" s="42"/>
      <c r="HG29" s="43"/>
      <c r="HH29" s="40">
        <f t="shared" si="43"/>
        <v>499.00859955145461</v>
      </c>
      <c r="HI29" s="40">
        <f t="shared" si="44"/>
        <v>500</v>
      </c>
      <c r="HJ29" s="41" t="b">
        <f t="shared" si="9"/>
        <v>0</v>
      </c>
      <c r="HL29" s="29">
        <f t="shared" si="45"/>
        <v>499.00859955145461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458.19859955145461</v>
      </c>
      <c r="HO29" s="29">
        <f t="shared" si="46"/>
        <v>500</v>
      </c>
      <c r="HP29" s="29">
        <f>Buckets_4_24[[#This Row],[Capacity]]-Buckets_4_24[[#This Row],[After T]]</f>
        <v>41.801400448545394</v>
      </c>
      <c r="HQ29" s="29">
        <f>MAX(-Buckets_4_24[[#This Row],[Cap Diff]], 0)</f>
        <v>0</v>
      </c>
      <c r="HR29" s="29">
        <f>Buckets_4_24[[#This Row],[After T]]-Buckets_4_24[[#This Row],[Slush]]</f>
        <v>458.19859955145461</v>
      </c>
      <c r="HS29" s="29">
        <f>Buckets_4_24[[#This Row],[Capacity]]-Buckets_4_24[[#This Row],[Before Fill]]</f>
        <v>41.801400448545394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458.19859955145461</v>
      </c>
      <c r="HW29" s="29">
        <f>IF(NOT(Buckets_4_24[[#This Row],[Is Crit]]), Buckets_4_24[[#This Row],[S Cap Diff]], 0)</f>
        <v>41.801400448545394</v>
      </c>
      <c r="HX29" s="31">
        <f>HV$41/Buckets_4_24[[#Totals],[NC To Fill]]*Buckets_4_24[[#This Row],[NC To Fill]]</f>
        <v>27.278741448707748</v>
      </c>
      <c r="HY29" s="31">
        <f>Buckets_4_24[[#This Row],[Crit Filled]]+Buckets_4_24[[#This Row],[Scaled]]</f>
        <v>485.47734100016237</v>
      </c>
      <c r="HZ29" s="31">
        <f>Buckets_4_24[[#This Row],[NC Filled]]</f>
        <v>485.47734100016237</v>
      </c>
      <c r="IA29" s="31">
        <f>Buckets_4_24[[#This Row],[Capacity]]-Buckets_4_24[[#This Row],[Final]]</f>
        <v>14.522658999837631</v>
      </c>
      <c r="IB29" s="33">
        <f>IF(Buckets_4_24[[#This Row],[Capacity]]=0, 1, Buckets_4_24[[#This Row],[Final]]/Buckets_4_24[[#This Row],[Capacity]])</f>
        <v>0.97095468200032475</v>
      </c>
      <c r="ID29" s="40">
        <f>Buckets_4_24[[#This Row],[Final]]</f>
        <v>485.47734100016237</v>
      </c>
      <c r="IE29" s="40">
        <f>Buckets_4_24[[#This Row],[Capacity]]</f>
        <v>500</v>
      </c>
      <c r="IF29" s="41" t="b">
        <f t="shared" si="47"/>
        <v>0</v>
      </c>
      <c r="IG29" s="42"/>
      <c r="IH29" s="42"/>
      <c r="II29" s="42"/>
      <c r="IJ29" s="42"/>
      <c r="IK29" s="43"/>
      <c r="IL29" s="40">
        <f t="shared" si="48"/>
        <v>485.47734100016237</v>
      </c>
      <c r="IM29" s="40">
        <f t="shared" si="49"/>
        <v>500</v>
      </c>
      <c r="IN29" s="41" t="b">
        <f t="shared" si="10"/>
        <v>0</v>
      </c>
    </row>
    <row r="30" spans="1:24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8">
        <v>200</v>
      </c>
      <c r="H30" t="b">
        <v>0</v>
      </c>
      <c r="J30" s="29">
        <f t="shared" si="11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2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 t="shared" si="13"/>
        <v>200</v>
      </c>
      <c r="AD30" t="b">
        <f t="shared" si="14"/>
        <v>0</v>
      </c>
      <c r="AE30" s="43" t="e">
        <f>NA()</f>
        <v>#N/A</v>
      </c>
      <c r="AF30" s="42"/>
      <c r="AG30" s="43" t="e">
        <f>NA()</f>
        <v>#N/A</v>
      </c>
      <c r="AH30" s="42"/>
      <c r="AI30" s="43"/>
      <c r="AJ30" s="31">
        <f t="shared" si="15"/>
        <v>180.92263956449588</v>
      </c>
      <c r="AK30" s="31">
        <f t="shared" si="16"/>
        <v>200</v>
      </c>
      <c r="AL30" t="b">
        <f t="shared" si="17"/>
        <v>0</v>
      </c>
      <c r="AN30" s="29">
        <f t="shared" si="18"/>
        <v>180.92263956449588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131.44263956449589</v>
      </c>
      <c r="AQ30" s="29">
        <f t="shared" si="19"/>
        <v>200</v>
      </c>
      <c r="AR30" s="29">
        <f>Buckets_10_23[[#This Row],[Capacity]]-Buckets_10_23[[#This Row],[After T]]</f>
        <v>68.557360435504108</v>
      </c>
      <c r="AS30" s="29">
        <f>MAX(-Buckets_10_23[[#This Row],[Cap Diff]], 0)</f>
        <v>0</v>
      </c>
      <c r="AT30" s="29">
        <f>Buckets_10_23[[#This Row],[After T]]-Buckets_10_23[[#This Row],[Slush]]</f>
        <v>131.44263956449589</v>
      </c>
      <c r="AU30" s="29">
        <f>Buckets_10_23[[#This Row],[Capacity]]-Buckets_10_23[[#This Row],[Before Fill]]</f>
        <v>68.557360435504108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131.44263956449589</v>
      </c>
      <c r="AY30" s="29">
        <f>IF(NOT(Buckets_10_23[[#This Row],[Is Crit]]), Buckets_10_23[[#This Row],[S Cap Diff]], 0)</f>
        <v>68.557360435504108</v>
      </c>
      <c r="AZ30" s="31">
        <f>AX$41/Buckets_10_23[[#Totals],[NC To Fill]]*Buckets_10_23[[#This Row],[NC To Fill]]</f>
        <v>40.721175668703296</v>
      </c>
      <c r="BA30" s="31">
        <f>Buckets_10_23[[#This Row],[Crit Filled]]+Buckets_10_23[[#This Row],[Scaled]]</f>
        <v>172.16381523319919</v>
      </c>
      <c r="BB30" s="31">
        <f>Buckets_10_23[[#This Row],[NC Filled]]</f>
        <v>172.16381523319919</v>
      </c>
      <c r="BC30" s="31">
        <f>Buckets_10_23[[#This Row],[Capacity]]-Buckets_10_23[[#This Row],[Final]]</f>
        <v>27.836184766800812</v>
      </c>
      <c r="BD30" s="33">
        <f>IF(Buckets_10_23[[#This Row],[Capacity]]=0, 1, Buckets_10_23[[#This Row],[Final]]/Buckets_10_23[[#This Row],[Capacity]])</f>
        <v>0.86081907616599596</v>
      </c>
      <c r="BF30" s="31">
        <f>Buckets_10_23[[#This Row],[Final]]</f>
        <v>172.16381523319919</v>
      </c>
      <c r="BG30" s="31">
        <f>Buckets_10_23[[#This Row],[Capacity]]</f>
        <v>200</v>
      </c>
      <c r="BH30" t="b">
        <f t="shared" si="20"/>
        <v>0</v>
      </c>
      <c r="BI30" s="43" t="e">
        <f>NA()</f>
        <v>#N/A</v>
      </c>
      <c r="BJ30" s="42"/>
      <c r="BK30" s="43" t="e">
        <f>NA()</f>
        <v>#N/A</v>
      </c>
      <c r="BL30" s="42"/>
      <c r="BM30" s="43"/>
      <c r="BN30" s="31">
        <f t="shared" si="21"/>
        <v>172.16381523319919</v>
      </c>
      <c r="BO30" s="31">
        <f t="shared" si="1"/>
        <v>200</v>
      </c>
      <c r="BP30" t="b">
        <f t="shared" si="2"/>
        <v>0</v>
      </c>
      <c r="BR30" s="29">
        <f t="shared" si="22"/>
        <v>172.16381523319919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-14.076184766800822</v>
      </c>
      <c r="BU30" s="29">
        <f t="shared" si="23"/>
        <v>200</v>
      </c>
      <c r="BV30" s="29">
        <f>Buckets_11_23[[#This Row],[Capacity]]-Buckets_11_23[[#This Row],[After T]]</f>
        <v>214.07618476680082</v>
      </c>
      <c r="BW30" s="29">
        <f>MAX(-Buckets_11_23[[#This Row],[Cap Diff]], 0)</f>
        <v>0</v>
      </c>
      <c r="BX30" s="29">
        <f>Buckets_11_23[[#This Row],[After T]]-Buckets_11_23[[#This Row],[Slush]]</f>
        <v>-14.076184766800822</v>
      </c>
      <c r="BY30" s="29">
        <f>Buckets_11_23[[#This Row],[Capacity]]-Buckets_11_23[[#This Row],[Before Fill]]</f>
        <v>214.07618476680082</v>
      </c>
      <c r="BZ30" t="b">
        <f>OR(BP30, Buckets_11_23[[#This Row],[After T]]&lt;0)</f>
        <v>1</v>
      </c>
      <c r="CA30" s="29">
        <f>IF(Buckets_11_23[[#This Row],[Is Crit]], Buckets_11_23[[#This Row],[S Cap Diff]], 0)</f>
        <v>214.07618476680082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31">
        <f>CB$41/Buckets_11_23[[#Totals],[NC To Fill]]*Buckets_11_23[[#This Row],[NC To Fill]]</f>
        <v>0</v>
      </c>
      <c r="CE30" s="31">
        <f>Buckets_11_23[[#This Row],[Crit Filled]]+Buckets_11_23[[#This Row],[Scaled]]</f>
        <v>200</v>
      </c>
      <c r="CF30" s="31">
        <f>Buckets_11_23[[#This Row],[NC Filled]]</f>
        <v>200</v>
      </c>
      <c r="CG30" s="31">
        <f>Buckets_11_23[[#This Row],[Capacity]]-Buckets_11_23[[#This Row],[Final]]</f>
        <v>0</v>
      </c>
      <c r="CH30" s="33">
        <f>IF(Buckets_11_23[[#This Row],[Capacity]]=0, 1, Buckets_11_23[[#This Row],[Final]]/Buckets_11_23[[#This Row],[Capacity]])</f>
        <v>1</v>
      </c>
      <c r="CJ30" s="40">
        <f>Buckets_11_23[[#This Row],[Final]]</f>
        <v>200</v>
      </c>
      <c r="CK30" s="40">
        <f>Buckets_11_23[[#This Row],[Capacity]]</f>
        <v>200</v>
      </c>
      <c r="CL30" s="41" t="b">
        <f t="shared" si="24"/>
        <v>0</v>
      </c>
      <c r="CM30" s="42"/>
      <c r="CN30" s="42"/>
      <c r="CO30" s="42" t="e">
        <f>NA()</f>
        <v>#N/A</v>
      </c>
      <c r="CP30" s="42"/>
      <c r="CQ30" s="43"/>
      <c r="CR30" s="40">
        <f t="shared" si="25"/>
        <v>200</v>
      </c>
      <c r="CS30" s="40">
        <f t="shared" si="3"/>
        <v>200</v>
      </c>
      <c r="CT30" s="41" t="b">
        <f t="shared" si="4"/>
        <v>0</v>
      </c>
      <c r="CV30" s="29">
        <f t="shared" si="26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7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31">
        <f>DF$41/Buckets_12_23[[#Totals],[NC To Fill]]*Buckets_12_23[[#This Row],[NC To Fill]]</f>
        <v>0</v>
      </c>
      <c r="DI30" s="31">
        <f>Buckets_12_23[[#This Row],[Crit Filled]]+Buckets_12_23[[#This Row],[Scaled]]</f>
        <v>200</v>
      </c>
      <c r="DJ30" s="31">
        <f>Buckets_12_23[[#This Row],[NC Filled]]</f>
        <v>200</v>
      </c>
      <c r="DK30" s="31">
        <f>Buckets_12_23[[#This Row],[Capacity]]-Buckets_12_23[[#This Row],[Final]]</f>
        <v>0</v>
      </c>
      <c r="DL30" s="33">
        <f>IF(Buckets_12_23[[#This Row],[Capacity]]=0, 1, Buckets_12_23[[#This Row],[Final]]/Buckets_12_23[[#This Row],[Capacity]])</f>
        <v>1</v>
      </c>
      <c r="DN30" s="40">
        <f>Buckets_12_23[[#This Row],[Final]]</f>
        <v>200</v>
      </c>
      <c r="DO30" s="40">
        <f>Buckets_12_23[[#This Row],[Capacity]]</f>
        <v>200</v>
      </c>
      <c r="DP30" s="41" t="b">
        <f t="shared" si="28"/>
        <v>0</v>
      </c>
      <c r="DQ30" s="42"/>
      <c r="DR30" s="42"/>
      <c r="DS30" s="42" t="e">
        <f>NA()</f>
        <v>#N/A</v>
      </c>
      <c r="DT30" s="42"/>
      <c r="DU30" s="43"/>
      <c r="DV30" s="40">
        <f t="shared" si="29"/>
        <v>200</v>
      </c>
      <c r="DW30" s="40">
        <f t="shared" si="5"/>
        <v>200</v>
      </c>
      <c r="DX30" s="41" t="b">
        <f t="shared" si="6"/>
        <v>0</v>
      </c>
      <c r="DZ30" s="29">
        <f t="shared" si="30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1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31">
        <f>EJ$41/Buckets_1_24[[#Totals],[NC To Fill]]*Buckets_1_24[[#This Row],[NC To Fill]]</f>
        <v>34.537073639902374</v>
      </c>
      <c r="EM30" s="31">
        <f>Buckets_1_24[[#This Row],[Crit Filled]]+Buckets_1_24[[#This Row],[Scaled]]</f>
        <v>178.28707363990236</v>
      </c>
      <c r="EN30" s="31">
        <f>Buckets_1_24[[#This Row],[NC Filled]]</f>
        <v>178.28707363990236</v>
      </c>
      <c r="EO30" s="31">
        <f>Buckets_1_24[[#This Row],[Capacity]]-Buckets_1_24[[#This Row],[Final]]</f>
        <v>21.71292636009764</v>
      </c>
      <c r="EP30" s="33">
        <f>IF(Buckets_1_24[[#This Row],[Capacity]]=0, 1, Buckets_1_24[[#This Row],[Final]]/Buckets_1_24[[#This Row],[Capacity]])</f>
        <v>0.89143536819951175</v>
      </c>
      <c r="ER30" s="40">
        <f>Buckets_1_24[[#This Row],[Final]]</f>
        <v>178.28707363990236</v>
      </c>
      <c r="ES30" s="40">
        <f>Buckets_1_24[[#This Row],[Capacity]]</f>
        <v>200</v>
      </c>
      <c r="ET30" s="41" t="b">
        <f t="shared" si="32"/>
        <v>0</v>
      </c>
      <c r="EU30" s="42"/>
      <c r="EV30" s="42"/>
      <c r="EW30" s="42"/>
      <c r="EX30" s="42"/>
      <c r="EY30" s="43"/>
      <c r="EZ30" s="40">
        <f t="shared" si="33"/>
        <v>178.28707363990236</v>
      </c>
      <c r="FA30" s="40">
        <f t="shared" si="34"/>
        <v>200</v>
      </c>
      <c r="FB30" s="41" t="b">
        <f t="shared" si="7"/>
        <v>0</v>
      </c>
      <c r="FD30" s="29">
        <f t="shared" si="35"/>
        <v>178.28707363990236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178.28707363990236</v>
      </c>
      <c r="FG30" s="29">
        <f t="shared" si="36"/>
        <v>200</v>
      </c>
      <c r="FH30" s="29">
        <f>Buckets_2_24[[#This Row],[Capacity]]-Buckets_2_24[[#This Row],[After T]]</f>
        <v>21.71292636009764</v>
      </c>
      <c r="FI30" s="29">
        <f>MAX(-Buckets_2_24[[#This Row],[Cap Diff]], 0)</f>
        <v>0</v>
      </c>
      <c r="FJ30" s="29">
        <f>Buckets_2_24[[#This Row],[After T]]-Buckets_2_24[[#This Row],[Slush]]</f>
        <v>178.28707363990236</v>
      </c>
      <c r="FK30" s="29">
        <f>Buckets_2_24[[#This Row],[Capacity]]-Buckets_2_24[[#This Row],[Before Fill]]</f>
        <v>21.71292636009764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178.28707363990236</v>
      </c>
      <c r="FO30" s="29">
        <f>IF(NOT(Buckets_2_24[[#This Row],[Is Crit]]), Buckets_2_24[[#This Row],[S Cap Diff]], 0)</f>
        <v>21.71292636009764</v>
      </c>
      <c r="FP30" s="31">
        <f>FN$41/Buckets_2_24[[#Totals],[NC To Fill]]*Buckets_2_24[[#This Row],[NC To Fill]]</f>
        <v>20.917054959439589</v>
      </c>
      <c r="FQ30" s="31">
        <f>Buckets_2_24[[#This Row],[Crit Filled]]+Buckets_2_24[[#This Row],[Scaled]]</f>
        <v>199.20412859934194</v>
      </c>
      <c r="FR30" s="31">
        <f>Buckets_2_24[[#This Row],[NC Filled]]</f>
        <v>199.20412859934194</v>
      </c>
      <c r="FS30" s="31">
        <f>Buckets_2_24[[#This Row],[Capacity]]-Buckets_2_24[[#This Row],[Final]]</f>
        <v>0.79587140065805784</v>
      </c>
      <c r="FT30" s="33">
        <f>IF(Buckets_2_24[[#This Row],[Capacity]]=0, 1, Buckets_2_24[[#This Row],[Final]]/Buckets_2_24[[#This Row],[Capacity]])</f>
        <v>0.99602064299670967</v>
      </c>
      <c r="FV30" s="40">
        <f>Buckets_2_24[[#This Row],[Final]]</f>
        <v>199.20412859934194</v>
      </c>
      <c r="FW30" s="40">
        <f>Buckets_2_24[[#This Row],[Capacity]]</f>
        <v>200</v>
      </c>
      <c r="FX30" s="41" t="b">
        <f t="shared" si="37"/>
        <v>0</v>
      </c>
      <c r="FY30" s="42"/>
      <c r="FZ30" s="42"/>
      <c r="GA30" s="42"/>
      <c r="GB30" s="42"/>
      <c r="GC30" s="43"/>
      <c r="GD30" s="40">
        <f t="shared" si="38"/>
        <v>199.20412859934194</v>
      </c>
      <c r="GE30" s="40">
        <f t="shared" si="39"/>
        <v>200</v>
      </c>
      <c r="GF30" s="41" t="b">
        <f t="shared" si="8"/>
        <v>0</v>
      </c>
      <c r="GH30" s="29">
        <f t="shared" si="40"/>
        <v>199.20412859934194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199.20412859934194</v>
      </c>
      <c r="GK30" s="29">
        <f t="shared" si="41"/>
        <v>200</v>
      </c>
      <c r="GL30" s="29">
        <f>Buckets_3_24[[#This Row],[Capacity]]-Buckets_3_24[[#This Row],[After T]]</f>
        <v>0.79587140065805784</v>
      </c>
      <c r="GM30" s="29">
        <f>MAX(-Buckets_3_24[[#This Row],[Cap Diff]], 0)</f>
        <v>0</v>
      </c>
      <c r="GN30" s="29">
        <f>Buckets_3_24[[#This Row],[After T]]-Buckets_3_24[[#This Row],[Slush]]</f>
        <v>199.20412859934194</v>
      </c>
      <c r="GO30" s="29">
        <f>Buckets_3_24[[#This Row],[Capacity]]-Buckets_3_24[[#This Row],[Before Fill]]</f>
        <v>0.79587140065805784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199.20412859934194</v>
      </c>
      <c r="GS30" s="29">
        <f>IF(NOT(Buckets_3_24[[#This Row],[Is Crit]]), Buckets_3_24[[#This Row],[S Cap Diff]], 0)</f>
        <v>0.79587140065805784</v>
      </c>
      <c r="GT30" s="31">
        <f>GR$41/Buckets_3_24[[#Totals],[NC To Fill]]*Buckets_3_24[[#This Row],[NC To Fill]]</f>
        <v>0.77298117472897909</v>
      </c>
      <c r="GU30" s="31">
        <f>Buckets_3_24[[#This Row],[Crit Filled]]+Buckets_3_24[[#This Row],[Scaled]]</f>
        <v>199.97710977407093</v>
      </c>
      <c r="GV30" s="31">
        <f>Buckets_3_24[[#This Row],[NC Filled]]</f>
        <v>199.97710977407093</v>
      </c>
      <c r="GW30" s="31">
        <f>Buckets_3_24[[#This Row],[Capacity]]-Buckets_3_24[[#This Row],[Final]]</f>
        <v>2.2890225929074859E-2</v>
      </c>
      <c r="GX30" s="33">
        <f>IF(Buckets_3_24[[#This Row],[Capacity]]=0, 1, Buckets_3_24[[#This Row],[Final]]/Buckets_3_24[[#This Row],[Capacity]])</f>
        <v>0.99988554887035463</v>
      </c>
      <c r="GZ30" s="40">
        <f>Buckets_3_24[[#This Row],[Final]]</f>
        <v>199.97710977407093</v>
      </c>
      <c r="HA30" s="40">
        <f>Buckets_3_24[[#This Row],[Capacity]]</f>
        <v>200</v>
      </c>
      <c r="HB30" s="41" t="b">
        <f t="shared" si="42"/>
        <v>0</v>
      </c>
      <c r="HC30" s="42"/>
      <c r="HD30" s="42"/>
      <c r="HE30" s="42"/>
      <c r="HF30" s="42"/>
      <c r="HG30" s="43"/>
      <c r="HH30" s="40">
        <f t="shared" si="43"/>
        <v>199.97710977407093</v>
      </c>
      <c r="HI30" s="40">
        <f t="shared" si="44"/>
        <v>200</v>
      </c>
      <c r="HJ30" s="41" t="b">
        <f t="shared" si="9"/>
        <v>0</v>
      </c>
      <c r="HL30" s="29">
        <f t="shared" si="45"/>
        <v>199.97710977407093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165.97710977407093</v>
      </c>
      <c r="HO30" s="29">
        <f t="shared" si="46"/>
        <v>200</v>
      </c>
      <c r="HP30" s="29">
        <f>Buckets_4_24[[#This Row],[Capacity]]-Buckets_4_24[[#This Row],[After T]]</f>
        <v>34.022890225929075</v>
      </c>
      <c r="HQ30" s="29">
        <f>MAX(-Buckets_4_24[[#This Row],[Cap Diff]], 0)</f>
        <v>0</v>
      </c>
      <c r="HR30" s="29">
        <f>Buckets_4_24[[#This Row],[After T]]-Buckets_4_24[[#This Row],[Slush]]</f>
        <v>165.97710977407093</v>
      </c>
      <c r="HS30" s="29">
        <f>Buckets_4_24[[#This Row],[Capacity]]-Buckets_4_24[[#This Row],[Before Fill]]</f>
        <v>34.022890225929075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165.97710977407093</v>
      </c>
      <c r="HW30" s="29">
        <f>IF(NOT(Buckets_4_24[[#This Row],[Is Crit]]), Buckets_4_24[[#This Row],[S Cap Diff]], 0)</f>
        <v>34.022890225929075</v>
      </c>
      <c r="HX30" s="31">
        <f>HV$41/Buckets_4_24[[#Totals],[NC To Fill]]*Buckets_4_24[[#This Row],[NC To Fill]]</f>
        <v>22.202644309807596</v>
      </c>
      <c r="HY30" s="31">
        <f>Buckets_4_24[[#This Row],[Crit Filled]]+Buckets_4_24[[#This Row],[Scaled]]</f>
        <v>188.17975408387852</v>
      </c>
      <c r="HZ30" s="31">
        <f>Buckets_4_24[[#This Row],[NC Filled]]</f>
        <v>188.17975408387852</v>
      </c>
      <c r="IA30" s="31">
        <f>Buckets_4_24[[#This Row],[Capacity]]-Buckets_4_24[[#This Row],[Final]]</f>
        <v>11.820245916121479</v>
      </c>
      <c r="IB30" s="33">
        <f>IF(Buckets_4_24[[#This Row],[Capacity]]=0, 1, Buckets_4_24[[#This Row],[Final]]/Buckets_4_24[[#This Row],[Capacity]])</f>
        <v>0.94089877041939263</v>
      </c>
      <c r="ID30" s="40">
        <f>Buckets_4_24[[#This Row],[Final]]</f>
        <v>188.17975408387852</v>
      </c>
      <c r="IE30" s="40">
        <f>Buckets_4_24[[#This Row],[Capacity]]</f>
        <v>200</v>
      </c>
      <c r="IF30" s="41" t="b">
        <f t="shared" si="47"/>
        <v>0</v>
      </c>
      <c r="IG30" s="42"/>
      <c r="IH30" s="42"/>
      <c r="II30" s="42"/>
      <c r="IJ30" s="42"/>
      <c r="IK30" s="43"/>
      <c r="IL30" s="40">
        <f t="shared" si="48"/>
        <v>188.17975408387852</v>
      </c>
      <c r="IM30" s="40">
        <f t="shared" si="49"/>
        <v>200</v>
      </c>
      <c r="IN30" s="41" t="b">
        <f t="shared" si="10"/>
        <v>0</v>
      </c>
    </row>
    <row r="31" spans="1:24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0</v>
      </c>
      <c r="G31" s="38">
        <v>0</v>
      </c>
      <c r="H31" t="b">
        <v>0</v>
      </c>
      <c r="J31" s="29">
        <f t="shared" si="11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2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 t="shared" si="13"/>
        <v>0</v>
      </c>
      <c r="AD31" t="b">
        <f t="shared" si="14"/>
        <v>0</v>
      </c>
      <c r="AE31" s="43" t="e">
        <f>NA()</f>
        <v>#N/A</v>
      </c>
      <c r="AF31" s="42"/>
      <c r="AG31" s="43" t="e">
        <f>NA()</f>
        <v>#N/A</v>
      </c>
      <c r="AH31" s="42"/>
      <c r="AI31" s="43"/>
      <c r="AJ31" s="31">
        <f t="shared" si="15"/>
        <v>0</v>
      </c>
      <c r="AK31" s="31">
        <f t="shared" si="16"/>
        <v>0</v>
      </c>
      <c r="AL31" t="b">
        <f t="shared" si="17"/>
        <v>0</v>
      </c>
      <c r="AN31" s="29">
        <f t="shared" si="18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19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31">
        <f>AX$41/Buckets_10_23[[#Totals],[NC To Fill]]*Buckets_10_23[[#This Row],[NC To Fill]]</f>
        <v>0</v>
      </c>
      <c r="BA31" s="31">
        <f>Buckets_10_23[[#This Row],[Crit Filled]]+Buckets_10_23[[#This Row],[Scaled]]</f>
        <v>0</v>
      </c>
      <c r="BB31" s="31">
        <f>Buckets_10_23[[#This Row],[NC Filled]]</f>
        <v>0</v>
      </c>
      <c r="BC31" s="31">
        <f>Buckets_10_23[[#This Row],[Capacity]]-Buckets_10_23[[#This Row],[Final]]</f>
        <v>0</v>
      </c>
      <c r="BD31" s="33">
        <f>IF(Buckets_10_23[[#This Row],[Capacity]]=0, 1, Buckets_10_23[[#This Row],[Final]]/Buckets_10_23[[#This Row],[Capacity]])</f>
        <v>1</v>
      </c>
      <c r="BF31" s="31">
        <f>Buckets_10_23[[#This Row],[Final]]</f>
        <v>0</v>
      </c>
      <c r="BG31" s="31">
        <f>Buckets_10_23[[#This Row],[Capacity]]</f>
        <v>0</v>
      </c>
      <c r="BH31" t="b">
        <f t="shared" si="20"/>
        <v>0</v>
      </c>
      <c r="BI31" s="43" t="e">
        <f>NA()</f>
        <v>#N/A</v>
      </c>
      <c r="BJ31" s="42"/>
      <c r="BK31" s="43" t="e">
        <f>NA()</f>
        <v>#N/A</v>
      </c>
      <c r="BL31" s="42"/>
      <c r="BM31" s="43"/>
      <c r="BN31" s="31">
        <f t="shared" si="21"/>
        <v>0</v>
      </c>
      <c r="BO31" s="31">
        <f t="shared" si="1"/>
        <v>0</v>
      </c>
      <c r="BP31" t="b">
        <f t="shared" si="2"/>
        <v>0</v>
      </c>
      <c r="BR31" s="29">
        <f t="shared" si="22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3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31">
        <f>CB$41/Buckets_11_23[[#Totals],[NC To Fill]]*Buckets_11_23[[#This Row],[NC To Fill]]</f>
        <v>0</v>
      </c>
      <c r="CE31" s="31">
        <f>Buckets_11_23[[#This Row],[Crit Filled]]+Buckets_11_23[[#This Row],[Scaled]]</f>
        <v>0</v>
      </c>
      <c r="CF31" s="31">
        <f>Buckets_11_23[[#This Row],[NC Filled]]</f>
        <v>0</v>
      </c>
      <c r="CG31" s="31">
        <f>Buckets_11_23[[#This Row],[Capacity]]-Buckets_11_23[[#This Row],[Final]]</f>
        <v>0</v>
      </c>
      <c r="CH31" s="33">
        <f>IF(Buckets_11_23[[#This Row],[Capacity]]=0, 1, Buckets_11_23[[#This Row],[Final]]/Buckets_11_23[[#This Row],[Capacity]])</f>
        <v>1</v>
      </c>
      <c r="CJ31" s="40">
        <f>Buckets_11_23[[#This Row],[Final]]</f>
        <v>0</v>
      </c>
      <c r="CK31" s="40">
        <f>Buckets_11_23[[#This Row],[Capacity]]</f>
        <v>0</v>
      </c>
      <c r="CL31" s="41" t="b">
        <f t="shared" si="24"/>
        <v>0</v>
      </c>
      <c r="CM31" s="42"/>
      <c r="CN31" s="42"/>
      <c r="CO31" s="42" t="e">
        <f>NA()</f>
        <v>#N/A</v>
      </c>
      <c r="CP31" s="42"/>
      <c r="CQ31" s="43"/>
      <c r="CR31" s="40">
        <f t="shared" si="25"/>
        <v>0</v>
      </c>
      <c r="CS31" s="40">
        <f t="shared" si="3"/>
        <v>0</v>
      </c>
      <c r="CT31" s="41" t="b">
        <f t="shared" si="4"/>
        <v>0</v>
      </c>
      <c r="CV31" s="29">
        <f t="shared" si="26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7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31">
        <f>DF$41/Buckets_12_23[[#Totals],[NC To Fill]]*Buckets_12_23[[#This Row],[NC To Fill]]</f>
        <v>0</v>
      </c>
      <c r="DI31" s="31">
        <f>Buckets_12_23[[#This Row],[Crit Filled]]+Buckets_12_23[[#This Row],[Scaled]]</f>
        <v>0</v>
      </c>
      <c r="DJ31" s="31">
        <f>Buckets_12_23[[#This Row],[NC Filled]]</f>
        <v>0</v>
      </c>
      <c r="DK31" s="31">
        <f>Buckets_12_23[[#This Row],[Capacity]]-Buckets_12_23[[#This Row],[Final]]</f>
        <v>0</v>
      </c>
      <c r="DL31" s="33">
        <f>IF(Buckets_12_23[[#This Row],[Capacity]]=0, 1, Buckets_12_23[[#This Row],[Final]]/Buckets_12_23[[#This Row],[Capacity]])</f>
        <v>1</v>
      </c>
      <c r="DN31" s="40">
        <f>Buckets_12_23[[#This Row],[Final]]</f>
        <v>0</v>
      </c>
      <c r="DO31" s="40">
        <f>Buckets_12_23[[#This Row],[Capacity]]</f>
        <v>0</v>
      </c>
      <c r="DP31" s="41" t="b">
        <f t="shared" si="28"/>
        <v>0</v>
      </c>
      <c r="DQ31" s="42"/>
      <c r="DR31" s="42"/>
      <c r="DS31" s="42" t="e">
        <f>NA()</f>
        <v>#N/A</v>
      </c>
      <c r="DT31" s="42"/>
      <c r="DU31" s="43"/>
      <c r="DV31" s="40">
        <f t="shared" si="29"/>
        <v>0</v>
      </c>
      <c r="DW31" s="40">
        <f t="shared" si="5"/>
        <v>0</v>
      </c>
      <c r="DX31" s="41" t="b">
        <f t="shared" si="6"/>
        <v>0</v>
      </c>
      <c r="DZ31" s="29">
        <f t="shared" si="30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1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31">
        <f>EJ$41/Buckets_1_24[[#Totals],[NC To Fill]]*Buckets_1_24[[#This Row],[NC To Fill]]</f>
        <v>0</v>
      </c>
      <c r="EM31" s="31">
        <f>Buckets_1_24[[#This Row],[Crit Filled]]+Buckets_1_24[[#This Row],[Scaled]]</f>
        <v>0</v>
      </c>
      <c r="EN31" s="31">
        <f>Buckets_1_24[[#This Row],[NC Filled]]</f>
        <v>0</v>
      </c>
      <c r="EO31" s="31">
        <f>Buckets_1_24[[#This Row],[Capacity]]-Buckets_1_24[[#This Row],[Final]]</f>
        <v>0</v>
      </c>
      <c r="EP31" s="33">
        <f>IF(Buckets_1_24[[#This Row],[Capacity]]=0, 1, Buckets_1_24[[#This Row],[Final]]/Buckets_1_24[[#This Row],[Capacity]])</f>
        <v>1</v>
      </c>
      <c r="ER31" s="40">
        <f>Buckets_1_24[[#This Row],[Final]]</f>
        <v>0</v>
      </c>
      <c r="ES31" s="40">
        <f>Buckets_1_24[[#This Row],[Capacity]]</f>
        <v>0</v>
      </c>
      <c r="ET31" s="41" t="b">
        <f t="shared" si="32"/>
        <v>0</v>
      </c>
      <c r="EU31" s="42"/>
      <c r="EV31" s="42"/>
      <c r="EW31" s="42"/>
      <c r="EX31" s="42"/>
      <c r="EY31" s="43"/>
      <c r="EZ31" s="40">
        <f t="shared" si="33"/>
        <v>0</v>
      </c>
      <c r="FA31" s="40">
        <f t="shared" si="34"/>
        <v>0</v>
      </c>
      <c r="FB31" s="41" t="b">
        <f t="shared" si="7"/>
        <v>0</v>
      </c>
      <c r="FD31" s="29">
        <f t="shared" si="35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6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31">
        <f>FN$41/Buckets_2_24[[#Totals],[NC To Fill]]*Buckets_2_24[[#This Row],[NC To Fill]]</f>
        <v>0</v>
      </c>
      <c r="FQ31" s="31">
        <f>Buckets_2_24[[#This Row],[Crit Filled]]+Buckets_2_24[[#This Row],[Scaled]]</f>
        <v>0</v>
      </c>
      <c r="FR31" s="31">
        <f>Buckets_2_24[[#This Row],[NC Filled]]</f>
        <v>0</v>
      </c>
      <c r="FS31" s="31">
        <f>Buckets_2_24[[#This Row],[Capacity]]-Buckets_2_24[[#This Row],[Final]]</f>
        <v>0</v>
      </c>
      <c r="FT31" s="33">
        <f>IF(Buckets_2_24[[#This Row],[Capacity]]=0, 1, Buckets_2_24[[#This Row],[Final]]/Buckets_2_24[[#This Row],[Capacity]])</f>
        <v>1</v>
      </c>
      <c r="FV31" s="40">
        <f>Buckets_2_24[[#This Row],[Final]]</f>
        <v>0</v>
      </c>
      <c r="FW31" s="40">
        <f>Buckets_2_24[[#This Row],[Capacity]]</f>
        <v>0</v>
      </c>
      <c r="FX31" s="41" t="b">
        <f t="shared" si="37"/>
        <v>0</v>
      </c>
      <c r="FY31" s="42"/>
      <c r="FZ31" s="42"/>
      <c r="GA31" s="42"/>
      <c r="GB31" s="42"/>
      <c r="GC31" s="43"/>
      <c r="GD31" s="40">
        <f t="shared" si="38"/>
        <v>0</v>
      </c>
      <c r="GE31" s="40">
        <f t="shared" si="39"/>
        <v>0</v>
      </c>
      <c r="GF31" s="41" t="b">
        <f t="shared" si="8"/>
        <v>0</v>
      </c>
      <c r="GH31" s="29">
        <f t="shared" si="40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1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31">
        <f>GR$41/Buckets_3_24[[#Totals],[NC To Fill]]*Buckets_3_24[[#This Row],[NC To Fill]]</f>
        <v>0</v>
      </c>
      <c r="GU31" s="31">
        <f>Buckets_3_24[[#This Row],[Crit Filled]]+Buckets_3_24[[#This Row],[Scaled]]</f>
        <v>0</v>
      </c>
      <c r="GV31" s="31">
        <f>Buckets_3_24[[#This Row],[NC Filled]]</f>
        <v>0</v>
      </c>
      <c r="GW31" s="31">
        <f>Buckets_3_24[[#This Row],[Capacity]]-Buckets_3_24[[#This Row],[Final]]</f>
        <v>0</v>
      </c>
      <c r="GX31" s="33">
        <f>IF(Buckets_3_24[[#This Row],[Capacity]]=0, 1, Buckets_3_24[[#This Row],[Final]]/Buckets_3_24[[#This Row],[Capacity]])</f>
        <v>1</v>
      </c>
      <c r="GZ31" s="40">
        <f>Buckets_3_24[[#This Row],[Final]]</f>
        <v>0</v>
      </c>
      <c r="HA31" s="40">
        <f>Buckets_3_24[[#This Row],[Capacity]]</f>
        <v>0</v>
      </c>
      <c r="HB31" s="41" t="b">
        <f t="shared" si="42"/>
        <v>0</v>
      </c>
      <c r="HC31" s="42"/>
      <c r="HD31" s="42"/>
      <c r="HE31" s="42"/>
      <c r="HF31" s="42"/>
      <c r="HG31" s="43"/>
      <c r="HH31" s="40">
        <f t="shared" si="43"/>
        <v>0</v>
      </c>
      <c r="HI31" s="40">
        <f t="shared" si="44"/>
        <v>0</v>
      </c>
      <c r="HJ31" s="41" t="b">
        <f t="shared" si="9"/>
        <v>0</v>
      </c>
      <c r="HL31" s="29">
        <f t="shared" si="45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6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31">
        <f>HV$41/Buckets_4_24[[#Totals],[NC To Fill]]*Buckets_4_24[[#This Row],[NC To Fill]]</f>
        <v>0</v>
      </c>
      <c r="HY31" s="31">
        <f>Buckets_4_24[[#This Row],[Crit Filled]]+Buckets_4_24[[#This Row],[Scaled]]</f>
        <v>0</v>
      </c>
      <c r="HZ31" s="31">
        <f>Buckets_4_24[[#This Row],[NC Filled]]</f>
        <v>0</v>
      </c>
      <c r="IA31" s="31">
        <f>Buckets_4_24[[#This Row],[Capacity]]-Buckets_4_24[[#This Row],[Final]]</f>
        <v>0</v>
      </c>
      <c r="IB31" s="33">
        <f>IF(Buckets_4_24[[#This Row],[Capacity]]=0, 1, Buckets_4_24[[#This Row],[Final]]/Buckets_4_24[[#This Row],[Capacity]])</f>
        <v>1</v>
      </c>
      <c r="ID31" s="40">
        <f>Buckets_4_24[[#This Row],[Final]]</f>
        <v>0</v>
      </c>
      <c r="IE31" s="40">
        <f>Buckets_4_24[[#This Row],[Capacity]]</f>
        <v>0</v>
      </c>
      <c r="IF31" s="41" t="b">
        <f t="shared" si="47"/>
        <v>0</v>
      </c>
      <c r="IG31" s="42"/>
      <c r="IH31" s="42"/>
      <c r="II31" s="42"/>
      <c r="IJ31" s="42"/>
      <c r="IK31" s="43"/>
      <c r="IL31" s="40">
        <f t="shared" si="48"/>
        <v>0</v>
      </c>
      <c r="IM31" s="40">
        <f t="shared" si="49"/>
        <v>0</v>
      </c>
      <c r="IN31" s="41" t="b">
        <f t="shared" si="10"/>
        <v>0</v>
      </c>
    </row>
    <row r="32" spans="1:24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8">
        <v>0</v>
      </c>
      <c r="H32" t="b">
        <v>0</v>
      </c>
      <c r="J32" s="29">
        <f t="shared" si="11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2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 t="shared" si="13"/>
        <v>0</v>
      </c>
      <c r="AD32" t="b">
        <f t="shared" si="14"/>
        <v>0</v>
      </c>
      <c r="AE32" s="43" t="e">
        <f>NA()</f>
        <v>#N/A</v>
      </c>
      <c r="AF32" s="42"/>
      <c r="AG32" s="43" t="e">
        <f>NA()</f>
        <v>#N/A</v>
      </c>
      <c r="AH32" s="42"/>
      <c r="AI32" s="43"/>
      <c r="AJ32" s="31">
        <f t="shared" si="15"/>
        <v>0</v>
      </c>
      <c r="AK32" s="31">
        <f t="shared" si="16"/>
        <v>0</v>
      </c>
      <c r="AL32" t="b">
        <f t="shared" si="17"/>
        <v>0</v>
      </c>
      <c r="AN32" s="29">
        <f t="shared" si="18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19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31">
        <f>AX$41/Buckets_10_23[[#Totals],[NC To Fill]]*Buckets_10_23[[#This Row],[NC To Fill]]</f>
        <v>0</v>
      </c>
      <c r="BA32" s="31">
        <f>Buckets_10_23[[#This Row],[Crit Filled]]+Buckets_10_23[[#This Row],[Scaled]]</f>
        <v>0</v>
      </c>
      <c r="BB32" s="31">
        <f>Buckets_10_23[[#This Row],[NC Filled]]</f>
        <v>0</v>
      </c>
      <c r="BC32" s="31">
        <f>Buckets_10_23[[#This Row],[Capacity]]-Buckets_10_23[[#This Row],[Final]]</f>
        <v>0</v>
      </c>
      <c r="BD32" s="33">
        <f>IF(Buckets_10_23[[#This Row],[Capacity]]=0, 1, Buckets_10_23[[#This Row],[Final]]/Buckets_10_23[[#This Row],[Capacity]])</f>
        <v>1</v>
      </c>
      <c r="BF32" s="31">
        <f>Buckets_10_23[[#This Row],[Final]]</f>
        <v>0</v>
      </c>
      <c r="BG32" s="31">
        <f>Buckets_10_23[[#This Row],[Capacity]]</f>
        <v>0</v>
      </c>
      <c r="BH32" t="b">
        <f t="shared" si="20"/>
        <v>0</v>
      </c>
      <c r="BI32" s="43" t="e">
        <f>NA()</f>
        <v>#N/A</v>
      </c>
      <c r="BJ32" s="42"/>
      <c r="BK32" s="43" t="e">
        <f>NA()</f>
        <v>#N/A</v>
      </c>
      <c r="BL32" s="42"/>
      <c r="BM32" s="43"/>
      <c r="BN32" s="31">
        <f t="shared" si="21"/>
        <v>0</v>
      </c>
      <c r="BO32" s="31">
        <f t="shared" si="1"/>
        <v>0</v>
      </c>
      <c r="BP32" t="b">
        <f t="shared" si="2"/>
        <v>0</v>
      </c>
      <c r="BR32" s="29">
        <f t="shared" si="22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3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31">
        <f>CB$41/Buckets_11_23[[#Totals],[NC To Fill]]*Buckets_11_23[[#This Row],[NC To Fill]]</f>
        <v>0</v>
      </c>
      <c r="CE32" s="31">
        <f>Buckets_11_23[[#This Row],[Crit Filled]]+Buckets_11_23[[#This Row],[Scaled]]</f>
        <v>0</v>
      </c>
      <c r="CF32" s="31">
        <f>Buckets_11_23[[#This Row],[NC Filled]]</f>
        <v>0</v>
      </c>
      <c r="CG32" s="31">
        <f>Buckets_11_23[[#This Row],[Capacity]]-Buckets_11_23[[#This Row],[Final]]</f>
        <v>0</v>
      </c>
      <c r="CH32" s="33">
        <f>IF(Buckets_11_23[[#This Row],[Capacity]]=0, 1, Buckets_11_23[[#This Row],[Final]]/Buckets_11_23[[#This Row],[Capacity]])</f>
        <v>1</v>
      </c>
      <c r="CJ32" s="40">
        <f>Buckets_11_23[[#This Row],[Final]]</f>
        <v>0</v>
      </c>
      <c r="CK32" s="40">
        <f>Buckets_11_23[[#This Row],[Capacity]]</f>
        <v>0</v>
      </c>
      <c r="CL32" s="41" t="b">
        <f t="shared" si="24"/>
        <v>0</v>
      </c>
      <c r="CM32" s="42"/>
      <c r="CN32" s="42"/>
      <c r="CO32" s="42" t="e">
        <f>NA()</f>
        <v>#N/A</v>
      </c>
      <c r="CP32" s="42"/>
      <c r="CQ32" s="43"/>
      <c r="CR32" s="40">
        <f t="shared" si="25"/>
        <v>0</v>
      </c>
      <c r="CS32" s="40">
        <f t="shared" si="3"/>
        <v>0</v>
      </c>
      <c r="CT32" s="41" t="b">
        <f t="shared" si="4"/>
        <v>0</v>
      </c>
      <c r="CV32" s="29">
        <f t="shared" si="26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7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31">
        <f>DF$41/Buckets_12_23[[#Totals],[NC To Fill]]*Buckets_12_23[[#This Row],[NC To Fill]]</f>
        <v>0</v>
      </c>
      <c r="DI32" s="31">
        <f>Buckets_12_23[[#This Row],[Crit Filled]]+Buckets_12_23[[#This Row],[Scaled]]</f>
        <v>0</v>
      </c>
      <c r="DJ32" s="31">
        <f>Buckets_12_23[[#This Row],[NC Filled]]</f>
        <v>0</v>
      </c>
      <c r="DK32" s="31">
        <f>Buckets_12_23[[#This Row],[Capacity]]-Buckets_12_23[[#This Row],[Final]]</f>
        <v>0</v>
      </c>
      <c r="DL32" s="33">
        <f>IF(Buckets_12_23[[#This Row],[Capacity]]=0, 1, Buckets_12_23[[#This Row],[Final]]/Buckets_12_23[[#This Row],[Capacity]])</f>
        <v>1</v>
      </c>
      <c r="DN32" s="40">
        <f>Buckets_12_23[[#This Row],[Final]]</f>
        <v>0</v>
      </c>
      <c r="DO32" s="40">
        <f>Buckets_12_23[[#This Row],[Capacity]]</f>
        <v>0</v>
      </c>
      <c r="DP32" s="41" t="b">
        <f t="shared" si="28"/>
        <v>0</v>
      </c>
      <c r="DQ32" s="42"/>
      <c r="DR32" s="42"/>
      <c r="DS32" s="42" t="e">
        <f>NA()</f>
        <v>#N/A</v>
      </c>
      <c r="DT32" s="42"/>
      <c r="DU32" s="43"/>
      <c r="DV32" s="40">
        <f t="shared" si="29"/>
        <v>0</v>
      </c>
      <c r="DW32" s="40">
        <f t="shared" si="5"/>
        <v>0</v>
      </c>
      <c r="DX32" s="41" t="b">
        <f t="shared" si="6"/>
        <v>0</v>
      </c>
      <c r="DZ32" s="29">
        <f t="shared" si="30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1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31">
        <f>EJ$41/Buckets_1_24[[#Totals],[NC To Fill]]*Buckets_1_24[[#This Row],[NC To Fill]]</f>
        <v>0</v>
      </c>
      <c r="EM32" s="31">
        <f>Buckets_1_24[[#This Row],[Crit Filled]]+Buckets_1_24[[#This Row],[Scaled]]</f>
        <v>0</v>
      </c>
      <c r="EN32" s="31">
        <f>Buckets_1_24[[#This Row],[NC Filled]]</f>
        <v>0</v>
      </c>
      <c r="EO32" s="31">
        <f>Buckets_1_24[[#This Row],[Capacity]]-Buckets_1_24[[#This Row],[Final]]</f>
        <v>0</v>
      </c>
      <c r="EP32" s="33">
        <f>IF(Buckets_1_24[[#This Row],[Capacity]]=0, 1, Buckets_1_24[[#This Row],[Final]]/Buckets_1_24[[#This Row],[Capacity]])</f>
        <v>1</v>
      </c>
      <c r="ER32" s="40">
        <f>Buckets_1_24[[#This Row],[Final]]</f>
        <v>0</v>
      </c>
      <c r="ES32" s="40">
        <f>Buckets_1_24[[#This Row],[Capacity]]</f>
        <v>0</v>
      </c>
      <c r="ET32" s="41" t="b">
        <f t="shared" si="32"/>
        <v>0</v>
      </c>
      <c r="EU32" s="42"/>
      <c r="EV32" s="42"/>
      <c r="EW32" s="42"/>
      <c r="EX32" s="42"/>
      <c r="EY32" s="43"/>
      <c r="EZ32" s="40">
        <f t="shared" si="33"/>
        <v>0</v>
      </c>
      <c r="FA32" s="40">
        <f t="shared" si="34"/>
        <v>0</v>
      </c>
      <c r="FB32" s="41" t="b">
        <f t="shared" si="7"/>
        <v>0</v>
      </c>
      <c r="FD32" s="29">
        <f t="shared" si="35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6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31">
        <f>FN$41/Buckets_2_24[[#Totals],[NC To Fill]]*Buckets_2_24[[#This Row],[NC To Fill]]</f>
        <v>0</v>
      </c>
      <c r="FQ32" s="31">
        <f>Buckets_2_24[[#This Row],[Crit Filled]]+Buckets_2_24[[#This Row],[Scaled]]</f>
        <v>0</v>
      </c>
      <c r="FR32" s="31">
        <f>Buckets_2_24[[#This Row],[NC Filled]]</f>
        <v>0</v>
      </c>
      <c r="FS32" s="31">
        <f>Buckets_2_24[[#This Row],[Capacity]]-Buckets_2_24[[#This Row],[Final]]</f>
        <v>0</v>
      </c>
      <c r="FT32" s="33">
        <f>IF(Buckets_2_24[[#This Row],[Capacity]]=0, 1, Buckets_2_24[[#This Row],[Final]]/Buckets_2_24[[#This Row],[Capacity]])</f>
        <v>1</v>
      </c>
      <c r="FV32" s="40">
        <f>Buckets_2_24[[#This Row],[Final]]</f>
        <v>0</v>
      </c>
      <c r="FW32" s="40">
        <f>Buckets_2_24[[#This Row],[Capacity]]</f>
        <v>0</v>
      </c>
      <c r="FX32" s="41" t="b">
        <f t="shared" si="37"/>
        <v>0</v>
      </c>
      <c r="FY32" s="42"/>
      <c r="FZ32" s="42"/>
      <c r="GA32" s="42"/>
      <c r="GB32" s="42"/>
      <c r="GC32" s="43"/>
      <c r="GD32" s="40">
        <f t="shared" si="38"/>
        <v>0</v>
      </c>
      <c r="GE32" s="40">
        <f t="shared" si="39"/>
        <v>0</v>
      </c>
      <c r="GF32" s="41" t="b">
        <f t="shared" si="8"/>
        <v>0</v>
      </c>
      <c r="GH32" s="29">
        <f t="shared" si="40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1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31">
        <f>GR$41/Buckets_3_24[[#Totals],[NC To Fill]]*Buckets_3_24[[#This Row],[NC To Fill]]</f>
        <v>0</v>
      </c>
      <c r="GU32" s="31">
        <f>Buckets_3_24[[#This Row],[Crit Filled]]+Buckets_3_24[[#This Row],[Scaled]]</f>
        <v>0</v>
      </c>
      <c r="GV32" s="31">
        <f>Buckets_3_24[[#This Row],[NC Filled]]</f>
        <v>0</v>
      </c>
      <c r="GW32" s="31">
        <f>Buckets_3_24[[#This Row],[Capacity]]-Buckets_3_24[[#This Row],[Final]]</f>
        <v>0</v>
      </c>
      <c r="GX32" s="33">
        <f>IF(Buckets_3_24[[#This Row],[Capacity]]=0, 1, Buckets_3_24[[#This Row],[Final]]/Buckets_3_24[[#This Row],[Capacity]])</f>
        <v>1</v>
      </c>
      <c r="GZ32" s="40">
        <f>Buckets_3_24[[#This Row],[Final]]</f>
        <v>0</v>
      </c>
      <c r="HA32" s="40">
        <f>Buckets_3_24[[#This Row],[Capacity]]</f>
        <v>0</v>
      </c>
      <c r="HB32" s="41" t="b">
        <f t="shared" si="42"/>
        <v>0</v>
      </c>
      <c r="HC32" s="42"/>
      <c r="HD32" s="42"/>
      <c r="HE32" s="42"/>
      <c r="HF32" s="42"/>
      <c r="HG32" s="43"/>
      <c r="HH32" s="40">
        <f t="shared" si="43"/>
        <v>0</v>
      </c>
      <c r="HI32" s="40">
        <f t="shared" si="44"/>
        <v>0</v>
      </c>
      <c r="HJ32" s="41" t="b">
        <f t="shared" si="9"/>
        <v>0</v>
      </c>
      <c r="HL32" s="29">
        <f t="shared" si="45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6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31">
        <f>HV$41/Buckets_4_24[[#Totals],[NC To Fill]]*Buckets_4_24[[#This Row],[NC To Fill]]</f>
        <v>0</v>
      </c>
      <c r="HY32" s="31">
        <f>Buckets_4_24[[#This Row],[Crit Filled]]+Buckets_4_24[[#This Row],[Scaled]]</f>
        <v>0</v>
      </c>
      <c r="HZ32" s="31">
        <f>Buckets_4_24[[#This Row],[NC Filled]]</f>
        <v>0</v>
      </c>
      <c r="IA32" s="31">
        <f>Buckets_4_24[[#This Row],[Capacity]]-Buckets_4_24[[#This Row],[Final]]</f>
        <v>0</v>
      </c>
      <c r="IB32" s="33">
        <f>IF(Buckets_4_24[[#This Row],[Capacity]]=0, 1, Buckets_4_24[[#This Row],[Final]]/Buckets_4_24[[#This Row],[Capacity]])</f>
        <v>1</v>
      </c>
      <c r="ID32" s="40">
        <f>Buckets_4_24[[#This Row],[Final]]</f>
        <v>0</v>
      </c>
      <c r="IE32" s="40">
        <f>Buckets_4_24[[#This Row],[Capacity]]</f>
        <v>0</v>
      </c>
      <c r="IF32" s="41" t="b">
        <f t="shared" si="47"/>
        <v>0</v>
      </c>
      <c r="IG32" s="42"/>
      <c r="IH32" s="42"/>
      <c r="II32" s="42"/>
      <c r="IJ32" s="42"/>
      <c r="IK32" s="43"/>
      <c r="IL32" s="40">
        <f t="shared" si="48"/>
        <v>0</v>
      </c>
      <c r="IM32" s="40">
        <f t="shared" si="49"/>
        <v>0</v>
      </c>
      <c r="IN32" s="41" t="b">
        <f t="shared" si="10"/>
        <v>0</v>
      </c>
    </row>
    <row r="33" spans="1:24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8">
        <v>0</v>
      </c>
      <c r="H33" t="b">
        <v>0</v>
      </c>
      <c r="J33" s="29">
        <f t="shared" si="11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2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 t="shared" si="13"/>
        <v>0</v>
      </c>
      <c r="AD33" t="b">
        <f t="shared" si="14"/>
        <v>0</v>
      </c>
      <c r="AE33" s="43" t="e">
        <f>NA()</f>
        <v>#N/A</v>
      </c>
      <c r="AF33" s="42"/>
      <c r="AG33" s="43" t="e">
        <f>NA()</f>
        <v>#N/A</v>
      </c>
      <c r="AH33" s="42"/>
      <c r="AI33" s="43"/>
      <c r="AJ33" s="31">
        <f t="shared" si="15"/>
        <v>0</v>
      </c>
      <c r="AK33" s="31">
        <f t="shared" si="16"/>
        <v>0</v>
      </c>
      <c r="AL33" t="b">
        <f t="shared" si="17"/>
        <v>0</v>
      </c>
      <c r="AN33" s="29">
        <f t="shared" si="18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19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31">
        <f>AX$41/Buckets_10_23[[#Totals],[NC To Fill]]*Buckets_10_23[[#This Row],[NC To Fill]]</f>
        <v>0</v>
      </c>
      <c r="BA33" s="31">
        <f>Buckets_10_23[[#This Row],[Crit Filled]]+Buckets_10_23[[#This Row],[Scaled]]</f>
        <v>0</v>
      </c>
      <c r="BB33" s="31">
        <f>Buckets_10_23[[#This Row],[NC Filled]]</f>
        <v>0</v>
      </c>
      <c r="BC33" s="31">
        <f>Buckets_10_23[[#This Row],[Capacity]]-Buckets_10_23[[#This Row],[Final]]</f>
        <v>0</v>
      </c>
      <c r="BD33" s="33">
        <f>IF(Buckets_10_23[[#This Row],[Capacity]]=0, 1, Buckets_10_23[[#This Row],[Final]]/Buckets_10_23[[#This Row],[Capacity]])</f>
        <v>1</v>
      </c>
      <c r="BF33" s="31">
        <f>Buckets_10_23[[#This Row],[Final]]</f>
        <v>0</v>
      </c>
      <c r="BG33" s="31">
        <f>Buckets_10_23[[#This Row],[Capacity]]</f>
        <v>0</v>
      </c>
      <c r="BH33" t="b">
        <f t="shared" si="20"/>
        <v>0</v>
      </c>
      <c r="BI33" s="43" t="e">
        <f>NA()</f>
        <v>#N/A</v>
      </c>
      <c r="BJ33" s="42"/>
      <c r="BK33" s="43" t="e">
        <f>NA()</f>
        <v>#N/A</v>
      </c>
      <c r="BL33" s="42"/>
      <c r="BM33" s="43"/>
      <c r="BN33" s="31">
        <f t="shared" si="21"/>
        <v>0</v>
      </c>
      <c r="BO33" s="31">
        <f t="shared" si="1"/>
        <v>0</v>
      </c>
      <c r="BP33" t="b">
        <f t="shared" si="2"/>
        <v>0</v>
      </c>
      <c r="BR33" s="29">
        <f t="shared" si="22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3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31">
        <f>CB$41/Buckets_11_23[[#Totals],[NC To Fill]]*Buckets_11_23[[#This Row],[NC To Fill]]</f>
        <v>0</v>
      </c>
      <c r="CE33" s="31">
        <f>Buckets_11_23[[#This Row],[Crit Filled]]+Buckets_11_23[[#This Row],[Scaled]]</f>
        <v>0</v>
      </c>
      <c r="CF33" s="31">
        <f>Buckets_11_23[[#This Row],[NC Filled]]</f>
        <v>0</v>
      </c>
      <c r="CG33" s="31">
        <f>Buckets_11_23[[#This Row],[Capacity]]-Buckets_11_23[[#This Row],[Final]]</f>
        <v>0</v>
      </c>
      <c r="CH33" s="33">
        <f>IF(Buckets_11_23[[#This Row],[Capacity]]=0, 1, Buckets_11_23[[#This Row],[Final]]/Buckets_11_23[[#This Row],[Capacity]])</f>
        <v>1</v>
      </c>
      <c r="CJ33" s="40">
        <f>Buckets_11_23[[#This Row],[Final]]</f>
        <v>0</v>
      </c>
      <c r="CK33" s="40">
        <f>Buckets_11_23[[#This Row],[Capacity]]</f>
        <v>0</v>
      </c>
      <c r="CL33" s="41" t="b">
        <f t="shared" si="24"/>
        <v>0</v>
      </c>
      <c r="CM33" s="42"/>
      <c r="CN33" s="42"/>
      <c r="CO33" s="42" t="e">
        <f>NA()</f>
        <v>#N/A</v>
      </c>
      <c r="CP33" s="42"/>
      <c r="CQ33" s="43"/>
      <c r="CR33" s="40">
        <f t="shared" si="25"/>
        <v>0</v>
      </c>
      <c r="CS33" s="40">
        <f t="shared" si="3"/>
        <v>0</v>
      </c>
      <c r="CT33" s="41" t="b">
        <f t="shared" si="4"/>
        <v>0</v>
      </c>
      <c r="CV33" s="29">
        <f t="shared" si="26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7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31">
        <f>DF$41/Buckets_12_23[[#Totals],[NC To Fill]]*Buckets_12_23[[#This Row],[NC To Fill]]</f>
        <v>0</v>
      </c>
      <c r="DI33" s="31">
        <f>Buckets_12_23[[#This Row],[Crit Filled]]+Buckets_12_23[[#This Row],[Scaled]]</f>
        <v>0</v>
      </c>
      <c r="DJ33" s="31">
        <f>Buckets_12_23[[#This Row],[NC Filled]]</f>
        <v>0</v>
      </c>
      <c r="DK33" s="31">
        <f>Buckets_12_23[[#This Row],[Capacity]]-Buckets_12_23[[#This Row],[Final]]</f>
        <v>0</v>
      </c>
      <c r="DL33" s="33">
        <f>IF(Buckets_12_23[[#This Row],[Capacity]]=0, 1, Buckets_12_23[[#This Row],[Final]]/Buckets_12_23[[#This Row],[Capacity]])</f>
        <v>1</v>
      </c>
      <c r="DN33" s="40">
        <f>Buckets_12_23[[#This Row],[Final]]</f>
        <v>0</v>
      </c>
      <c r="DO33" s="40">
        <f>Buckets_12_23[[#This Row],[Capacity]]</f>
        <v>0</v>
      </c>
      <c r="DP33" s="41" t="b">
        <f t="shared" si="28"/>
        <v>0</v>
      </c>
      <c r="DQ33" s="42"/>
      <c r="DR33" s="42"/>
      <c r="DS33" s="42" t="e">
        <f>NA()</f>
        <v>#N/A</v>
      </c>
      <c r="DT33" s="42"/>
      <c r="DU33" s="43"/>
      <c r="DV33" s="40">
        <f t="shared" si="29"/>
        <v>0</v>
      </c>
      <c r="DW33" s="40">
        <f t="shared" si="5"/>
        <v>0</v>
      </c>
      <c r="DX33" s="41" t="b">
        <f t="shared" si="6"/>
        <v>0</v>
      </c>
      <c r="DZ33" s="29">
        <f t="shared" si="30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1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31">
        <f>EJ$41/Buckets_1_24[[#Totals],[NC To Fill]]*Buckets_1_24[[#This Row],[NC To Fill]]</f>
        <v>0</v>
      </c>
      <c r="EM33" s="31">
        <f>Buckets_1_24[[#This Row],[Crit Filled]]+Buckets_1_24[[#This Row],[Scaled]]</f>
        <v>0</v>
      </c>
      <c r="EN33" s="31">
        <f>Buckets_1_24[[#This Row],[NC Filled]]</f>
        <v>0</v>
      </c>
      <c r="EO33" s="31">
        <f>Buckets_1_24[[#This Row],[Capacity]]-Buckets_1_24[[#This Row],[Final]]</f>
        <v>0</v>
      </c>
      <c r="EP33" s="33">
        <f>IF(Buckets_1_24[[#This Row],[Capacity]]=0, 1, Buckets_1_24[[#This Row],[Final]]/Buckets_1_24[[#This Row],[Capacity]])</f>
        <v>1</v>
      </c>
      <c r="ER33" s="40">
        <f>Buckets_1_24[[#This Row],[Final]]</f>
        <v>0</v>
      </c>
      <c r="ES33" s="40">
        <f>Buckets_1_24[[#This Row],[Capacity]]</f>
        <v>0</v>
      </c>
      <c r="ET33" s="41" t="b">
        <f t="shared" si="32"/>
        <v>0</v>
      </c>
      <c r="EU33" s="42"/>
      <c r="EV33" s="42"/>
      <c r="EW33" s="42"/>
      <c r="EX33" s="42"/>
      <c r="EY33" s="43"/>
      <c r="EZ33" s="40">
        <f t="shared" si="33"/>
        <v>0</v>
      </c>
      <c r="FA33" s="40">
        <f t="shared" si="34"/>
        <v>0</v>
      </c>
      <c r="FB33" s="41" t="b">
        <f t="shared" si="7"/>
        <v>0</v>
      </c>
      <c r="FD33" s="29">
        <f t="shared" si="35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6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31">
        <f>FN$41/Buckets_2_24[[#Totals],[NC To Fill]]*Buckets_2_24[[#This Row],[NC To Fill]]</f>
        <v>0</v>
      </c>
      <c r="FQ33" s="31">
        <f>Buckets_2_24[[#This Row],[Crit Filled]]+Buckets_2_24[[#This Row],[Scaled]]</f>
        <v>0</v>
      </c>
      <c r="FR33" s="31">
        <f>Buckets_2_24[[#This Row],[NC Filled]]</f>
        <v>0</v>
      </c>
      <c r="FS33" s="31">
        <f>Buckets_2_24[[#This Row],[Capacity]]-Buckets_2_24[[#This Row],[Final]]</f>
        <v>0</v>
      </c>
      <c r="FT33" s="33">
        <f>IF(Buckets_2_24[[#This Row],[Capacity]]=0, 1, Buckets_2_24[[#This Row],[Final]]/Buckets_2_24[[#This Row],[Capacity]])</f>
        <v>1</v>
      </c>
      <c r="FV33" s="40">
        <f>Buckets_2_24[[#This Row],[Final]]</f>
        <v>0</v>
      </c>
      <c r="FW33" s="40">
        <f>Buckets_2_24[[#This Row],[Capacity]]</f>
        <v>0</v>
      </c>
      <c r="FX33" s="41" t="b">
        <f t="shared" si="37"/>
        <v>0</v>
      </c>
      <c r="FY33" s="42"/>
      <c r="FZ33" s="42"/>
      <c r="GA33" s="42"/>
      <c r="GB33" s="42"/>
      <c r="GC33" s="43"/>
      <c r="GD33" s="40">
        <f t="shared" si="38"/>
        <v>0</v>
      </c>
      <c r="GE33" s="40">
        <f t="shared" si="39"/>
        <v>0</v>
      </c>
      <c r="GF33" s="41" t="b">
        <f t="shared" si="8"/>
        <v>0</v>
      </c>
      <c r="GH33" s="29">
        <f t="shared" si="40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1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31">
        <f>GR$41/Buckets_3_24[[#Totals],[NC To Fill]]*Buckets_3_24[[#This Row],[NC To Fill]]</f>
        <v>0</v>
      </c>
      <c r="GU33" s="31">
        <f>Buckets_3_24[[#This Row],[Crit Filled]]+Buckets_3_24[[#This Row],[Scaled]]</f>
        <v>0</v>
      </c>
      <c r="GV33" s="31">
        <f>Buckets_3_24[[#This Row],[NC Filled]]</f>
        <v>0</v>
      </c>
      <c r="GW33" s="31">
        <f>Buckets_3_24[[#This Row],[Capacity]]-Buckets_3_24[[#This Row],[Final]]</f>
        <v>0</v>
      </c>
      <c r="GX33" s="33">
        <f>IF(Buckets_3_24[[#This Row],[Capacity]]=0, 1, Buckets_3_24[[#This Row],[Final]]/Buckets_3_24[[#This Row],[Capacity]])</f>
        <v>1</v>
      </c>
      <c r="GZ33" s="40">
        <f>Buckets_3_24[[#This Row],[Final]]</f>
        <v>0</v>
      </c>
      <c r="HA33" s="40">
        <f>Buckets_3_24[[#This Row],[Capacity]]</f>
        <v>0</v>
      </c>
      <c r="HB33" s="41" t="b">
        <f t="shared" si="42"/>
        <v>0</v>
      </c>
      <c r="HC33" s="42"/>
      <c r="HD33" s="42"/>
      <c r="HE33" s="42"/>
      <c r="HF33" s="42"/>
      <c r="HG33" s="43"/>
      <c r="HH33" s="40">
        <f t="shared" si="43"/>
        <v>0</v>
      </c>
      <c r="HI33" s="40">
        <f t="shared" si="44"/>
        <v>0</v>
      </c>
      <c r="HJ33" s="41" t="b">
        <f t="shared" si="9"/>
        <v>0</v>
      </c>
      <c r="HL33" s="29">
        <f t="shared" si="45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6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31">
        <f>HV$41/Buckets_4_24[[#Totals],[NC To Fill]]*Buckets_4_24[[#This Row],[NC To Fill]]</f>
        <v>0</v>
      </c>
      <c r="HY33" s="31">
        <f>Buckets_4_24[[#This Row],[Crit Filled]]+Buckets_4_24[[#This Row],[Scaled]]</f>
        <v>0</v>
      </c>
      <c r="HZ33" s="31">
        <f>Buckets_4_24[[#This Row],[NC Filled]]</f>
        <v>0</v>
      </c>
      <c r="IA33" s="31">
        <f>Buckets_4_24[[#This Row],[Capacity]]-Buckets_4_24[[#This Row],[Final]]</f>
        <v>0</v>
      </c>
      <c r="IB33" s="33">
        <f>IF(Buckets_4_24[[#This Row],[Capacity]]=0, 1, Buckets_4_24[[#This Row],[Final]]/Buckets_4_24[[#This Row],[Capacity]])</f>
        <v>1</v>
      </c>
      <c r="ID33" s="40">
        <f>Buckets_4_24[[#This Row],[Final]]</f>
        <v>0</v>
      </c>
      <c r="IE33" s="40">
        <f>Buckets_4_24[[#This Row],[Capacity]]</f>
        <v>0</v>
      </c>
      <c r="IF33" s="41" t="b">
        <f t="shared" si="47"/>
        <v>0</v>
      </c>
      <c r="IG33" s="42"/>
      <c r="IH33" s="42"/>
      <c r="II33" s="42"/>
      <c r="IJ33" s="42"/>
      <c r="IK33" s="43"/>
      <c r="IL33" s="40">
        <f t="shared" si="48"/>
        <v>0</v>
      </c>
      <c r="IM33" s="40">
        <f t="shared" si="49"/>
        <v>0</v>
      </c>
      <c r="IN33" s="41" t="b">
        <f t="shared" si="10"/>
        <v>0</v>
      </c>
    </row>
    <row r="34" spans="1:248" x14ac:dyDescent="0.25">
      <c r="A34" s="49" t="s">
        <v>317</v>
      </c>
      <c r="B34" t="s">
        <v>308</v>
      </c>
      <c r="C34" t="s">
        <v>307</v>
      </c>
      <c r="D34" t="s">
        <v>307</v>
      </c>
      <c r="F34" s="30">
        <v>0</v>
      </c>
      <c r="G34" s="38">
        <v>0</v>
      </c>
      <c r="H34" t="b">
        <v>0</v>
      </c>
      <c r="J34" s="29">
        <f t="shared" si="11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2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 t="shared" si="13"/>
        <v>0</v>
      </c>
      <c r="AD34" t="b">
        <f t="shared" si="14"/>
        <v>0</v>
      </c>
      <c r="AE34" s="43" t="e">
        <f>NA()</f>
        <v>#N/A</v>
      </c>
      <c r="AF34" s="42"/>
      <c r="AG34" s="43" t="e">
        <f>NA()</f>
        <v>#N/A</v>
      </c>
      <c r="AH34" s="42"/>
      <c r="AI34" s="43"/>
      <c r="AJ34" s="31">
        <f t="shared" si="15"/>
        <v>0</v>
      </c>
      <c r="AK34" s="31">
        <f t="shared" si="16"/>
        <v>0</v>
      </c>
      <c r="AL34" t="b">
        <f t="shared" si="17"/>
        <v>0</v>
      </c>
      <c r="AN34" s="29">
        <f t="shared" si="18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19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31">
        <f>AX$41/Buckets_10_23[[#Totals],[NC To Fill]]*Buckets_10_23[[#This Row],[NC To Fill]]</f>
        <v>0</v>
      </c>
      <c r="BA34" s="31">
        <f>Buckets_10_23[[#This Row],[Crit Filled]]+Buckets_10_23[[#This Row],[Scaled]]</f>
        <v>0</v>
      </c>
      <c r="BB34" s="31">
        <f>Buckets_10_23[[#This Row],[NC Filled]]</f>
        <v>0</v>
      </c>
      <c r="BC34" s="31">
        <f>Buckets_10_23[[#This Row],[Capacity]]-Buckets_10_23[[#This Row],[Final]]</f>
        <v>0</v>
      </c>
      <c r="BD34" s="33">
        <f>IF(Buckets_10_23[[#This Row],[Capacity]]=0, 1, Buckets_10_23[[#This Row],[Final]]/Buckets_10_23[[#This Row],[Capacity]])</f>
        <v>1</v>
      </c>
      <c r="BF34" s="31">
        <f>Buckets_10_23[[#This Row],[Final]]</f>
        <v>0</v>
      </c>
      <c r="BG34" s="31">
        <f>Buckets_10_23[[#This Row],[Capacity]]</f>
        <v>0</v>
      </c>
      <c r="BH34" t="b">
        <f t="shared" si="20"/>
        <v>0</v>
      </c>
      <c r="BI34" s="43" t="e">
        <f>NA()</f>
        <v>#N/A</v>
      </c>
      <c r="BJ34" s="42"/>
      <c r="BK34" s="43" t="e">
        <f>NA()</f>
        <v>#N/A</v>
      </c>
      <c r="BL34" s="42"/>
      <c r="BM34" s="43"/>
      <c r="BN34" s="31">
        <f t="shared" si="21"/>
        <v>0</v>
      </c>
      <c r="BO34" s="31">
        <f t="shared" si="1"/>
        <v>0</v>
      </c>
      <c r="BP34" t="b">
        <f t="shared" si="2"/>
        <v>0</v>
      </c>
      <c r="BR34" s="29">
        <f t="shared" si="22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3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31">
        <f>CB$41/Buckets_11_23[[#Totals],[NC To Fill]]*Buckets_11_23[[#This Row],[NC To Fill]]</f>
        <v>0</v>
      </c>
      <c r="CE34" s="31">
        <f>Buckets_11_23[[#This Row],[Crit Filled]]+Buckets_11_23[[#This Row],[Scaled]]</f>
        <v>0</v>
      </c>
      <c r="CF34" s="31">
        <f>Buckets_11_23[[#This Row],[NC Filled]]</f>
        <v>0</v>
      </c>
      <c r="CG34" s="31">
        <f>Buckets_11_23[[#This Row],[Capacity]]-Buckets_11_23[[#This Row],[Final]]</f>
        <v>0</v>
      </c>
      <c r="CH34" s="33">
        <f>IF(Buckets_11_23[[#This Row],[Capacity]]=0, 1, Buckets_11_23[[#This Row],[Final]]/Buckets_11_23[[#This Row],[Capacity]])</f>
        <v>1</v>
      </c>
      <c r="CJ34" s="40">
        <f>Buckets_11_23[[#This Row],[Final]]</f>
        <v>0</v>
      </c>
      <c r="CK34" s="40">
        <f>Buckets_11_23[[#This Row],[Capacity]]</f>
        <v>0</v>
      </c>
      <c r="CL34" s="41" t="b">
        <f t="shared" si="24"/>
        <v>0</v>
      </c>
      <c r="CM34" s="42"/>
      <c r="CN34" s="42"/>
      <c r="CO34" s="42" t="e">
        <f>NA()</f>
        <v>#N/A</v>
      </c>
      <c r="CP34" s="42"/>
      <c r="CQ34" s="43"/>
      <c r="CR34" s="40">
        <f t="shared" si="25"/>
        <v>0</v>
      </c>
      <c r="CS34" s="40">
        <f t="shared" si="3"/>
        <v>0</v>
      </c>
      <c r="CT34" s="41" t="b">
        <f t="shared" si="4"/>
        <v>0</v>
      </c>
      <c r="CV34" s="29">
        <f t="shared" si="26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7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31">
        <f>DF$41/Buckets_12_23[[#Totals],[NC To Fill]]*Buckets_12_23[[#This Row],[NC To Fill]]</f>
        <v>0</v>
      </c>
      <c r="DI34" s="31">
        <f>Buckets_12_23[[#This Row],[Crit Filled]]+Buckets_12_23[[#This Row],[Scaled]]</f>
        <v>0</v>
      </c>
      <c r="DJ34" s="31">
        <f>Buckets_12_23[[#This Row],[NC Filled]]</f>
        <v>0</v>
      </c>
      <c r="DK34" s="31">
        <f>Buckets_12_23[[#This Row],[Capacity]]-Buckets_12_23[[#This Row],[Final]]</f>
        <v>0</v>
      </c>
      <c r="DL34" s="33">
        <f>IF(Buckets_12_23[[#This Row],[Capacity]]=0, 1, Buckets_12_23[[#This Row],[Final]]/Buckets_12_23[[#This Row],[Capacity]])</f>
        <v>1</v>
      </c>
      <c r="DN34" s="40">
        <f>Buckets_12_23[[#This Row],[Final]]</f>
        <v>0</v>
      </c>
      <c r="DO34" s="40">
        <f>Buckets_12_23[[#This Row],[Capacity]]</f>
        <v>0</v>
      </c>
      <c r="DP34" s="41" t="b">
        <f t="shared" si="28"/>
        <v>0</v>
      </c>
      <c r="DQ34" s="42"/>
      <c r="DR34" s="42"/>
      <c r="DS34" s="42" t="e">
        <f>NA()</f>
        <v>#N/A</v>
      </c>
      <c r="DT34" s="42"/>
      <c r="DU34" s="43"/>
      <c r="DV34" s="40">
        <f t="shared" si="29"/>
        <v>0</v>
      </c>
      <c r="DW34" s="40">
        <f t="shared" si="5"/>
        <v>0</v>
      </c>
      <c r="DX34" s="41" t="b">
        <f t="shared" si="6"/>
        <v>0</v>
      </c>
      <c r="DZ34" s="29">
        <f t="shared" si="30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1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31">
        <f>EJ$41/Buckets_1_24[[#Totals],[NC To Fill]]*Buckets_1_24[[#This Row],[NC To Fill]]</f>
        <v>0</v>
      </c>
      <c r="EM34" s="31">
        <f>Buckets_1_24[[#This Row],[Crit Filled]]+Buckets_1_24[[#This Row],[Scaled]]</f>
        <v>0</v>
      </c>
      <c r="EN34" s="31">
        <f>Buckets_1_24[[#This Row],[NC Filled]]</f>
        <v>0</v>
      </c>
      <c r="EO34" s="31">
        <f>Buckets_1_24[[#This Row],[Capacity]]-Buckets_1_24[[#This Row],[Final]]</f>
        <v>0</v>
      </c>
      <c r="EP34" s="33">
        <f>IF(Buckets_1_24[[#This Row],[Capacity]]=0, 1, Buckets_1_24[[#This Row],[Final]]/Buckets_1_24[[#This Row],[Capacity]])</f>
        <v>1</v>
      </c>
      <c r="ER34" s="40">
        <f>Buckets_1_24[[#This Row],[Final]]</f>
        <v>0</v>
      </c>
      <c r="ES34" s="40">
        <f>Buckets_1_24[[#This Row],[Capacity]]</f>
        <v>0</v>
      </c>
      <c r="ET34" s="41" t="b">
        <f t="shared" si="32"/>
        <v>0</v>
      </c>
      <c r="EU34" s="42"/>
      <c r="EV34" s="42"/>
      <c r="EW34" s="42"/>
      <c r="EX34" s="42"/>
      <c r="EY34" s="43"/>
      <c r="EZ34" s="40">
        <f t="shared" si="33"/>
        <v>0</v>
      </c>
      <c r="FA34" s="40">
        <f t="shared" si="34"/>
        <v>0</v>
      </c>
      <c r="FB34" s="41" t="b">
        <f t="shared" si="7"/>
        <v>0</v>
      </c>
      <c r="FD34" s="29">
        <f t="shared" si="35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6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31">
        <f>FN$41/Buckets_2_24[[#Totals],[NC To Fill]]*Buckets_2_24[[#This Row],[NC To Fill]]</f>
        <v>0</v>
      </c>
      <c r="FQ34" s="31">
        <f>Buckets_2_24[[#This Row],[Crit Filled]]+Buckets_2_24[[#This Row],[Scaled]]</f>
        <v>0</v>
      </c>
      <c r="FR34" s="31">
        <f>Buckets_2_24[[#This Row],[NC Filled]]</f>
        <v>0</v>
      </c>
      <c r="FS34" s="31">
        <f>Buckets_2_24[[#This Row],[Capacity]]-Buckets_2_24[[#This Row],[Final]]</f>
        <v>0</v>
      </c>
      <c r="FT34" s="33">
        <f>IF(Buckets_2_24[[#This Row],[Capacity]]=0, 1, Buckets_2_24[[#This Row],[Final]]/Buckets_2_24[[#This Row],[Capacity]])</f>
        <v>1</v>
      </c>
      <c r="FV34" s="40">
        <f>Buckets_2_24[[#This Row],[Final]]</f>
        <v>0</v>
      </c>
      <c r="FW34" s="40">
        <f>Buckets_2_24[[#This Row],[Capacity]]</f>
        <v>0</v>
      </c>
      <c r="FX34" s="41" t="b">
        <f t="shared" si="37"/>
        <v>0</v>
      </c>
      <c r="FY34" s="42"/>
      <c r="FZ34" s="42"/>
      <c r="GA34" s="42"/>
      <c r="GB34" s="42"/>
      <c r="GC34" s="43"/>
      <c r="GD34" s="40">
        <f t="shared" si="38"/>
        <v>0</v>
      </c>
      <c r="GE34" s="40">
        <f t="shared" si="39"/>
        <v>0</v>
      </c>
      <c r="GF34" s="41" t="b">
        <f t="shared" si="8"/>
        <v>0</v>
      </c>
      <c r="GH34" s="29">
        <f t="shared" si="40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1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31">
        <f>GR$41/Buckets_3_24[[#Totals],[NC To Fill]]*Buckets_3_24[[#This Row],[NC To Fill]]</f>
        <v>0</v>
      </c>
      <c r="GU34" s="31">
        <f>Buckets_3_24[[#This Row],[Crit Filled]]+Buckets_3_24[[#This Row],[Scaled]]</f>
        <v>0</v>
      </c>
      <c r="GV34" s="31">
        <f>Buckets_3_24[[#This Row],[NC Filled]]</f>
        <v>0</v>
      </c>
      <c r="GW34" s="31">
        <f>Buckets_3_24[[#This Row],[Capacity]]-Buckets_3_24[[#This Row],[Final]]</f>
        <v>0</v>
      </c>
      <c r="GX34" s="33">
        <f>IF(Buckets_3_24[[#This Row],[Capacity]]=0, 1, Buckets_3_24[[#This Row],[Final]]/Buckets_3_24[[#This Row],[Capacity]])</f>
        <v>1</v>
      </c>
      <c r="GZ34" s="40">
        <f>Buckets_3_24[[#This Row],[Final]]</f>
        <v>0</v>
      </c>
      <c r="HA34" s="40">
        <f>Buckets_3_24[[#This Row],[Capacity]]</f>
        <v>0</v>
      </c>
      <c r="HB34" s="41" t="b">
        <f t="shared" si="42"/>
        <v>0</v>
      </c>
      <c r="HC34" s="42"/>
      <c r="HD34" s="42"/>
      <c r="HE34" s="42"/>
      <c r="HF34" s="42"/>
      <c r="HG34" s="43"/>
      <c r="HH34" s="40">
        <f t="shared" si="43"/>
        <v>0</v>
      </c>
      <c r="HI34" s="40">
        <f t="shared" si="44"/>
        <v>0</v>
      </c>
      <c r="HJ34" s="41" t="b">
        <f t="shared" si="9"/>
        <v>0</v>
      </c>
      <c r="HL34" s="29">
        <f t="shared" si="45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6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31">
        <f>HV$41/Buckets_4_24[[#Totals],[NC To Fill]]*Buckets_4_24[[#This Row],[NC To Fill]]</f>
        <v>0</v>
      </c>
      <c r="HY34" s="31">
        <f>Buckets_4_24[[#This Row],[Crit Filled]]+Buckets_4_24[[#This Row],[Scaled]]</f>
        <v>0</v>
      </c>
      <c r="HZ34" s="31">
        <f>Buckets_4_24[[#This Row],[NC Filled]]</f>
        <v>0</v>
      </c>
      <c r="IA34" s="31">
        <f>Buckets_4_24[[#This Row],[Capacity]]-Buckets_4_24[[#This Row],[Final]]</f>
        <v>0</v>
      </c>
      <c r="IB34" s="33">
        <f>IF(Buckets_4_24[[#This Row],[Capacity]]=0, 1, Buckets_4_24[[#This Row],[Final]]/Buckets_4_24[[#This Row],[Capacity]])</f>
        <v>1</v>
      </c>
      <c r="ID34" s="40">
        <f>Buckets_4_24[[#This Row],[Final]]</f>
        <v>0</v>
      </c>
      <c r="IE34" s="40">
        <f>Buckets_4_24[[#This Row],[Capacity]]</f>
        <v>0</v>
      </c>
      <c r="IF34" s="41" t="b">
        <f t="shared" si="47"/>
        <v>0</v>
      </c>
      <c r="IG34" s="42"/>
      <c r="IH34" s="42"/>
      <c r="II34" s="42"/>
      <c r="IJ34" s="42"/>
      <c r="IK34" s="43"/>
      <c r="IL34" s="40">
        <f t="shared" si="48"/>
        <v>0</v>
      </c>
      <c r="IM34" s="40">
        <f t="shared" si="49"/>
        <v>0</v>
      </c>
      <c r="IN34" s="41" t="b">
        <f t="shared" si="10"/>
        <v>0</v>
      </c>
    </row>
    <row r="35" spans="1:248" ht="15.75" thickBot="1" x14ac:dyDescent="0.3">
      <c r="A35" s="49"/>
      <c r="B35" t="s">
        <v>308</v>
      </c>
      <c r="C35" t="s">
        <v>308</v>
      </c>
      <c r="D35" t="s">
        <v>308</v>
      </c>
      <c r="F35" s="30">
        <v>0</v>
      </c>
      <c r="G35" s="38">
        <v>0</v>
      </c>
      <c r="H35" t="b">
        <v>0</v>
      </c>
      <c r="J35" s="29">
        <f t="shared" si="11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2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 t="shared" si="13"/>
        <v>0</v>
      </c>
      <c r="AD35" t="b">
        <f t="shared" si="14"/>
        <v>0</v>
      </c>
      <c r="AE35" s="43" t="e">
        <f>NA()</f>
        <v>#N/A</v>
      </c>
      <c r="AF35" s="42"/>
      <c r="AG35" s="43" t="e">
        <f>NA()</f>
        <v>#N/A</v>
      </c>
      <c r="AH35" s="42"/>
      <c r="AI35" s="43"/>
      <c r="AJ35" s="31">
        <f t="shared" si="15"/>
        <v>0</v>
      </c>
      <c r="AK35" s="31">
        <f t="shared" si="16"/>
        <v>0</v>
      </c>
      <c r="AL35" t="b">
        <f t="shared" si="17"/>
        <v>0</v>
      </c>
      <c r="AN35" s="29">
        <f t="shared" si="18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19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31">
        <f>AX$41/Buckets_10_23[[#Totals],[NC To Fill]]*Buckets_10_23[[#This Row],[NC To Fill]]</f>
        <v>0</v>
      </c>
      <c r="BA35" s="31">
        <f>Buckets_10_23[[#This Row],[Crit Filled]]+Buckets_10_23[[#This Row],[Scaled]]</f>
        <v>0</v>
      </c>
      <c r="BB35" s="31">
        <f>Buckets_10_23[[#This Row],[NC Filled]]</f>
        <v>0</v>
      </c>
      <c r="BC35" s="31">
        <f>Buckets_10_23[[#This Row],[Capacity]]-Buckets_10_23[[#This Row],[Final]]</f>
        <v>0</v>
      </c>
      <c r="BD35" s="33">
        <f>IF(Buckets_10_23[[#This Row],[Capacity]]=0, 1, Buckets_10_23[[#This Row],[Final]]/Buckets_10_23[[#This Row],[Capacity]])</f>
        <v>1</v>
      </c>
      <c r="BF35" s="31">
        <f>Buckets_10_23[[#This Row],[Final]]</f>
        <v>0</v>
      </c>
      <c r="BG35" s="31">
        <f>Buckets_10_23[[#This Row],[Capacity]]</f>
        <v>0</v>
      </c>
      <c r="BH35" t="b">
        <f t="shared" si="20"/>
        <v>0</v>
      </c>
      <c r="BI35" s="43" t="e">
        <f>NA()</f>
        <v>#N/A</v>
      </c>
      <c r="BJ35" s="42"/>
      <c r="BK35" s="43" t="e">
        <f>NA()</f>
        <v>#N/A</v>
      </c>
      <c r="BL35" s="42"/>
      <c r="BM35" s="43"/>
      <c r="BN35" s="31">
        <f t="shared" si="21"/>
        <v>0</v>
      </c>
      <c r="BO35" s="31">
        <f t="shared" si="1"/>
        <v>0</v>
      </c>
      <c r="BP35" t="b">
        <f t="shared" si="2"/>
        <v>0</v>
      </c>
      <c r="BR35" s="29">
        <f t="shared" si="22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3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31">
        <f>CB$41/Buckets_11_23[[#Totals],[NC To Fill]]*Buckets_11_23[[#This Row],[NC To Fill]]</f>
        <v>0</v>
      </c>
      <c r="CE35" s="31">
        <f>Buckets_11_23[[#This Row],[Crit Filled]]+Buckets_11_23[[#This Row],[Scaled]]</f>
        <v>0</v>
      </c>
      <c r="CF35" s="31">
        <f>Buckets_11_23[[#This Row],[NC Filled]]</f>
        <v>0</v>
      </c>
      <c r="CG35" s="31">
        <f>Buckets_11_23[[#This Row],[Capacity]]-Buckets_11_23[[#This Row],[Final]]</f>
        <v>0</v>
      </c>
      <c r="CH35" s="33">
        <f>IF(Buckets_11_23[[#This Row],[Capacity]]=0, 1, Buckets_11_23[[#This Row],[Final]]/Buckets_11_23[[#This Row],[Capacity]])</f>
        <v>1</v>
      </c>
      <c r="CJ35" s="40">
        <f>Buckets_11_23[[#This Row],[Final]]</f>
        <v>0</v>
      </c>
      <c r="CK35" s="40">
        <f>Buckets_11_23[[#This Row],[Capacity]]</f>
        <v>0</v>
      </c>
      <c r="CL35" s="41" t="b">
        <f t="shared" si="24"/>
        <v>0</v>
      </c>
      <c r="CM35" s="42"/>
      <c r="CN35" s="42"/>
      <c r="CO35" s="42" t="e">
        <f>NA()</f>
        <v>#N/A</v>
      </c>
      <c r="CP35" s="42"/>
      <c r="CQ35" s="43"/>
      <c r="CR35" s="40">
        <f t="shared" si="25"/>
        <v>0</v>
      </c>
      <c r="CS35" s="40">
        <f t="shared" si="3"/>
        <v>0</v>
      </c>
      <c r="CT35" s="41" t="b">
        <f t="shared" si="4"/>
        <v>0</v>
      </c>
      <c r="CV35" s="29">
        <f t="shared" si="26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7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31">
        <f>DF$41/Buckets_12_23[[#Totals],[NC To Fill]]*Buckets_12_23[[#This Row],[NC To Fill]]</f>
        <v>0</v>
      </c>
      <c r="DI35" s="31">
        <f>Buckets_12_23[[#This Row],[Crit Filled]]+Buckets_12_23[[#This Row],[Scaled]]</f>
        <v>0</v>
      </c>
      <c r="DJ35" s="31">
        <f>Buckets_12_23[[#This Row],[NC Filled]]</f>
        <v>0</v>
      </c>
      <c r="DK35" s="31">
        <f>Buckets_12_23[[#This Row],[Capacity]]-Buckets_12_23[[#This Row],[Final]]</f>
        <v>0</v>
      </c>
      <c r="DL35" s="33">
        <f>IF(Buckets_12_23[[#This Row],[Capacity]]=0, 1, Buckets_12_23[[#This Row],[Final]]/Buckets_12_23[[#This Row],[Capacity]])</f>
        <v>1</v>
      </c>
      <c r="DN35" s="40">
        <f>Buckets_12_23[[#This Row],[Final]]</f>
        <v>0</v>
      </c>
      <c r="DO35" s="40">
        <f>Buckets_12_23[[#This Row],[Capacity]]</f>
        <v>0</v>
      </c>
      <c r="DP35" s="41" t="b">
        <f t="shared" si="28"/>
        <v>0</v>
      </c>
      <c r="DQ35" s="42"/>
      <c r="DR35" s="42"/>
      <c r="DS35" s="42" t="e">
        <f>NA()</f>
        <v>#N/A</v>
      </c>
      <c r="DT35" s="42"/>
      <c r="DU35" s="43"/>
      <c r="DV35" s="40">
        <f t="shared" si="29"/>
        <v>0</v>
      </c>
      <c r="DW35" s="40">
        <f t="shared" si="5"/>
        <v>0</v>
      </c>
      <c r="DX35" s="41" t="b">
        <f t="shared" si="6"/>
        <v>0</v>
      </c>
      <c r="DZ35" s="29">
        <f t="shared" si="30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1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31">
        <f>EJ$41/Buckets_1_24[[#Totals],[NC To Fill]]*Buckets_1_24[[#This Row],[NC To Fill]]</f>
        <v>0</v>
      </c>
      <c r="EM35" s="31">
        <f>Buckets_1_24[[#This Row],[Crit Filled]]+Buckets_1_24[[#This Row],[Scaled]]</f>
        <v>0</v>
      </c>
      <c r="EN35" s="31">
        <f>Buckets_1_24[[#This Row],[NC Filled]]</f>
        <v>0</v>
      </c>
      <c r="EO35" s="31">
        <f>Buckets_1_24[[#This Row],[Capacity]]-Buckets_1_24[[#This Row],[Final]]</f>
        <v>0</v>
      </c>
      <c r="EP35" s="33">
        <f>IF(Buckets_1_24[[#This Row],[Capacity]]=0, 1, Buckets_1_24[[#This Row],[Final]]/Buckets_1_24[[#This Row],[Capacity]])</f>
        <v>1</v>
      </c>
      <c r="ER35" s="40">
        <f>Buckets_1_24[[#This Row],[Final]]</f>
        <v>0</v>
      </c>
      <c r="ES35" s="40">
        <f>Buckets_1_24[[#This Row],[Capacity]]</f>
        <v>0</v>
      </c>
      <c r="ET35" s="41" t="b">
        <f t="shared" si="32"/>
        <v>0</v>
      </c>
      <c r="EU35" s="42"/>
      <c r="EV35" s="42"/>
      <c r="EW35" s="42"/>
      <c r="EX35" s="42"/>
      <c r="EY35" s="43"/>
      <c r="EZ35" s="40">
        <f t="shared" si="33"/>
        <v>0</v>
      </c>
      <c r="FA35" s="40">
        <f t="shared" si="34"/>
        <v>0</v>
      </c>
      <c r="FB35" s="41" t="b">
        <f t="shared" si="7"/>
        <v>0</v>
      </c>
      <c r="FD35" s="29">
        <f t="shared" si="35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6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31">
        <f>FN$41/Buckets_2_24[[#Totals],[NC To Fill]]*Buckets_2_24[[#This Row],[NC To Fill]]</f>
        <v>0</v>
      </c>
      <c r="FQ35" s="31">
        <f>Buckets_2_24[[#This Row],[Crit Filled]]+Buckets_2_24[[#This Row],[Scaled]]</f>
        <v>0</v>
      </c>
      <c r="FR35" s="31">
        <f>Buckets_2_24[[#This Row],[NC Filled]]</f>
        <v>0</v>
      </c>
      <c r="FS35" s="31">
        <f>Buckets_2_24[[#This Row],[Capacity]]-Buckets_2_24[[#This Row],[Final]]</f>
        <v>0</v>
      </c>
      <c r="FT35" s="33">
        <f>IF(Buckets_2_24[[#This Row],[Capacity]]=0, 1, Buckets_2_24[[#This Row],[Final]]/Buckets_2_24[[#This Row],[Capacity]])</f>
        <v>1</v>
      </c>
      <c r="FV35" s="40">
        <f>Buckets_2_24[[#This Row],[Final]]</f>
        <v>0</v>
      </c>
      <c r="FW35" s="40">
        <f>Buckets_2_24[[#This Row],[Capacity]]</f>
        <v>0</v>
      </c>
      <c r="FX35" s="41" t="b">
        <f t="shared" si="37"/>
        <v>0</v>
      </c>
      <c r="FY35" s="42"/>
      <c r="FZ35" s="42"/>
      <c r="GA35" s="42"/>
      <c r="GB35" s="42"/>
      <c r="GC35" s="43"/>
      <c r="GD35" s="40">
        <f t="shared" si="38"/>
        <v>0</v>
      </c>
      <c r="GE35" s="40">
        <f t="shared" si="39"/>
        <v>0</v>
      </c>
      <c r="GF35" s="41" t="b">
        <f t="shared" si="8"/>
        <v>0</v>
      </c>
      <c r="GH35" s="29">
        <f t="shared" si="40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1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31">
        <f>GR$41/Buckets_3_24[[#Totals],[NC To Fill]]*Buckets_3_24[[#This Row],[NC To Fill]]</f>
        <v>0</v>
      </c>
      <c r="GU35" s="31">
        <f>Buckets_3_24[[#This Row],[Crit Filled]]+Buckets_3_24[[#This Row],[Scaled]]</f>
        <v>0</v>
      </c>
      <c r="GV35" s="31">
        <f>Buckets_3_24[[#This Row],[NC Filled]]</f>
        <v>0</v>
      </c>
      <c r="GW35" s="31">
        <f>Buckets_3_24[[#This Row],[Capacity]]-Buckets_3_24[[#This Row],[Final]]</f>
        <v>0</v>
      </c>
      <c r="GX35" s="33">
        <f>IF(Buckets_3_24[[#This Row],[Capacity]]=0, 1, Buckets_3_24[[#This Row],[Final]]/Buckets_3_24[[#This Row],[Capacity]])</f>
        <v>1</v>
      </c>
      <c r="GZ35" s="40">
        <f>Buckets_3_24[[#This Row],[Final]]</f>
        <v>0</v>
      </c>
      <c r="HA35" s="40">
        <f>Buckets_3_24[[#This Row],[Capacity]]</f>
        <v>0</v>
      </c>
      <c r="HB35" s="41" t="b">
        <f t="shared" si="42"/>
        <v>0</v>
      </c>
      <c r="HC35" s="42"/>
      <c r="HD35" s="42"/>
      <c r="HE35" s="42"/>
      <c r="HF35" s="42"/>
      <c r="HG35" s="43"/>
      <c r="HH35" s="40">
        <f t="shared" si="43"/>
        <v>0</v>
      </c>
      <c r="HI35" s="40">
        <f t="shared" si="44"/>
        <v>0</v>
      </c>
      <c r="HJ35" s="41" t="b">
        <f t="shared" si="9"/>
        <v>0</v>
      </c>
      <c r="HL35" s="29">
        <f t="shared" si="45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6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31">
        <f>HV$41/Buckets_4_24[[#Totals],[NC To Fill]]*Buckets_4_24[[#This Row],[NC To Fill]]</f>
        <v>0</v>
      </c>
      <c r="HY35" s="31">
        <f>Buckets_4_24[[#This Row],[Crit Filled]]+Buckets_4_24[[#This Row],[Scaled]]</f>
        <v>0</v>
      </c>
      <c r="HZ35" s="31">
        <f>Buckets_4_24[[#This Row],[NC Filled]]</f>
        <v>0</v>
      </c>
      <c r="IA35" s="31">
        <f>Buckets_4_24[[#This Row],[Capacity]]-Buckets_4_24[[#This Row],[Final]]</f>
        <v>0</v>
      </c>
      <c r="IB35" s="33">
        <f>IF(Buckets_4_24[[#This Row],[Capacity]]=0, 1, Buckets_4_24[[#This Row],[Final]]/Buckets_4_24[[#This Row],[Capacity]])</f>
        <v>1</v>
      </c>
      <c r="ID35" s="40">
        <f>Buckets_4_24[[#This Row],[Final]]</f>
        <v>0</v>
      </c>
      <c r="IE35" s="40">
        <f>Buckets_4_24[[#This Row],[Capacity]]</f>
        <v>0</v>
      </c>
      <c r="IF35" s="41" t="b">
        <f t="shared" si="47"/>
        <v>0</v>
      </c>
      <c r="IG35" s="42"/>
      <c r="IH35" s="42"/>
      <c r="II35" s="42"/>
      <c r="IJ35" s="42"/>
      <c r="IK35" s="43"/>
      <c r="IL35" s="40">
        <f t="shared" si="48"/>
        <v>0</v>
      </c>
      <c r="IM35" s="40">
        <f t="shared" si="49"/>
        <v>0</v>
      </c>
      <c r="IN35" s="41" t="b">
        <f t="shared" si="10"/>
        <v>0</v>
      </c>
    </row>
    <row r="36" spans="1:248" ht="15.75" thickTop="1" x14ac:dyDescent="0.25">
      <c r="A36" s="24"/>
      <c r="F36" s="37">
        <f>SUM(F4:F35)</f>
        <v>3570</v>
      </c>
      <c r="G36" s="37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39">
        <f>SUM(AB4:AB35)</f>
        <v>10906.660000000002</v>
      </c>
      <c r="AC36" s="31"/>
      <c r="AF36" s="31"/>
      <c r="AG36" s="31"/>
      <c r="AH36" s="31"/>
      <c r="AJ36" s="39">
        <f>SUM(AJ4:AJ35)</f>
        <v>10906.660000000002</v>
      </c>
      <c r="AK36" s="31"/>
      <c r="AN36" s="31">
        <f>SUBTOTAL(9, Buckets_10_23[Start])</f>
        <v>10906.660000000002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1395.3100000000004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3436.4900000000011</v>
      </c>
      <c r="AZ36" s="31">
        <f>SUBTOTAL(9, Buckets_10_23[Scaled])</f>
        <v>2041.1799999999996</v>
      </c>
      <c r="BB36" s="31">
        <f>SUBTOTAL(9, Buckets_10_23[Final])</f>
        <v>11494.69</v>
      </c>
      <c r="BC36" s="31">
        <f>SUBTOTAL(9, Buckets_10_23[Unfilled])</f>
        <v>1395.310000000002</v>
      </c>
      <c r="BD36" s="33">
        <f>Buckets_10_23[[#Totals],[Final]]/Buckets_10_23[[#Totals],[Capacity]]</f>
        <v>0.89175252133436778</v>
      </c>
      <c r="BF36" s="39">
        <f>SUM(BF4:BF35)</f>
        <v>11494.69</v>
      </c>
      <c r="BG36" s="31"/>
      <c r="BJ36" s="31"/>
      <c r="BK36" s="31"/>
      <c r="BL36" s="31"/>
      <c r="BN36" s="39">
        <f>SUM(BN4:BN35)</f>
        <v>11494.69</v>
      </c>
      <c r="BO36" s="31"/>
      <c r="BR36" s="31">
        <f>SUBTOTAL(9, Buckets_11_23[Start])</f>
        <v>11494.69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3041.6659716125487</v>
      </c>
      <c r="CC36" s="31">
        <f>SUBTOTAL(9,Buckets_11_23[NC To Fill])</f>
        <v>3348.5640283874532</v>
      </c>
      <c r="CD36" s="31">
        <f>SUBTOTAL(9, Buckets_11_23[Scaled])</f>
        <v>3302.3640283874511</v>
      </c>
      <c r="CF36" s="31">
        <f>SUBTOTAL(9, Buckets_11_23[Final])</f>
        <v>13343.8</v>
      </c>
      <c r="CG36" s="31">
        <f>SUBTOTAL(9, Buckets_11_23[Unfilled])</f>
        <v>46.200000000002234</v>
      </c>
      <c r="CH36" s="33">
        <f>Buckets_11_23[[#Totals],[Final]]/Buckets_11_23[[#Totals],[Capacity]]</f>
        <v>0.99654966392830469</v>
      </c>
      <c r="CJ36" s="39">
        <f>SUM(CJ4:CJ35)</f>
        <v>13343.8</v>
      </c>
      <c r="CK36" s="31">
        <f>SUM(CK4:CK35)</f>
        <v>13390</v>
      </c>
      <c r="CM36" s="31">
        <f>SUM(CM4:CM35)</f>
        <v>0</v>
      </c>
      <c r="CN36" s="31"/>
      <c r="CO36" s="31"/>
      <c r="CP36" s="31"/>
      <c r="CR36" s="39">
        <f>SUM(CR4:CR35)</f>
        <v>13343.8</v>
      </c>
      <c r="CS36" s="31">
        <f>SUM(CS4:CS35)</f>
        <v>15590</v>
      </c>
      <c r="CV36" s="31">
        <f>SUBTOTAL(9, Buckets_12_23[Start])</f>
        <v>13343.8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3696.8736761767104</v>
      </c>
      <c r="DG36" s="31">
        <f>SUBTOTAL(9,Buckets_12_23[NC To Fill])</f>
        <v>4226.2063238232913</v>
      </c>
      <c r="DH36" s="31">
        <f>SUBTOTAL(9, Buckets_12_23[Scaled])</f>
        <v>1932.3063238232901</v>
      </c>
      <c r="DJ36" s="31">
        <f>SUBTOTAL(9, Buckets_12_23[Final])</f>
        <v>13296.099999999995</v>
      </c>
      <c r="DK36" s="31">
        <f>SUBTOTAL(9, Buckets_12_23[Unfilled])</f>
        <v>2293.9000000000019</v>
      </c>
      <c r="DL36" s="33">
        <f>Buckets_12_23[[#Totals],[Final]]/Buckets_12_23[[#Totals],[Capacity]]</f>
        <v>0.8528608082103909</v>
      </c>
      <c r="DN36" s="39">
        <f>SUM(DN4:DN35)</f>
        <v>13296.099999999995</v>
      </c>
      <c r="DO36" s="31">
        <f>SUM(DO4:DO35)</f>
        <v>15590</v>
      </c>
      <c r="DQ36" s="31">
        <f>SUM(DQ4:DQ35)</f>
        <v>0</v>
      </c>
      <c r="DR36" s="31"/>
      <c r="DS36" s="31"/>
      <c r="DT36" s="31"/>
      <c r="DV36" s="39">
        <f>SUM(DV4:DV35)</f>
        <v>13296.099999999995</v>
      </c>
      <c r="DW36" s="31">
        <f>SUM(DW4:DW35)</f>
        <v>16190</v>
      </c>
      <c r="DZ36" s="31">
        <f>SUBTOTAL(9, Buckets_1_24[Start])</f>
        <v>13296.099999999995</v>
      </c>
      <c r="EA36" s="31">
        <f>SUBTOTAL(9, Buckets_1_24[Transactions])</f>
        <v>1723.2199999999993</v>
      </c>
      <c r="EB36" s="31">
        <f>SUBTOTAL(9, Buckets_1_24[After T])</f>
        <v>15019.319999999998</v>
      </c>
      <c r="EC36" s="31">
        <f>SUBTOTAL(9, Buckets_1_24[Capacity])</f>
        <v>16190</v>
      </c>
      <c r="ED36" s="31">
        <f>SUBTOTAL(9, Buckets_1_24[Cap Diff])</f>
        <v>1170.6800000000017</v>
      </c>
      <c r="EE36" s="31">
        <f>SUBTOTAL(9, Buckets_1_24[Slush])</f>
        <v>5616.14</v>
      </c>
      <c r="EI36" s="31">
        <f>SUBTOTAL(9, Buckets_1_24[Crit To Fill])</f>
        <v>3754.0298128138274</v>
      </c>
      <c r="EK36" s="31">
        <f>SUBTOTAL(9,Buckets_1_24[NC To Fill])</f>
        <v>3032.790187186175</v>
      </c>
      <c r="EL36" s="31">
        <f>SUBTOTAL(9, Buckets_1_24[Scaled])</f>
        <v>1862.1101871861731</v>
      </c>
      <c r="EN36" s="31">
        <f>SUBTOTAL(9, Buckets_1_24[Final])</f>
        <v>15019.319999999996</v>
      </c>
      <c r="EO36" s="31">
        <f>SUBTOTAL(9, Buckets_1_24[Unfilled])</f>
        <v>1170.6800000000021</v>
      </c>
      <c r="EP36" s="33">
        <f>Buckets_1_24[[#Totals],[Final]]/Buckets_1_24[[#Totals],[Capacity]]</f>
        <v>0.92769116738727586</v>
      </c>
      <c r="ER36" s="39">
        <f>SUM(ER4:ER35)</f>
        <v>15019.319999999996</v>
      </c>
      <c r="ES36" s="31">
        <f>SUM(ES4:ES35)</f>
        <v>16190</v>
      </c>
      <c r="EU36" s="31">
        <f>SUM(EU4:EU35)</f>
        <v>0</v>
      </c>
      <c r="EV36" s="31"/>
      <c r="EW36" s="31"/>
      <c r="EX36" s="31"/>
      <c r="EZ36" s="39">
        <f>SUM(EZ4:EZ35)</f>
        <v>15019.319999999996</v>
      </c>
      <c r="FA36" s="31">
        <f>SUM(FA4:FA35)</f>
        <v>18650</v>
      </c>
      <c r="FD36" s="31">
        <f>SUBTOTAL(9, Buckets_2_24[Start])</f>
        <v>15019.319999999996</v>
      </c>
      <c r="FE36" s="31">
        <f>SUBTOTAL(9, Buckets_2_24[Transactions])</f>
        <v>3444.9399999999996</v>
      </c>
      <c r="FF36" s="31">
        <f>SUBTOTAL(9, Buckets_2_24[After T])</f>
        <v>18464.259999999995</v>
      </c>
      <c r="FG36" s="31">
        <f>SUBTOTAL(9, Buckets_2_24[Capacity])</f>
        <v>18650</v>
      </c>
      <c r="FH36" s="31">
        <f>SUBTOTAL(9, Buckets_2_24[Cap Diff])</f>
        <v>185.74000000000274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5067.3500000000022</v>
      </c>
      <c r="FP36" s="31">
        <f>SUBTOTAL(9, Buckets_2_24[Scaled])</f>
        <v>4881.6100000000006</v>
      </c>
      <c r="FR36" s="31">
        <f>SUBTOTAL(9, Buckets_2_24[Final])</f>
        <v>18464.260000000002</v>
      </c>
      <c r="FS36" s="31">
        <f>SUBTOTAL(9, Buckets_2_24[Unfilled])</f>
        <v>185.74000000000152</v>
      </c>
      <c r="FT36" s="33">
        <f>Buckets_2_24[[#Totals],[Final]]/Buckets_2_24[[#Totals],[Capacity]]</f>
        <v>0.99004075067024144</v>
      </c>
      <c r="FV36" s="39">
        <f>SUM(FV4:FV35)</f>
        <v>18464.260000000002</v>
      </c>
      <c r="FW36" s="31">
        <f>SUM(FW4:FW35)</f>
        <v>18650</v>
      </c>
      <c r="FY36" s="31">
        <f>SUM(FY4:FY35)</f>
        <v>0</v>
      </c>
      <c r="FZ36" s="31"/>
      <c r="GA36" s="31"/>
      <c r="GB36" s="31"/>
      <c r="GD36" s="39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20585.149999999998</v>
      </c>
      <c r="GK36" s="31">
        <f>SUBTOTAL(9, Buckets_3_24[Capacity])</f>
        <v>20650</v>
      </c>
      <c r="GL36" s="31">
        <f>SUBTOTAL(9, Buckets_3_24[Cap Diff])</f>
        <v>64.85000000000116</v>
      </c>
      <c r="GM36" s="31">
        <f>SUBTOTAL(9, Buckets_3_24[Slush])</f>
        <v>5616.16</v>
      </c>
      <c r="GQ36" s="31">
        <f>SUBTOTAL(9, Buckets_3_24[Crit To Fill])</f>
        <v>3426.2371335115986</v>
      </c>
      <c r="GS36" s="31">
        <f>SUBTOTAL(9,Buckets_3_24[NC To Fill])</f>
        <v>2254.7728664884025</v>
      </c>
      <c r="GT36" s="31">
        <f>SUBTOTAL(9, Buckets_3_24[Scaled])</f>
        <v>2189.9228664884013</v>
      </c>
      <c r="GV36" s="31">
        <f>SUBTOTAL(9, Buckets_3_24[Final])</f>
        <v>20585.149999999998</v>
      </c>
      <c r="GW36" s="31">
        <f>SUBTOTAL(9, Buckets_3_24[Unfilled])</f>
        <v>64.850000000001074</v>
      </c>
      <c r="GX36" s="33">
        <f>Buckets_3_24[[#Totals],[Final]]/Buckets_3_24[[#Totals],[Capacity]]</f>
        <v>0.99685956416464883</v>
      </c>
      <c r="GZ36" s="39">
        <f>SUM(GZ4:GZ35)</f>
        <v>20585.149999999998</v>
      </c>
      <c r="HA36" s="31">
        <f>SUM(HA4:HA35)</f>
        <v>20650</v>
      </c>
      <c r="HC36" s="31">
        <f>SUM(HC4:HC35)</f>
        <v>0</v>
      </c>
      <c r="HD36" s="31"/>
      <c r="HE36" s="31"/>
      <c r="HF36" s="31"/>
      <c r="HH36" s="39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</v>
      </c>
      <c r="HO36" s="31">
        <f>SUBTOTAL(9, Buckets_4_24[Capacity])</f>
        <v>22250</v>
      </c>
      <c r="HP36" s="31">
        <f>SUBTOTAL(9, Buckets_4_24[Cap Diff])</f>
        <v>894.34000000000196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2574.2300000000009</v>
      </c>
      <c r="HX36" s="31">
        <f>SUBTOTAL(9, Buckets_4_24[Scaled])</f>
        <v>1679.890000000001</v>
      </c>
      <c r="HZ36" s="31">
        <f>SUBTOTAL(9, Buckets_4_24[Final])</f>
        <v>21355.659999999996</v>
      </c>
      <c r="IA36" s="31">
        <f>SUBTOTAL(9, Buckets_4_24[Unfilled])</f>
        <v>894.33999999999935</v>
      </c>
      <c r="IB36" s="33">
        <f>Buckets_4_24[[#Totals],[Final]]/Buckets_4_24[[#Totals],[Capacity]]</f>
        <v>0.95980494382022452</v>
      </c>
      <c r="ID36" s="39">
        <f>SUM(ID4:ID35)</f>
        <v>21355.659999999996</v>
      </c>
      <c r="IE36" s="31">
        <f>SUM(IE4:IE35)</f>
        <v>22250</v>
      </c>
      <c r="IG36" s="31">
        <f>SUM(IG4:IG35)</f>
        <v>0</v>
      </c>
      <c r="IH36" s="31"/>
      <c r="II36" s="31"/>
      <c r="IJ36" s="31"/>
      <c r="IL36" s="39">
        <f>SUM(IL4:IL35)</f>
        <v>21355.659999999996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31"/>
      <c r="BA37" s="31"/>
      <c r="BB37" s="31"/>
      <c r="BC37" s="31"/>
      <c r="BD37" s="33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31"/>
      <c r="CE37" s="31"/>
      <c r="CF37" s="31"/>
      <c r="CG37" s="31"/>
      <c r="CH37" s="33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31"/>
      <c r="DI37" s="31"/>
      <c r="DJ37" s="31"/>
      <c r="DK37" s="31"/>
      <c r="DL37" s="33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31"/>
      <c r="EM37" s="31"/>
      <c r="EN37" s="31"/>
      <c r="EO37" s="31"/>
      <c r="EP37" s="33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31"/>
      <c r="FQ37" s="31"/>
      <c r="FR37" s="31"/>
      <c r="FS37" s="31"/>
      <c r="FT37" s="33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31"/>
      <c r="GU37" s="31"/>
      <c r="GV37" s="31"/>
      <c r="GW37" s="31"/>
      <c r="GX37" s="33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31"/>
      <c r="HY37" s="31"/>
      <c r="HZ37" s="31"/>
      <c r="IA37" s="31"/>
      <c r="IB37" s="33"/>
    </row>
    <row r="38" spans="1:248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N38" s="34"/>
      <c r="AO38" s="34"/>
      <c r="AP38" s="34"/>
      <c r="AQ38" s="34"/>
      <c r="AR38" s="34"/>
      <c r="AS38" s="34"/>
      <c r="AT38" s="35"/>
      <c r="AU38" s="35"/>
      <c r="AV38" s="35"/>
      <c r="AW38" s="36"/>
      <c r="AX38" s="35"/>
      <c r="AY38" s="36"/>
      <c r="AZ38" s="36"/>
      <c r="BA38" s="35"/>
      <c r="BB38" s="35"/>
      <c r="BC38" s="35"/>
      <c r="BD38" s="35"/>
      <c r="BR38" s="34"/>
      <c r="BS38" s="34"/>
      <c r="BT38" s="34"/>
      <c r="BU38" s="34"/>
      <c r="BV38" s="34"/>
      <c r="BW38" s="34"/>
      <c r="BX38" s="35"/>
      <c r="BY38" s="35"/>
      <c r="BZ38" s="35"/>
      <c r="CA38" s="36"/>
      <c r="CB38" s="35"/>
      <c r="CC38" s="36"/>
      <c r="CD38" s="36"/>
      <c r="CE38" s="35"/>
      <c r="CF38" s="35"/>
      <c r="CG38" s="35"/>
      <c r="CH38" s="35"/>
      <c r="CV38" s="34"/>
      <c r="CW38" s="34"/>
      <c r="CX38" s="34"/>
      <c r="CY38" s="34"/>
      <c r="CZ38" s="34"/>
      <c r="DA38" s="34"/>
      <c r="DB38" s="35"/>
      <c r="DC38" s="35"/>
      <c r="DD38" s="35"/>
      <c r="DE38" s="36"/>
      <c r="DF38" s="35"/>
      <c r="DG38" s="36"/>
      <c r="DH38" s="36"/>
      <c r="DI38" s="35"/>
      <c r="DJ38" s="35"/>
      <c r="DK38" s="35"/>
      <c r="DL38" s="35"/>
      <c r="DZ38" s="34"/>
      <c r="EA38" s="34"/>
      <c r="EB38" s="34"/>
      <c r="EC38" s="34"/>
      <c r="ED38" s="34"/>
      <c r="EE38" s="34"/>
      <c r="EF38" s="35"/>
      <c r="EG38" s="35"/>
      <c r="EH38" s="35"/>
      <c r="EI38" s="36"/>
      <c r="EJ38" s="35"/>
      <c r="EK38" s="36"/>
      <c r="EL38" s="36"/>
      <c r="EM38" s="35"/>
      <c r="EN38" s="35"/>
      <c r="EO38" s="35"/>
      <c r="EP38" s="35"/>
      <c r="FD38" s="34"/>
      <c r="FE38" s="34"/>
      <c r="FF38" s="34"/>
      <c r="FG38" s="34"/>
      <c r="FH38" s="34"/>
      <c r="FI38" s="34"/>
      <c r="FJ38" s="35"/>
      <c r="FK38" s="35"/>
      <c r="FL38" s="35"/>
      <c r="FM38" s="36"/>
      <c r="FN38" s="35"/>
      <c r="FO38" s="36"/>
      <c r="FP38" s="36"/>
      <c r="FQ38" s="35"/>
      <c r="FR38" s="35"/>
      <c r="FS38" s="35"/>
      <c r="FT38" s="35"/>
      <c r="GH38" s="34"/>
      <c r="GI38" s="34"/>
      <c r="GJ38" s="34"/>
      <c r="GK38" s="34"/>
      <c r="GL38" s="34"/>
      <c r="GM38" s="34"/>
      <c r="GN38" s="35"/>
      <c r="GO38" s="35"/>
      <c r="GP38" s="35"/>
      <c r="GQ38" s="36"/>
      <c r="GR38" s="35"/>
      <c r="GS38" s="36"/>
      <c r="GT38" s="36"/>
      <c r="GU38" s="35"/>
      <c r="GV38" s="35"/>
      <c r="GW38" s="35"/>
      <c r="GX38" s="35"/>
      <c r="HL38" s="34"/>
      <c r="HM38" s="34"/>
      <c r="HN38" s="34"/>
      <c r="HO38" s="34"/>
      <c r="HP38" s="34"/>
      <c r="HQ38" s="34"/>
      <c r="HR38" s="35"/>
      <c r="HS38" s="35"/>
      <c r="HT38" s="35"/>
      <c r="HU38" s="36"/>
      <c r="HV38" s="35"/>
      <c r="HW38" s="36"/>
      <c r="HX38" s="36"/>
      <c r="HY38" s="35"/>
      <c r="HZ38" s="35"/>
      <c r="IA38" s="35"/>
      <c r="IB38" s="35"/>
    </row>
    <row r="39" spans="1:248" x14ac:dyDescent="0.25">
      <c r="J39" s="32" t="s">
        <v>394</v>
      </c>
      <c r="AN39" s="32" t="s">
        <v>394</v>
      </c>
      <c r="BR39" s="32" t="s">
        <v>394</v>
      </c>
      <c r="CV39" s="32" t="s">
        <v>394</v>
      </c>
      <c r="DZ39" s="32" t="s">
        <v>394</v>
      </c>
      <c r="FD39" s="32" t="s">
        <v>394</v>
      </c>
      <c r="GH39" s="32" t="s">
        <v>394</v>
      </c>
      <c r="HL39" s="32" t="s">
        <v>394</v>
      </c>
    </row>
    <row r="40" spans="1:248" x14ac:dyDescent="0.25">
      <c r="T40" t="s">
        <v>385</v>
      </c>
      <c r="AX40" t="s">
        <v>385</v>
      </c>
      <c r="CB40" t="s">
        <v>385</v>
      </c>
      <c r="DF40" t="s">
        <v>385</v>
      </c>
      <c r="EJ40" t="s">
        <v>385</v>
      </c>
      <c r="FN40" t="s">
        <v>385</v>
      </c>
      <c r="GR40" t="s">
        <v>385</v>
      </c>
      <c r="HV40" t="s">
        <v>385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3302.3640283874511</v>
      </c>
      <c r="DF41" s="31">
        <f>Buckets_12_23[[#Totals],[Slush]] - Buckets_12_23[[#Totals],[Crit To Fill]]</f>
        <v>1932.3063238232899</v>
      </c>
      <c r="EJ41" s="31">
        <f>Buckets_1_24[[#Totals],[Slush]] - Buckets_1_24[[#Totals],[Crit To Fill]]</f>
        <v>1862.1101871861729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2189.9228664884013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6"/>
      <c r="AY42" s="35"/>
      <c r="AZ42" s="35"/>
      <c r="BA42" s="35"/>
      <c r="BB42" s="35"/>
      <c r="BC42" s="35"/>
      <c r="BD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6"/>
      <c r="CC42" s="35"/>
      <c r="CD42" s="35"/>
      <c r="CE42" s="35"/>
      <c r="CF42" s="35"/>
      <c r="CG42" s="35"/>
      <c r="CH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6"/>
      <c r="DG42" s="35"/>
      <c r="DH42" s="35"/>
      <c r="DI42" s="35"/>
      <c r="DJ42" s="35"/>
      <c r="DK42" s="35"/>
      <c r="DL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6"/>
      <c r="EK42" s="35"/>
      <c r="EL42" s="35"/>
      <c r="EM42" s="35"/>
      <c r="EN42" s="35"/>
      <c r="EO42" s="35"/>
      <c r="EP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6"/>
      <c r="FO42" s="35"/>
      <c r="FP42" s="35"/>
      <c r="FQ42" s="35"/>
      <c r="FR42" s="35"/>
      <c r="FS42" s="35"/>
      <c r="FT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6"/>
      <c r="GS42" s="35"/>
      <c r="GT42" s="35"/>
      <c r="GU42" s="35"/>
      <c r="GV42" s="35"/>
      <c r="GW42" s="35"/>
      <c r="GX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6"/>
      <c r="HW42" s="35"/>
      <c r="HX42" s="35"/>
      <c r="HY42" s="35"/>
      <c r="HZ42" s="35"/>
      <c r="IA42" s="35"/>
      <c r="IB42" s="35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385</v>
      </c>
      <c r="U44" t="s">
        <v>388</v>
      </c>
      <c r="V44" t="s">
        <v>390</v>
      </c>
      <c r="X44" t="s">
        <v>395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385</v>
      </c>
      <c r="AY44" t="s">
        <v>388</v>
      </c>
      <c r="AZ44" t="s">
        <v>390</v>
      </c>
      <c r="BB44" t="s">
        <v>395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385</v>
      </c>
      <c r="CC44" t="s">
        <v>388</v>
      </c>
      <c r="CD44" t="s">
        <v>390</v>
      </c>
      <c r="CF44" t="s">
        <v>395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385</v>
      </c>
      <c r="DG44" t="s">
        <v>388</v>
      </c>
      <c r="DH44" t="s">
        <v>390</v>
      </c>
      <c r="DJ44" t="s">
        <v>395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385</v>
      </c>
      <c r="EK44" t="s">
        <v>388</v>
      </c>
      <c r="EL44" t="s">
        <v>390</v>
      </c>
      <c r="EN44" t="s">
        <v>395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385</v>
      </c>
      <c r="FO44" t="s">
        <v>388</v>
      </c>
      <c r="FP44" t="s">
        <v>390</v>
      </c>
      <c r="FR44" t="s">
        <v>395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385</v>
      </c>
      <c r="GS44" t="s">
        <v>388</v>
      </c>
      <c r="GT44" t="s">
        <v>390</v>
      </c>
      <c r="GV44" t="s">
        <v>395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385</v>
      </c>
      <c r="HW44" t="s">
        <v>388</v>
      </c>
      <c r="HX44" t="s">
        <v>390</v>
      </c>
      <c r="HZ44" t="s">
        <v>395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AZ45" t="str">
        <f>IF(Buckets_10_23[[#Totals],[Scaled]]&lt;&gt;AX41, "ERROR: Scaled doesn't match slush fund", "good")</f>
        <v>good</v>
      </c>
      <c r="BB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D45" t="str">
        <f>IF(Buckets_11_23[[#Totals],[Scaled]]&lt;&gt;CB41, "ERROR: Scaled doesn't match slush fund", "good")</f>
        <v>good</v>
      </c>
      <c r="CF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H45" t="str">
        <f>IF(Buckets_12_23[[#Totals],[Scaled]]&lt;&gt;DF41, "ERROR: Scaled doesn't match slush fund", "good")</f>
        <v>good</v>
      </c>
      <c r="DJ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L45" t="str">
        <f>IF(Buckets_1_24[[#Totals],[Scaled]]&lt;&gt;EJ41, "ERROR: Scaled doesn't match slush fund", "good")</f>
        <v>good</v>
      </c>
      <c r="EN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P45" t="str">
        <f>IF(Buckets_2_24[[#Totals],[Scaled]]&lt;&gt;FN41, "ERROR: Scaled doesn't match slush fund", "good")</f>
        <v>good</v>
      </c>
      <c r="FR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T45" t="str">
        <f>IF(Buckets_3_24[[#Totals],[Scaled]]&lt;&gt;GR41, "ERROR: Scaled doesn't match slush fund", "good")</f>
        <v>good</v>
      </c>
      <c r="GV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X45" t="str">
        <f>IF(Buckets_4_24[[#Totals],[Scaled]]&lt;&gt;HV41, "ERROR: Scaled doesn't match slush fund", "good")</f>
        <v>good</v>
      </c>
      <c r="HZ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N46" s="34"/>
      <c r="AO46" s="34"/>
      <c r="AP46" s="34"/>
      <c r="AQ46" s="34"/>
      <c r="AR46" s="34"/>
      <c r="AS46" s="34"/>
      <c r="AT46" s="35"/>
      <c r="AU46" s="35"/>
      <c r="AV46" s="35"/>
      <c r="AW46" s="36"/>
      <c r="AX46" s="35"/>
      <c r="AY46" s="36"/>
      <c r="AZ46" s="36"/>
      <c r="BA46" s="35"/>
      <c r="BB46" s="35"/>
      <c r="BC46" s="35"/>
      <c r="BD46" s="35"/>
      <c r="BR46" s="34"/>
      <c r="BS46" s="34"/>
      <c r="BT46" s="34"/>
      <c r="BU46" s="34"/>
      <c r="BV46" s="34"/>
      <c r="BW46" s="34"/>
      <c r="BX46" s="35"/>
      <c r="BY46" s="35"/>
      <c r="BZ46" s="35"/>
      <c r="CA46" s="36"/>
      <c r="CB46" s="35"/>
      <c r="CC46" s="36"/>
      <c r="CD46" s="36"/>
      <c r="CE46" s="35"/>
      <c r="CF46" s="35"/>
      <c r="CG46" s="35"/>
      <c r="CH46" s="35"/>
      <c r="CV46" s="34"/>
      <c r="CW46" s="34"/>
      <c r="CX46" s="34"/>
      <c r="CY46" s="34"/>
      <c r="CZ46" s="34"/>
      <c r="DA46" s="34"/>
      <c r="DB46" s="35"/>
      <c r="DC46" s="35"/>
      <c r="DD46" s="35"/>
      <c r="DE46" s="36"/>
      <c r="DF46" s="35"/>
      <c r="DG46" s="36"/>
      <c r="DH46" s="36"/>
      <c r="DI46" s="35"/>
      <c r="DJ46" s="35"/>
      <c r="DK46" s="35"/>
      <c r="DL46" s="35"/>
      <c r="DZ46" s="34"/>
      <c r="EA46" s="34"/>
      <c r="EB46" s="34"/>
      <c r="EC46" s="34"/>
      <c r="ED46" s="34"/>
      <c r="EE46" s="34"/>
      <c r="EF46" s="35"/>
      <c r="EG46" s="35"/>
      <c r="EH46" s="35"/>
      <c r="EI46" s="36"/>
      <c r="EJ46" s="35"/>
      <c r="EK46" s="36"/>
      <c r="EL46" s="36"/>
      <c r="EM46" s="35"/>
      <c r="EN46" s="35"/>
      <c r="EO46" s="35"/>
      <c r="EP46" s="35"/>
      <c r="FD46" s="34"/>
      <c r="FE46" s="34"/>
      <c r="FF46" s="34"/>
      <c r="FG46" s="34"/>
      <c r="FH46" s="34"/>
      <c r="FI46" s="34"/>
      <c r="FJ46" s="35"/>
      <c r="FK46" s="35"/>
      <c r="FL46" s="35"/>
      <c r="FM46" s="36"/>
      <c r="FN46" s="35"/>
      <c r="FO46" s="36"/>
      <c r="FP46" s="36"/>
      <c r="FQ46" s="35"/>
      <c r="FR46" s="35"/>
      <c r="FS46" s="35"/>
      <c r="FT46" s="35"/>
      <c r="GH46" s="34"/>
      <c r="GI46" s="34"/>
      <c r="GJ46" s="34"/>
      <c r="GK46" s="34"/>
      <c r="GL46" s="34"/>
      <c r="GM46" s="34"/>
      <c r="GN46" s="35"/>
      <c r="GO46" s="35"/>
      <c r="GP46" s="35"/>
      <c r="GQ46" s="36"/>
      <c r="GR46" s="35"/>
      <c r="GS46" s="36"/>
      <c r="GT46" s="36"/>
      <c r="GU46" s="35"/>
      <c r="GV46" s="35"/>
      <c r="GW46" s="35"/>
      <c r="GX46" s="35"/>
      <c r="HL46" s="34"/>
      <c r="HM46" s="34"/>
      <c r="HN46" s="34"/>
      <c r="HO46" s="34"/>
      <c r="HP46" s="34"/>
      <c r="HQ46" s="34"/>
      <c r="HR46" s="35"/>
      <c r="HS46" s="35"/>
      <c r="HT46" s="35"/>
      <c r="HU46" s="36"/>
      <c r="HV46" s="35"/>
      <c r="HW46" s="36"/>
      <c r="HX46" s="36"/>
      <c r="HY46" s="35"/>
      <c r="HZ46" s="35"/>
      <c r="IA46" s="35"/>
      <c r="IB46" s="35"/>
    </row>
  </sheetData>
  <mergeCells count="28">
    <mergeCell ref="IL2:IN2"/>
    <mergeCell ref="GZ2:HB2"/>
    <mergeCell ref="HC2:HG2"/>
    <mergeCell ref="HH2:HJ2"/>
    <mergeCell ref="ID2:IF2"/>
    <mergeCell ref="IG2:IK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EU2:EY2"/>
    <mergeCell ref="ER2:ET2"/>
    <mergeCell ref="AE2:AI2"/>
    <mergeCell ref="BI2:BM2"/>
    <mergeCell ref="CM2:CQ2"/>
    <mergeCell ref="DQ2:DU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2024-05-27T18:35:02Z</dcterms:modified>
</cp:coreProperties>
</file>