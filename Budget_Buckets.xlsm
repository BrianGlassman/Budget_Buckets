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E96ABB84-7263-46AD-9145-E3C33A272051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" i="4" l="1"/>
  <c r="BH4" i="4"/>
  <c r="AK21" i="4"/>
  <c r="CS21" i="4"/>
  <c r="CS20" i="4"/>
  <c r="CS18" i="4"/>
  <c r="CS17" i="4"/>
  <c r="CS12" i="4"/>
  <c r="CS11" i="4"/>
  <c r="CS10" i="4"/>
  <c r="CS9" i="4"/>
  <c r="FA25" i="4"/>
  <c r="GE26" i="4"/>
  <c r="GE20" i="4"/>
  <c r="GE13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G25" i="4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M4" i="4"/>
  <c r="FE7" i="4"/>
  <c r="EA14" i="4"/>
  <c r="GI7" i="4"/>
  <c r="AK5" i="4" l="1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P4" i="4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HM27" i="4"/>
  <c r="FE19" i="4"/>
  <c r="GI10" i="4"/>
  <c r="HM11" i="4"/>
  <c r="HM26" i="4"/>
  <c r="FE8" i="4"/>
  <c r="FE27" i="4"/>
  <c r="FE6" i="4"/>
  <c r="GI35" i="4"/>
  <c r="FE4" i="4"/>
  <c r="EA5" i="4"/>
  <c r="HM9" i="4"/>
  <c r="EA26" i="4"/>
  <c r="GI19" i="4"/>
  <c r="GI14" i="4"/>
  <c r="EA27" i="4"/>
  <c r="HM34" i="4"/>
  <c r="EA22" i="4"/>
  <c r="EA12" i="4"/>
  <c r="HM21" i="4"/>
  <c r="GI30" i="4"/>
  <c r="GI34" i="4"/>
  <c r="GI18" i="4"/>
  <c r="EA29" i="4"/>
  <c r="EA20" i="4"/>
  <c r="EA15" i="4"/>
  <c r="FE35" i="4"/>
  <c r="HM10" i="4"/>
  <c r="EA19" i="4"/>
  <c r="GI24" i="4"/>
  <c r="FE29" i="4"/>
  <c r="GI33" i="4"/>
  <c r="FE24" i="4"/>
  <c r="GI25" i="4"/>
  <c r="EA30" i="4"/>
  <c r="FE10" i="4"/>
  <c r="HM25" i="4"/>
  <c r="FE20" i="4"/>
  <c r="GI23" i="4"/>
  <c r="FE32" i="4"/>
  <c r="GI17" i="4"/>
  <c r="EA25" i="4"/>
  <c r="HM33" i="4"/>
  <c r="GI6" i="4"/>
  <c r="EA11" i="4"/>
  <c r="FE11" i="4"/>
  <c r="GI31" i="4"/>
  <c r="EA28" i="4"/>
  <c r="FE16" i="4"/>
  <c r="EA33" i="4"/>
  <c r="FE34" i="4"/>
  <c r="EA21" i="4"/>
  <c r="HM20" i="4"/>
  <c r="EA34" i="4"/>
  <c r="EA35" i="4"/>
  <c r="GI11" i="4"/>
  <c r="GI22" i="4"/>
  <c r="EA9" i="4"/>
  <c r="FE31" i="4"/>
  <c r="GI29" i="4"/>
  <c r="FE17" i="4"/>
  <c r="FE33" i="4"/>
  <c r="HM30" i="4"/>
  <c r="FE21" i="4"/>
  <c r="HM5" i="4"/>
  <c r="HM32" i="4"/>
  <c r="EA23" i="4"/>
  <c r="FE13" i="4"/>
  <c r="FE22" i="4"/>
  <c r="FE14" i="4"/>
  <c r="EA10" i="4"/>
  <c r="EA31" i="4"/>
  <c r="HM8" i="4"/>
  <c r="GI15" i="4"/>
  <c r="GI4" i="4"/>
  <c r="HM12" i="4"/>
  <c r="EA8" i="4"/>
  <c r="GI13" i="4"/>
  <c r="FE26" i="4"/>
  <c r="HM7" i="4"/>
  <c r="HM18" i="4"/>
  <c r="EA17" i="4"/>
  <c r="HM22" i="4"/>
  <c r="FE5" i="4"/>
  <c r="GI26" i="4"/>
  <c r="EA7" i="4"/>
  <c r="EA32" i="4"/>
  <c r="HM15" i="4"/>
  <c r="EA18" i="4"/>
  <c r="GI20" i="4"/>
  <c r="EA4" i="4"/>
  <c r="GI12" i="4"/>
  <c r="HM23" i="4"/>
  <c r="GI32" i="4"/>
  <c r="FE12" i="4"/>
  <c r="FE28" i="4"/>
  <c r="HM14" i="4"/>
  <c r="FE25" i="4"/>
  <c r="HM35" i="4"/>
  <c r="EA6" i="4"/>
  <c r="HM6" i="4"/>
  <c r="FE9" i="4"/>
  <c r="HM17" i="4"/>
  <c r="HM28" i="4"/>
  <c r="HM19" i="4"/>
  <c r="GI21" i="4"/>
  <c r="GI5" i="4"/>
  <c r="EA24" i="4"/>
  <c r="HM31" i="4"/>
  <c r="GI16" i="4"/>
  <c r="GI27" i="4"/>
  <c r="FE30" i="4"/>
  <c r="HM16" i="4"/>
  <c r="FE15" i="4"/>
  <c r="FE18" i="4"/>
  <c r="HM29" i="4"/>
  <c r="HM13" i="4"/>
  <c r="FE23" i="4"/>
  <c r="EA13" i="4"/>
  <c r="EA16" i="4"/>
  <c r="HM24" i="4"/>
  <c r="GI8" i="4"/>
  <c r="GI28" i="4"/>
  <c r="GI9" i="4"/>
  <c r="AC36" i="4" l="1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7" i="6"/>
  <c r="EA36" i="4"/>
  <c r="EA45" i="4"/>
  <c r="AC7" i="6"/>
  <c r="O7" i="6"/>
  <c r="CY12" i="4"/>
  <c r="DO12" i="4" s="1"/>
  <c r="DW12" i="4" s="1"/>
  <c r="CY20" i="4"/>
  <c r="DO20" i="4" s="1"/>
  <c r="DW20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O25" i="4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7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W25" i="4" s="1"/>
  <c r="CY34" i="4"/>
  <c r="CY29" i="4"/>
  <c r="DO29" i="4" s="1"/>
  <c r="CY32" i="4"/>
  <c r="EC23" i="4"/>
  <c r="EC31" i="4"/>
  <c r="BU4" i="4"/>
  <c r="BO36" i="4"/>
  <c r="IE4" i="4"/>
  <c r="EC12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BS31" i="4"/>
  <c r="AO5" i="4"/>
  <c r="K10" i="4"/>
  <c r="K5" i="4"/>
  <c r="K21" i="4"/>
  <c r="K15" i="4"/>
  <c r="CW7" i="4"/>
  <c r="AO16" i="4"/>
  <c r="BS30" i="4"/>
  <c r="BS32" i="4"/>
  <c r="CW18" i="4"/>
  <c r="CW32" i="4"/>
  <c r="BS24" i="4"/>
  <c r="CW13" i="4"/>
  <c r="BS35" i="4"/>
  <c r="AO27" i="4"/>
  <c r="BS34" i="4"/>
  <c r="CW14" i="4"/>
  <c r="AO21" i="4"/>
  <c r="K8" i="4"/>
  <c r="CW6" i="4"/>
  <c r="BS16" i="4"/>
  <c r="AO25" i="4"/>
  <c r="K28" i="4"/>
  <c r="AO28" i="4"/>
  <c r="K34" i="4"/>
  <c r="CW35" i="4"/>
  <c r="CW12" i="4"/>
  <c r="CW26" i="4"/>
  <c r="K27" i="4"/>
  <c r="K16" i="4"/>
  <c r="BS7" i="4"/>
  <c r="BS17" i="4"/>
  <c r="K18" i="4"/>
  <c r="AO30" i="4"/>
  <c r="K7" i="4"/>
  <c r="AO10" i="4"/>
  <c r="CW24" i="4"/>
  <c r="CW29" i="4"/>
  <c r="AO32" i="4"/>
  <c r="CW15" i="4"/>
  <c r="CW16" i="4"/>
  <c r="CW8" i="4"/>
  <c r="CW21" i="4"/>
  <c r="AO33" i="4"/>
  <c r="AO26" i="4"/>
  <c r="K31" i="4"/>
  <c r="BS18" i="4"/>
  <c r="BS9" i="4"/>
  <c r="K24" i="4"/>
  <c r="BS29" i="4"/>
  <c r="AO31" i="4"/>
  <c r="CW9" i="4"/>
  <c r="K13" i="4"/>
  <c r="K17" i="4"/>
  <c r="AO8" i="4"/>
  <c r="AO18" i="4"/>
  <c r="K35" i="4"/>
  <c r="K30" i="4"/>
  <c r="AO22" i="4"/>
  <c r="K23" i="4"/>
  <c r="CW23" i="4"/>
  <c r="BS20" i="4"/>
  <c r="AO17" i="4"/>
  <c r="AO7" i="4"/>
  <c r="AO9" i="4"/>
  <c r="CW19" i="4"/>
  <c r="K6" i="4"/>
  <c r="CW27" i="4"/>
  <c r="CW20" i="4"/>
  <c r="BS26" i="4"/>
  <c r="AO4" i="4"/>
  <c r="K29" i="4"/>
  <c r="K22" i="4"/>
  <c r="BS10" i="4"/>
  <c r="AO14" i="4"/>
  <c r="CW34" i="4"/>
  <c r="AO13" i="4"/>
  <c r="CW30" i="4"/>
  <c r="BS8" i="4"/>
  <c r="K33" i="4"/>
  <c r="BS6" i="4"/>
  <c r="CW31" i="4"/>
  <c r="BS22" i="4"/>
  <c r="BS21" i="4"/>
  <c r="K25" i="4"/>
  <c r="BS12" i="4"/>
  <c r="CW28" i="4"/>
  <c r="CW5" i="4"/>
  <c r="AO20" i="4"/>
  <c r="AO34" i="4"/>
  <c r="AO23" i="4"/>
  <c r="AO12" i="4"/>
  <c r="AO24" i="4"/>
  <c r="K9" i="4"/>
  <c r="BS27" i="4"/>
  <c r="BS33" i="4"/>
  <c r="K20" i="4"/>
  <c r="AO11" i="4"/>
  <c r="CW33" i="4"/>
  <c r="AO6" i="4"/>
  <c r="BS15" i="4"/>
  <c r="AO19" i="4"/>
  <c r="AO15" i="4"/>
  <c r="BS11" i="4"/>
  <c r="K32" i="4"/>
  <c r="BS13" i="4"/>
  <c r="K12" i="4"/>
  <c r="CW4" i="4"/>
  <c r="BS25" i="4"/>
  <c r="CW11" i="4"/>
  <c r="BS5" i="4"/>
  <c r="CW17" i="4"/>
  <c r="K26" i="4"/>
  <c r="BS23" i="4"/>
  <c r="BS4" i="4"/>
  <c r="K11" i="4"/>
  <c r="CW10" i="4"/>
  <c r="CW22" i="4"/>
  <c r="K19" i="4"/>
  <c r="K4" i="4"/>
  <c r="BS14" i="4"/>
  <c r="BS28" i="4"/>
  <c r="BS19" i="4"/>
  <c r="AO35" i="4"/>
  <c r="AO29" i="4"/>
  <c r="CW25" i="4"/>
  <c r="K14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R33" i="4" s="1"/>
  <c r="L8" i="4"/>
  <c r="R8" i="4" s="1"/>
  <c r="L7" i="4"/>
  <c r="R7" i="4" s="1"/>
  <c r="L6" i="4"/>
  <c r="R6" i="4" s="1"/>
  <c r="L31" i="4"/>
  <c r="R31" i="4" s="1"/>
  <c r="L30" i="4"/>
  <c r="R30" i="4" s="1"/>
  <c r="L4" i="4"/>
  <c r="R4" i="4" s="1"/>
  <c r="K36" i="4"/>
  <c r="BS36" i="4"/>
  <c r="L13" i="4"/>
  <c r="R13" i="4" s="1"/>
  <c r="L26" i="4"/>
  <c r="R26" i="4" s="1"/>
  <c r="L28" i="4"/>
  <c r="R28" i="4" s="1"/>
  <c r="L9" i="4"/>
  <c r="R9" i="4" s="1"/>
  <c r="L18" i="4"/>
  <c r="R18" i="4" s="1"/>
  <c r="L20" i="4"/>
  <c r="R20" i="4" s="1"/>
  <c r="L15" i="4"/>
  <c r="R15" i="4" s="1"/>
  <c r="L10" i="4"/>
  <c r="R10" i="4" s="1"/>
  <c r="L12" i="4"/>
  <c r="R12" i="4" s="1"/>
  <c r="L11" i="4"/>
  <c r="R11" i="4" s="1"/>
  <c r="AO36" i="4"/>
  <c r="L5" i="4"/>
  <c r="R5" i="4" s="1"/>
  <c r="L35" i="4"/>
  <c r="R35" i="4" s="1"/>
  <c r="L16" i="4"/>
  <c r="R16" i="4" s="1"/>
  <c r="L32" i="4"/>
  <c r="R32" i="4" s="1"/>
  <c r="L29" i="4"/>
  <c r="R29" i="4" s="1"/>
  <c r="L34" i="4"/>
  <c r="R34" i="4" s="1"/>
  <c r="L27" i="4"/>
  <c r="R27" i="4" s="1"/>
  <c r="L25" i="4"/>
  <c r="R25" i="4" s="1"/>
  <c r="L14" i="4"/>
  <c r="R14" i="4" s="1"/>
  <c r="L23" i="4"/>
  <c r="R23" i="4" s="1"/>
  <c r="L22" i="4"/>
  <c r="R22" i="4" s="1"/>
  <c r="L21" i="4"/>
  <c r="R21" i="4" s="1"/>
  <c r="L24" i="4"/>
  <c r="R24" i="4" s="1"/>
  <c r="L19" i="4"/>
  <c r="R19" i="4" s="1"/>
  <c r="L17" i="4"/>
  <c r="R17" i="4" s="1"/>
  <c r="M7" i="3"/>
  <c r="AC7" i="3"/>
  <c r="AH7" i="3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O25" i="4" s="1"/>
  <c r="N19" i="4"/>
  <c r="O19" i="4" s="1"/>
  <c r="N12" i="4"/>
  <c r="O12" i="4" s="1"/>
  <c r="N13" i="4"/>
  <c r="O13" i="4" s="1"/>
  <c r="N24" i="4"/>
  <c r="O24" i="4" s="1"/>
  <c r="N10" i="4"/>
  <c r="O10" i="4" s="1"/>
  <c r="N21" i="4"/>
  <c r="O21" i="4" s="1"/>
  <c r="N32" i="4"/>
  <c r="O32" i="4" s="1"/>
  <c r="N15" i="4"/>
  <c r="O15" i="4" s="1"/>
  <c r="N34" i="4"/>
  <c r="O34" i="4" s="1"/>
  <c r="N8" i="4"/>
  <c r="O8" i="4" s="1"/>
  <c r="N29" i="4"/>
  <c r="O29" i="4" s="1"/>
  <c r="N22" i="4"/>
  <c r="O22" i="4" s="1"/>
  <c r="N16" i="4"/>
  <c r="O16" i="4" s="1"/>
  <c r="N20" i="4"/>
  <c r="O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O14" i="4" s="1"/>
  <c r="N5" i="4"/>
  <c r="O5" i="4" s="1"/>
  <c r="N9" i="4"/>
  <c r="O9" i="4" s="1"/>
  <c r="N31" i="4"/>
  <c r="O31" i="4" s="1"/>
  <c r="N28" i="4"/>
  <c r="O28" i="4" s="1"/>
  <c r="N6" i="4"/>
  <c r="O6" i="4" s="1"/>
  <c r="N17" i="4"/>
  <c r="O17" i="4" s="1"/>
  <c r="N27" i="4"/>
  <c r="O27" i="4" s="1"/>
  <c r="N11" i="4"/>
  <c r="O11" i="4" s="1"/>
  <c r="N26" i="4"/>
  <c r="O26" i="4" s="1"/>
  <c r="N7" i="4"/>
  <c r="O7" i="4" s="1"/>
  <c r="N33" i="4"/>
  <c r="O33" i="4" s="1"/>
  <c r="AI7" i="3"/>
  <c r="IE34" i="4" l="1"/>
  <c r="IM34" i="4" s="1"/>
  <c r="HA32" i="4"/>
  <c r="HI32" i="4" s="1"/>
  <c r="HO32" i="4" s="1"/>
  <c r="FA22" i="4"/>
  <c r="FG22" i="4" s="1"/>
  <c r="FG36" i="4" s="1"/>
  <c r="DO36" i="4"/>
  <c r="HA12" i="4"/>
  <c r="HI12" i="4" s="1"/>
  <c r="N36" i="4"/>
  <c r="FA36" i="4" l="1"/>
  <c r="IE32" i="4"/>
  <c r="IM32" i="4" s="1"/>
  <c r="FW22" i="4"/>
  <c r="GE22" i="4" s="1"/>
  <c r="EC4" i="4"/>
  <c r="DW36" i="4"/>
  <c r="FW36" i="4" l="1"/>
  <c r="ES4" i="4"/>
  <c r="ES36" i="4" s="1"/>
  <c r="EC36" i="4"/>
  <c r="GK22" i="4"/>
  <c r="GE36" i="4"/>
  <c r="HO12" i="4"/>
  <c r="IE12" i="4" l="1"/>
  <c r="HA22" i="4"/>
  <c r="HI22" i="4" s="1"/>
  <c r="GK36" i="4"/>
  <c r="CL12" i="4"/>
  <c r="CT12" i="4" s="1"/>
  <c r="HA36" i="4" l="1"/>
  <c r="IM12" i="4"/>
  <c r="DP12" i="4"/>
  <c r="DX12" i="4" s="1"/>
  <c r="HO22" i="4" l="1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DP4" i="4" l="1"/>
  <c r="DX4" i="4" s="1"/>
  <c r="ET4" i="4" l="1"/>
  <c r="FB4" i="4" s="1"/>
  <c r="FX4" i="4" s="1"/>
  <c r="GF4" i="4" s="1"/>
  <c r="HB4" i="4" s="1"/>
  <c r="HJ4" i="4" s="1"/>
  <c r="IF4" i="4" s="1"/>
  <c r="IN4" i="4" s="1"/>
  <c r="CL6" i="4"/>
  <c r="CL15" i="4"/>
  <c r="P10" i="4"/>
  <c r="Q10" i="4" s="1"/>
  <c r="P16" i="4"/>
  <c r="P23" i="4"/>
  <c r="P25" i="4"/>
  <c r="Q25" i="4" s="1"/>
  <c r="P28" i="4"/>
  <c r="Q28" i="4" s="1"/>
  <c r="P27" i="4"/>
  <c r="P15" i="4"/>
  <c r="Q15" i="4" s="1"/>
  <c r="P35" i="4"/>
  <c r="Q35" i="4" s="1"/>
  <c r="P24" i="4"/>
  <c r="Q24" i="4" s="1"/>
  <c r="P9" i="4"/>
  <c r="P20" i="4"/>
  <c r="Q20" i="4" s="1"/>
  <c r="P17" i="4"/>
  <c r="Q17" i="4" s="1"/>
  <c r="P18" i="4"/>
  <c r="Q18" i="4" s="1"/>
  <c r="P33" i="4"/>
  <c r="Q33" i="4" s="1"/>
  <c r="P32" i="4"/>
  <c r="P8" i="4"/>
  <c r="Q8" i="4" s="1"/>
  <c r="P11" i="4"/>
  <c r="Q11" i="4" s="1"/>
  <c r="P30" i="4"/>
  <c r="Q30" i="4" s="1"/>
  <c r="P22" i="4"/>
  <c r="Q22" i="4" s="1"/>
  <c r="P14" i="4"/>
  <c r="Q14" i="4" s="1"/>
  <c r="P31" i="4"/>
  <c r="Q31" i="4" s="1"/>
  <c r="P29" i="4"/>
  <c r="Q29" i="4" s="1"/>
  <c r="P34" i="4"/>
  <c r="Q34" i="4" s="1"/>
  <c r="P21" i="4"/>
  <c r="Q21" i="4" s="1"/>
  <c r="P7" i="4"/>
  <c r="Q7" i="4" s="1"/>
  <c r="P19" i="4"/>
  <c r="Q19" i="4" s="1"/>
  <c r="P26" i="4"/>
  <c r="Q26" i="4" s="1"/>
  <c r="P12" i="4"/>
  <c r="Q12" i="4" s="1"/>
  <c r="P13" i="4"/>
  <c r="Q13" i="4" s="1"/>
  <c r="P5" i="4"/>
  <c r="Q5" i="4" s="1"/>
  <c r="P6" i="4"/>
  <c r="Q6" i="4" l="1"/>
  <c r="Q27" i="4"/>
  <c r="Q9" i="4"/>
  <c r="Q32" i="4"/>
  <c r="Q23" i="4"/>
  <c r="Q16" i="4"/>
  <c r="O36" i="4" l="1"/>
  <c r="O45" i="4" s="1"/>
  <c r="P4" i="4"/>
  <c r="Q4" i="4" s="1"/>
  <c r="U8" i="4"/>
  <c r="U6" i="4"/>
  <c r="U4" i="4"/>
  <c r="U10" i="4"/>
  <c r="U23" i="4"/>
  <c r="U17" i="4"/>
  <c r="U35" i="4"/>
  <c r="U12" i="4"/>
  <c r="U14" i="4"/>
  <c r="U18" i="4"/>
  <c r="U19" i="4"/>
  <c r="U7" i="4"/>
  <c r="U33" i="4"/>
  <c r="U28" i="4"/>
  <c r="U29" i="4"/>
  <c r="U25" i="4"/>
  <c r="U34" i="4"/>
  <c r="U5" i="4"/>
  <c r="U22" i="4"/>
  <c r="U31" i="4"/>
  <c r="U11" i="4"/>
  <c r="U24" i="4"/>
  <c r="U21" i="4"/>
  <c r="U32" i="4"/>
  <c r="U26" i="4"/>
  <c r="U20" i="4"/>
  <c r="U15" i="4"/>
  <c r="U9" i="4"/>
  <c r="U27" i="4"/>
  <c r="U16" i="4"/>
  <c r="U30" i="4"/>
  <c r="U13" i="4"/>
  <c r="S32" i="4"/>
  <c r="T32" i="4" s="1"/>
  <c r="S5" i="4"/>
  <c r="T5" i="4"/>
  <c r="S6" i="4"/>
  <c r="T6" i="4"/>
  <c r="S30" i="4"/>
  <c r="T30" i="4" s="1"/>
  <c r="S25" i="4"/>
  <c r="T25" i="4" s="1"/>
  <c r="S31" i="4"/>
  <c r="T31" i="4" s="1"/>
  <c r="S9" i="4"/>
  <c r="T9" i="4"/>
  <c r="S12" i="4"/>
  <c r="T12" i="4" s="1"/>
  <c r="S22" i="4"/>
  <c r="T22" i="4"/>
  <c r="S29" i="4"/>
  <c r="T29" i="4" s="1"/>
  <c r="S10" i="4"/>
  <c r="T10" i="4" s="1"/>
  <c r="S8" i="4"/>
  <c r="T8" i="4" s="1"/>
  <c r="S14" i="4"/>
  <c r="T14" i="4" s="1"/>
  <c r="S21" i="4"/>
  <c r="T21" i="4"/>
  <c r="S27" i="4"/>
  <c r="T27" i="4" s="1"/>
  <c r="S26" i="4"/>
  <c r="T26" i="4" s="1"/>
  <c r="S11" i="4"/>
  <c r="T11" i="4" s="1"/>
  <c r="S7" i="4"/>
  <c r="T7" i="4"/>
  <c r="S35" i="4"/>
  <c r="T35" i="4" s="1"/>
  <c r="S28" i="4"/>
  <c r="T28" i="4"/>
  <c r="S33" i="4"/>
  <c r="T33" i="4" s="1"/>
  <c r="S20" i="4"/>
  <c r="T20" i="4" s="1"/>
  <c r="S13" i="4"/>
  <c r="T13" i="4"/>
  <c r="S18" i="4"/>
  <c r="T18" i="4" s="1"/>
  <c r="S15" i="4"/>
  <c r="T15" i="4" s="1"/>
  <c r="S24" i="4"/>
  <c r="T24" i="4"/>
  <c r="S19" i="4"/>
  <c r="T19" i="4" s="1"/>
  <c r="S17" i="4"/>
  <c r="T17" i="4" s="1"/>
  <c r="S23" i="4"/>
  <c r="T23" i="4" s="1"/>
  <c r="S16" i="4"/>
  <c r="T16" i="4" s="1"/>
  <c r="S34" i="4"/>
  <c r="T34" i="4" s="1"/>
  <c r="S4" i="4"/>
  <c r="T4" i="4"/>
  <c r="U36" i="4" l="1"/>
  <c r="S36" i="4"/>
  <c r="T41" i="4" l="1"/>
  <c r="S45" i="4"/>
  <c r="V24" i="4" l="1"/>
  <c r="W24" i="4" s="1"/>
  <c r="X24" i="4" s="1"/>
  <c r="Y24" i="4" s="1"/>
  <c r="V32" i="4"/>
  <c r="W32" i="4" s="1"/>
  <c r="X32" i="4" s="1"/>
  <c r="Y32" i="4" s="1"/>
  <c r="V9" i="4"/>
  <c r="W9" i="4" s="1"/>
  <c r="X9" i="4" s="1"/>
  <c r="Y9" i="4" s="1"/>
  <c r="V15" i="4"/>
  <c r="W15" i="4" s="1"/>
  <c r="X15" i="4" s="1"/>
  <c r="Y15" i="4" s="1"/>
  <c r="V6" i="4"/>
  <c r="W6" i="4" s="1"/>
  <c r="X6" i="4" s="1"/>
  <c r="Y6" i="4" s="1"/>
  <c r="V34" i="4"/>
  <c r="W34" i="4" s="1"/>
  <c r="X34" i="4" s="1"/>
  <c r="Y34" i="4" s="1"/>
  <c r="V12" i="4"/>
  <c r="W12" i="4" s="1"/>
  <c r="X12" i="4" s="1"/>
  <c r="Y12" i="4" s="1"/>
  <c r="V26" i="4"/>
  <c r="W26" i="4" s="1"/>
  <c r="X26" i="4" s="1"/>
  <c r="Y26" i="4" s="1"/>
  <c r="V13" i="4"/>
  <c r="W13" i="4" s="1"/>
  <c r="X13" i="4" s="1"/>
  <c r="Y13" i="4" s="1"/>
  <c r="V20" i="4"/>
  <c r="W20" i="4" s="1"/>
  <c r="X20" i="4" s="1"/>
  <c r="Y20" i="4" s="1"/>
  <c r="V21" i="4"/>
  <c r="W21" i="4" s="1"/>
  <c r="X21" i="4" s="1"/>
  <c r="Y21" i="4" s="1"/>
  <c r="V29" i="4"/>
  <c r="W29" i="4" s="1"/>
  <c r="X29" i="4" s="1"/>
  <c r="Y29" i="4" s="1"/>
  <c r="V30" i="4"/>
  <c r="W30" i="4" s="1"/>
  <c r="X30" i="4" s="1"/>
  <c r="Y30" i="4" s="1"/>
  <c r="V25" i="4"/>
  <c r="V31" i="4"/>
  <c r="W31" i="4" s="1"/>
  <c r="X31" i="4" s="1"/>
  <c r="Y31" i="4" s="1"/>
  <c r="V16" i="4"/>
  <c r="W16" i="4" s="1"/>
  <c r="X16" i="4" s="1"/>
  <c r="Y16" i="4" s="1"/>
  <c r="V10" i="4"/>
  <c r="W10" i="4" s="1"/>
  <c r="X10" i="4" s="1"/>
  <c r="Y10" i="4" s="1"/>
  <c r="V18" i="4"/>
  <c r="W18" i="4" s="1"/>
  <c r="X18" i="4" s="1"/>
  <c r="Y18" i="4" s="1"/>
  <c r="V7" i="4"/>
  <c r="W7" i="4" s="1"/>
  <c r="X7" i="4" s="1"/>
  <c r="Y7" i="4" s="1"/>
  <c r="V11" i="4"/>
  <c r="W11" i="4" s="1"/>
  <c r="X11" i="4" s="1"/>
  <c r="Y11" i="4" s="1"/>
  <c r="V22" i="4"/>
  <c r="W22" i="4" s="1"/>
  <c r="X22" i="4" s="1"/>
  <c r="Y22" i="4" s="1"/>
  <c r="V19" i="4"/>
  <c r="W19" i="4" s="1"/>
  <c r="X19" i="4" s="1"/>
  <c r="Y19" i="4" s="1"/>
  <c r="V5" i="4"/>
  <c r="W5" i="4" s="1"/>
  <c r="X5" i="4" s="1"/>
  <c r="Y5" i="4" s="1"/>
  <c r="V35" i="4"/>
  <c r="W35" i="4" s="1"/>
  <c r="X35" i="4" s="1"/>
  <c r="Y35" i="4" s="1"/>
  <c r="V14" i="4"/>
  <c r="W14" i="4" s="1"/>
  <c r="X14" i="4" s="1"/>
  <c r="Y14" i="4" s="1"/>
  <c r="V17" i="4"/>
  <c r="W17" i="4" s="1"/>
  <c r="X17" i="4" s="1"/>
  <c r="Y17" i="4" s="1"/>
  <c r="V28" i="4"/>
  <c r="W28" i="4" s="1"/>
  <c r="X28" i="4" s="1"/>
  <c r="Y28" i="4" s="1"/>
  <c r="V8" i="4"/>
  <c r="W8" i="4" s="1"/>
  <c r="X8" i="4" s="1"/>
  <c r="Y8" i="4" s="1"/>
  <c r="V4" i="4"/>
  <c r="T45" i="4"/>
  <c r="V27" i="4"/>
  <c r="W27" i="4" s="1"/>
  <c r="X27" i="4" s="1"/>
  <c r="Y27" i="4" s="1"/>
  <c r="V33" i="4"/>
  <c r="W33" i="4" s="1"/>
  <c r="X33" i="4" s="1"/>
  <c r="Y33" i="4" s="1"/>
  <c r="V23" i="4"/>
  <c r="W23" i="4" s="1"/>
  <c r="X23" i="4" s="1"/>
  <c r="Y23" i="4" s="1"/>
  <c r="U45" i="4"/>
  <c r="Z20" i="4" l="1"/>
  <c r="AB20" i="4"/>
  <c r="AJ20" i="4" s="1"/>
  <c r="AN20" i="4" s="1"/>
  <c r="AP20" i="4" s="1"/>
  <c r="Z10" i="4"/>
  <c r="AB10" i="4"/>
  <c r="AJ10" i="4" s="1"/>
  <c r="AN10" i="4" s="1"/>
  <c r="AP10" i="4" s="1"/>
  <c r="Z33" i="4"/>
  <c r="AB33" i="4"/>
  <c r="AJ33" i="4" s="1"/>
  <c r="AN33" i="4" s="1"/>
  <c r="AP33" i="4" s="1"/>
  <c r="Z16" i="4"/>
  <c r="AB16" i="4"/>
  <c r="AJ16" i="4" s="1"/>
  <c r="AN16" i="4" s="1"/>
  <c r="AP16" i="4" s="1"/>
  <c r="Z26" i="4"/>
  <c r="AB26" i="4"/>
  <c r="AJ26" i="4" s="1"/>
  <c r="AN26" i="4" s="1"/>
  <c r="AP26" i="4" s="1"/>
  <c r="Z27" i="4"/>
  <c r="AB27" i="4"/>
  <c r="AJ27" i="4" s="1"/>
  <c r="AN27" i="4" s="1"/>
  <c r="AP27" i="4" s="1"/>
  <c r="Z5" i="4"/>
  <c r="AB5" i="4"/>
  <c r="AJ5" i="4" s="1"/>
  <c r="AN5" i="4" s="1"/>
  <c r="AP5" i="4" s="1"/>
  <c r="Z31" i="4"/>
  <c r="AB31" i="4"/>
  <c r="AJ31" i="4" s="1"/>
  <c r="AN31" i="4" s="1"/>
  <c r="AP31" i="4" s="1"/>
  <c r="Z12" i="4"/>
  <c r="AB12" i="4"/>
  <c r="AJ12" i="4" s="1"/>
  <c r="AN12" i="4" s="1"/>
  <c r="AP12" i="4" s="1"/>
  <c r="Z19" i="4"/>
  <c r="AB19" i="4"/>
  <c r="AJ19" i="4" s="1"/>
  <c r="AN19" i="4" s="1"/>
  <c r="AP19" i="4" s="1"/>
  <c r="Z34" i="4"/>
  <c r="AB34" i="4"/>
  <c r="AJ34" i="4" s="1"/>
  <c r="AN34" i="4" s="1"/>
  <c r="AP34" i="4" s="1"/>
  <c r="Z17" i="4"/>
  <c r="AB17" i="4"/>
  <c r="AJ17" i="4" s="1"/>
  <c r="AN17" i="4" s="1"/>
  <c r="AP17" i="4" s="1"/>
  <c r="Z23" i="4"/>
  <c r="AB23" i="4"/>
  <c r="AJ23" i="4" s="1"/>
  <c r="AN23" i="4" s="1"/>
  <c r="AP23" i="4" s="1"/>
  <c r="Z24" i="4"/>
  <c r="AB24" i="4"/>
  <c r="AJ24" i="4" s="1"/>
  <c r="AN24" i="4" s="1"/>
  <c r="AP24" i="4" s="1"/>
  <c r="Z22" i="4"/>
  <c r="AB22" i="4"/>
  <c r="AJ22" i="4" s="1"/>
  <c r="AN22" i="4" s="1"/>
  <c r="AP22" i="4" s="1"/>
  <c r="Z6" i="4"/>
  <c r="AB6" i="4"/>
  <c r="AJ6" i="4" s="1"/>
  <c r="AN6" i="4" s="1"/>
  <c r="AP6" i="4" s="1"/>
  <c r="Z8" i="4"/>
  <c r="AB8" i="4"/>
  <c r="AJ8" i="4" s="1"/>
  <c r="AN8" i="4" s="1"/>
  <c r="AP8" i="4" s="1"/>
  <c r="Z11" i="4"/>
  <c r="AB11" i="4"/>
  <c r="AJ11" i="4" s="1"/>
  <c r="AN11" i="4" s="1"/>
  <c r="AP11" i="4" s="1"/>
  <c r="Z29" i="4"/>
  <c r="AB29" i="4"/>
  <c r="AJ29" i="4" s="1"/>
  <c r="AN29" i="4" s="1"/>
  <c r="AP29" i="4" s="1"/>
  <c r="Z15" i="4"/>
  <c r="AB15" i="4"/>
  <c r="AJ15" i="4" s="1"/>
  <c r="AN15" i="4" s="1"/>
  <c r="AP15" i="4" s="1"/>
  <c r="Z18" i="4"/>
  <c r="AB18" i="4"/>
  <c r="AJ18" i="4" s="1"/>
  <c r="AN18" i="4" s="1"/>
  <c r="AP18" i="4" s="1"/>
  <c r="Z14" i="4"/>
  <c r="AB14" i="4"/>
  <c r="AJ14" i="4" s="1"/>
  <c r="AN14" i="4" s="1"/>
  <c r="AP14" i="4" s="1"/>
  <c r="Z35" i="4"/>
  <c r="AB35" i="4"/>
  <c r="AJ35" i="4" s="1"/>
  <c r="AN35" i="4" s="1"/>
  <c r="AP35" i="4" s="1"/>
  <c r="V36" i="4"/>
  <c r="W25" i="4" s="1"/>
  <c r="X25" i="4" s="1"/>
  <c r="Y25" i="4" s="1"/>
  <c r="W4" i="4"/>
  <c r="Z30" i="4"/>
  <c r="AB30" i="4"/>
  <c r="AJ30" i="4" s="1"/>
  <c r="AN30" i="4" s="1"/>
  <c r="AP30" i="4" s="1"/>
  <c r="Z28" i="4"/>
  <c r="AB28" i="4"/>
  <c r="AJ28" i="4" s="1"/>
  <c r="AN28" i="4" s="1"/>
  <c r="AP28" i="4" s="1"/>
  <c r="Z7" i="4"/>
  <c r="AB7" i="4"/>
  <c r="AJ7" i="4" s="1"/>
  <c r="AN7" i="4" s="1"/>
  <c r="AP7" i="4" s="1"/>
  <c r="Z21" i="4"/>
  <c r="AB21" i="4"/>
  <c r="AJ21" i="4" s="1"/>
  <c r="AN21" i="4" s="1"/>
  <c r="AP21" i="4" s="1"/>
  <c r="Z9" i="4"/>
  <c r="AB9" i="4"/>
  <c r="AJ9" i="4" s="1"/>
  <c r="AN9" i="4" s="1"/>
  <c r="AP9" i="4" s="1"/>
  <c r="Z32" i="4"/>
  <c r="AB32" i="4"/>
  <c r="AJ32" i="4" s="1"/>
  <c r="AN32" i="4" s="1"/>
  <c r="AP32" i="4" s="1"/>
  <c r="Z13" i="4"/>
  <c r="AB13" i="4"/>
  <c r="AJ13" i="4" s="1"/>
  <c r="AN13" i="4" s="1"/>
  <c r="AP13" i="4" s="1"/>
  <c r="Z25" i="4" l="1"/>
  <c r="AB25" i="4"/>
  <c r="AJ25" i="4" s="1"/>
  <c r="AN25" i="4" s="1"/>
  <c r="AP25" i="4" s="1"/>
  <c r="AR13" i="4"/>
  <c r="AS13" i="4" s="1"/>
  <c r="AT13" i="4" s="1"/>
  <c r="AV13" i="4"/>
  <c r="AV35" i="4"/>
  <c r="AR35" i="4"/>
  <c r="AS35" i="4" s="1"/>
  <c r="AT35" i="4" s="1"/>
  <c r="AR29" i="4"/>
  <c r="AS29" i="4" s="1"/>
  <c r="AT29" i="4" s="1"/>
  <c r="AV29" i="4"/>
  <c r="AV22" i="4"/>
  <c r="AR22" i="4"/>
  <c r="AS22" i="4" s="1"/>
  <c r="AT22" i="4" s="1"/>
  <c r="AR34" i="4"/>
  <c r="AS34" i="4" s="1"/>
  <c r="AT34" i="4" s="1"/>
  <c r="AV34" i="4"/>
  <c r="AR5" i="4"/>
  <c r="AS5" i="4" s="1"/>
  <c r="AT5" i="4" s="1"/>
  <c r="AV5" i="4"/>
  <c r="AR33" i="4"/>
  <c r="AS33" i="4" s="1"/>
  <c r="AT33" i="4" s="1"/>
  <c r="AV33" i="4"/>
  <c r="AR7" i="4"/>
  <c r="AS7" i="4" s="1"/>
  <c r="AT7" i="4" s="1"/>
  <c r="AV7" i="4"/>
  <c r="AV11" i="4"/>
  <c r="AR11" i="4"/>
  <c r="AS11" i="4" s="1"/>
  <c r="AT11" i="4" s="1"/>
  <c r="AV19" i="4"/>
  <c r="AR19" i="4"/>
  <c r="AS19" i="4" s="1"/>
  <c r="AT19" i="4" s="1"/>
  <c r="AR27" i="4"/>
  <c r="AS27" i="4" s="1"/>
  <c r="AT27" i="4" s="1"/>
  <c r="AV27" i="4"/>
  <c r="AV10" i="4"/>
  <c r="AR10" i="4"/>
  <c r="AS10" i="4" s="1"/>
  <c r="AT10" i="4" s="1"/>
  <c r="AR16" i="4"/>
  <c r="AS16" i="4" s="1"/>
  <c r="AT16" i="4" s="1"/>
  <c r="AV16" i="4"/>
  <c r="AV14" i="4"/>
  <c r="AR14" i="4"/>
  <c r="AS14" i="4" s="1"/>
  <c r="AT14" i="4" s="1"/>
  <c r="AV18" i="4"/>
  <c r="AR18" i="4"/>
  <c r="AS18" i="4" s="1"/>
  <c r="AT18" i="4" s="1"/>
  <c r="AR8" i="4"/>
  <c r="AS8" i="4" s="1"/>
  <c r="AT8" i="4" s="1"/>
  <c r="AV8" i="4"/>
  <c r="AV23" i="4"/>
  <c r="AR23" i="4"/>
  <c r="AS23" i="4" s="1"/>
  <c r="AT23" i="4" s="1"/>
  <c r="AR31" i="4"/>
  <c r="AS31" i="4" s="1"/>
  <c r="AT31" i="4" s="1"/>
  <c r="AV31" i="4"/>
  <c r="AR28" i="4"/>
  <c r="AS28" i="4" s="1"/>
  <c r="AT28" i="4" s="1"/>
  <c r="AV28" i="4"/>
  <c r="AR9" i="4"/>
  <c r="AS9" i="4" s="1"/>
  <c r="AT9" i="4" s="1"/>
  <c r="AV9" i="4"/>
  <c r="AR12" i="4"/>
  <c r="AS12" i="4" s="1"/>
  <c r="AT12" i="4" s="1"/>
  <c r="AV12" i="4"/>
  <c r="AR26" i="4"/>
  <c r="AS26" i="4" s="1"/>
  <c r="AT26" i="4" s="1"/>
  <c r="AV26" i="4"/>
  <c r="AR20" i="4"/>
  <c r="AS20" i="4" s="1"/>
  <c r="AT20" i="4" s="1"/>
  <c r="AV20" i="4"/>
  <c r="AR32" i="4"/>
  <c r="AS32" i="4" s="1"/>
  <c r="AT32" i="4" s="1"/>
  <c r="AV32" i="4"/>
  <c r="AR24" i="4"/>
  <c r="AS24" i="4" s="1"/>
  <c r="AT24" i="4" s="1"/>
  <c r="AV24" i="4"/>
  <c r="AV30" i="4"/>
  <c r="AR30" i="4"/>
  <c r="AS30" i="4" s="1"/>
  <c r="AT30" i="4" s="1"/>
  <c r="AR21" i="4"/>
  <c r="AS21" i="4" s="1"/>
  <c r="AT21" i="4" s="1"/>
  <c r="AV21" i="4"/>
  <c r="W36" i="4"/>
  <c r="W45" i="4" s="1"/>
  <c r="X4" i="4"/>
  <c r="Y4" i="4" s="1"/>
  <c r="AR15" i="4"/>
  <c r="AS15" i="4" s="1"/>
  <c r="AT15" i="4" s="1"/>
  <c r="AV15" i="4"/>
  <c r="AR6" i="4"/>
  <c r="AS6" i="4" s="1"/>
  <c r="AT6" i="4" s="1"/>
  <c r="AV6" i="4"/>
  <c r="AR17" i="4"/>
  <c r="AS17" i="4" s="1"/>
  <c r="AT17" i="4" s="1"/>
  <c r="AV17" i="4"/>
  <c r="AU27" i="4" l="1"/>
  <c r="AW27" i="4" s="1"/>
  <c r="AX27" i="4" s="1"/>
  <c r="AU26" i="4"/>
  <c r="AY26" i="4" s="1"/>
  <c r="AU17" i="4"/>
  <c r="AW17" i="4" s="1"/>
  <c r="AX17" i="4" s="1"/>
  <c r="AU10" i="4"/>
  <c r="AY10" i="4" s="1"/>
  <c r="AU7" i="4"/>
  <c r="AW7" i="4" s="1"/>
  <c r="AX7" i="4" s="1"/>
  <c r="AU5" i="4"/>
  <c r="AW5" i="4" s="1"/>
  <c r="AX5" i="4" s="1"/>
  <c r="AU32" i="4"/>
  <c r="AY32" i="4" s="1"/>
  <c r="AU9" i="4"/>
  <c r="AY9" i="4" s="1"/>
  <c r="AU33" i="4"/>
  <c r="AY33" i="4" s="1"/>
  <c r="AU22" i="4"/>
  <c r="AY22" i="4" s="1"/>
  <c r="AU20" i="4"/>
  <c r="AY20" i="4" s="1"/>
  <c r="AU28" i="4"/>
  <c r="AY28" i="4" s="1"/>
  <c r="AU8" i="4"/>
  <c r="AY8" i="4" s="1"/>
  <c r="AU29" i="4"/>
  <c r="AW29" i="4" s="1"/>
  <c r="AX29" i="4" s="1"/>
  <c r="AU23" i="4"/>
  <c r="AY23" i="4" s="1"/>
  <c r="AU15" i="4"/>
  <c r="AY15" i="4" s="1"/>
  <c r="AU30" i="4"/>
  <c r="AY30" i="4" s="1"/>
  <c r="AW12" i="4"/>
  <c r="AX12" i="4" s="1"/>
  <c r="AU31" i="4"/>
  <c r="AW31" i="4" s="1"/>
  <c r="AX31" i="4" s="1"/>
  <c r="AW16" i="4"/>
  <c r="AX16" i="4" s="1"/>
  <c r="AU19" i="4"/>
  <c r="AW19" i="4" s="1"/>
  <c r="AX19" i="4" s="1"/>
  <c r="AW34" i="4"/>
  <c r="AX34" i="4" s="1"/>
  <c r="AU35" i="4"/>
  <c r="AY35" i="4" s="1"/>
  <c r="AW15" i="4"/>
  <c r="AX15" i="4" s="1"/>
  <c r="AY31" i="4"/>
  <c r="AU18" i="4"/>
  <c r="AW18" i="4" s="1"/>
  <c r="AX18" i="4" s="1"/>
  <c r="AW30" i="4"/>
  <c r="AX30" i="4" s="1"/>
  <c r="AY19" i="4"/>
  <c r="AW33" i="4"/>
  <c r="AX33" i="4" s="1"/>
  <c r="AW35" i="4"/>
  <c r="AX35" i="4" s="1"/>
  <c r="Y36" i="4"/>
  <c r="Y45" i="4" s="1"/>
  <c r="Z4" i="4"/>
  <c r="Z36" i="4" s="1"/>
  <c r="AB4" i="4"/>
  <c r="AW24" i="4"/>
  <c r="AX24" i="4" s="1"/>
  <c r="AU14" i="4"/>
  <c r="AW14" i="4" s="1"/>
  <c r="AX14" i="4" s="1"/>
  <c r="AW10" i="4"/>
  <c r="AX10" i="4" s="1"/>
  <c r="AW22" i="4"/>
  <c r="AX22" i="4" s="1"/>
  <c r="AW13" i="4"/>
  <c r="AX13" i="4" s="1"/>
  <c r="AU21" i="4"/>
  <c r="AY21" i="4" s="1"/>
  <c r="AW26" i="4"/>
  <c r="AX26" i="4" s="1"/>
  <c r="AW23" i="4"/>
  <c r="AX23" i="4" s="1"/>
  <c r="AW11" i="4"/>
  <c r="AX11" i="4" s="1"/>
  <c r="AY5" i="4"/>
  <c r="AY17" i="4"/>
  <c r="AW9" i="4"/>
  <c r="AX9" i="4" s="1"/>
  <c r="AY18" i="4"/>
  <c r="AW6" i="4"/>
  <c r="AX6" i="4" s="1"/>
  <c r="AW21" i="4"/>
  <c r="AX21" i="4" s="1"/>
  <c r="AW28" i="4"/>
  <c r="AX28" i="4" s="1"/>
  <c r="AY27" i="4"/>
  <c r="AV25" i="4"/>
  <c r="AR25" i="4"/>
  <c r="AS25" i="4" s="1"/>
  <c r="AT25" i="4" s="1"/>
  <c r="AU24" i="4"/>
  <c r="AY24" i="4" s="1"/>
  <c r="AU11" i="4"/>
  <c r="AY11" i="4" s="1"/>
  <c r="AU13" i="4"/>
  <c r="AY13" i="4" s="1"/>
  <c r="AU6" i="4"/>
  <c r="AY6" i="4" s="1"/>
  <c r="AW32" i="4"/>
  <c r="AX32" i="4" s="1"/>
  <c r="AU12" i="4"/>
  <c r="AY12" i="4" s="1"/>
  <c r="AW8" i="4"/>
  <c r="AX8" i="4" s="1"/>
  <c r="AU16" i="4"/>
  <c r="AY16" i="4" s="1"/>
  <c r="AY7" i="4"/>
  <c r="AU34" i="4"/>
  <c r="AY34" i="4" s="1"/>
  <c r="AY14" i="4" l="1"/>
  <c r="AY29" i="4"/>
  <c r="AW20" i="4"/>
  <c r="AX20" i="4" s="1"/>
  <c r="AU25" i="4"/>
  <c r="AY25" i="4" s="1"/>
  <c r="AW25" i="4"/>
  <c r="AX25" i="4" s="1"/>
  <c r="AB36" i="4"/>
  <c r="AJ4" i="4"/>
  <c r="AJ36" i="4" l="1"/>
  <c r="AJ45" i="4" s="1"/>
  <c r="AN4" i="4"/>
  <c r="AN36" i="4" l="1"/>
  <c r="AN45" i="4" s="1"/>
  <c r="AP4" i="4"/>
  <c r="AP36" i="4" l="1"/>
  <c r="AV4" i="4"/>
  <c r="AR4" i="4"/>
  <c r="AR36" i="4" l="1"/>
  <c r="AS4" i="4"/>
  <c r="AY4" i="4"/>
  <c r="AY36" i="4" s="1"/>
  <c r="AS36" i="4" l="1"/>
  <c r="AT4" i="4"/>
  <c r="AS45" i="4" l="1"/>
  <c r="AU4" i="4"/>
  <c r="AW4" i="4" s="1"/>
  <c r="AW36" i="4" s="1"/>
  <c r="AW45" i="4" s="1"/>
  <c r="AX4" i="4" l="1"/>
  <c r="AX41" i="4"/>
  <c r="AZ34" i="4" l="1"/>
  <c r="BA34" i="4" s="1"/>
  <c r="BB34" i="4" s="1"/>
  <c r="BC34" i="4" s="1"/>
  <c r="AZ12" i="4"/>
  <c r="BA12" i="4" s="1"/>
  <c r="BB12" i="4" s="1"/>
  <c r="BC12" i="4" s="1"/>
  <c r="AZ17" i="4"/>
  <c r="BA17" i="4" s="1"/>
  <c r="BB17" i="4" s="1"/>
  <c r="BC17" i="4" s="1"/>
  <c r="AZ7" i="4"/>
  <c r="BA7" i="4" s="1"/>
  <c r="BB7" i="4" s="1"/>
  <c r="BC7" i="4" s="1"/>
  <c r="AZ18" i="4"/>
  <c r="BA18" i="4" s="1"/>
  <c r="BB18" i="4" s="1"/>
  <c r="BC18" i="4" s="1"/>
  <c r="AZ13" i="4"/>
  <c r="BA13" i="4" s="1"/>
  <c r="BB13" i="4" s="1"/>
  <c r="BC13" i="4" s="1"/>
  <c r="AZ30" i="4"/>
  <c r="BA30" i="4" s="1"/>
  <c r="BB30" i="4" s="1"/>
  <c r="BC30" i="4" s="1"/>
  <c r="AZ10" i="4"/>
  <c r="BA10" i="4" s="1"/>
  <c r="BB10" i="4" s="1"/>
  <c r="BC10" i="4" s="1"/>
  <c r="AZ31" i="4"/>
  <c r="BA31" i="4" s="1"/>
  <c r="BB31" i="4" s="1"/>
  <c r="BC31" i="4" s="1"/>
  <c r="AZ5" i="4"/>
  <c r="BA5" i="4" s="1"/>
  <c r="BB5" i="4" s="1"/>
  <c r="BC5" i="4" s="1"/>
  <c r="AZ15" i="4"/>
  <c r="BA15" i="4" s="1"/>
  <c r="BB15" i="4" s="1"/>
  <c r="BC15" i="4" s="1"/>
  <c r="AZ19" i="4"/>
  <c r="BA19" i="4" s="1"/>
  <c r="BB19" i="4" s="1"/>
  <c r="BC19" i="4" s="1"/>
  <c r="AZ6" i="4"/>
  <c r="BA6" i="4" s="1"/>
  <c r="BB6" i="4" s="1"/>
  <c r="BC6" i="4" s="1"/>
  <c r="AX45" i="4"/>
  <c r="AZ25" i="4"/>
  <c r="AZ26" i="4"/>
  <c r="BA26" i="4" s="1"/>
  <c r="BB26" i="4" s="1"/>
  <c r="BC26" i="4" s="1"/>
  <c r="AZ11" i="4"/>
  <c r="BA11" i="4" s="1"/>
  <c r="BB11" i="4" s="1"/>
  <c r="BC11" i="4" s="1"/>
  <c r="AZ20" i="4"/>
  <c r="BA20" i="4" s="1"/>
  <c r="BB20" i="4" s="1"/>
  <c r="BC20" i="4" s="1"/>
  <c r="AZ22" i="4"/>
  <c r="BA22" i="4" s="1"/>
  <c r="BB22" i="4" s="1"/>
  <c r="BC22" i="4" s="1"/>
  <c r="AZ24" i="4"/>
  <c r="BA24" i="4" s="1"/>
  <c r="BB24" i="4" s="1"/>
  <c r="BC24" i="4" s="1"/>
  <c r="AZ27" i="4"/>
  <c r="BA27" i="4" s="1"/>
  <c r="BB27" i="4" s="1"/>
  <c r="BC27" i="4" s="1"/>
  <c r="AZ21" i="4"/>
  <c r="BA21" i="4" s="1"/>
  <c r="BB21" i="4" s="1"/>
  <c r="BC21" i="4" s="1"/>
  <c r="AZ29" i="4"/>
  <c r="BA29" i="4" s="1"/>
  <c r="BB29" i="4" s="1"/>
  <c r="BC29" i="4" s="1"/>
  <c r="AZ23" i="4"/>
  <c r="BA23" i="4" s="1"/>
  <c r="BB23" i="4" s="1"/>
  <c r="BC23" i="4" s="1"/>
  <c r="AZ4" i="4"/>
  <c r="AZ28" i="4"/>
  <c r="BA28" i="4" s="1"/>
  <c r="BB28" i="4" s="1"/>
  <c r="BC28" i="4" s="1"/>
  <c r="AZ16" i="4"/>
  <c r="BA16" i="4" s="1"/>
  <c r="BB16" i="4" s="1"/>
  <c r="BC16" i="4" s="1"/>
  <c r="AZ35" i="4"/>
  <c r="BA35" i="4" s="1"/>
  <c r="BB35" i="4" s="1"/>
  <c r="BC35" i="4" s="1"/>
  <c r="AZ8" i="4"/>
  <c r="BA8" i="4" s="1"/>
  <c r="BB8" i="4" s="1"/>
  <c r="BC8" i="4" s="1"/>
  <c r="AZ32" i="4"/>
  <c r="BA32" i="4" s="1"/>
  <c r="BB32" i="4" s="1"/>
  <c r="BC32" i="4" s="1"/>
  <c r="AZ9" i="4"/>
  <c r="BA9" i="4" s="1"/>
  <c r="BB9" i="4" s="1"/>
  <c r="BC9" i="4" s="1"/>
  <c r="AZ14" i="4"/>
  <c r="BA14" i="4" s="1"/>
  <c r="BB14" i="4" s="1"/>
  <c r="BC14" i="4" s="1"/>
  <c r="AZ33" i="4"/>
  <c r="BA33" i="4" s="1"/>
  <c r="BB33" i="4" s="1"/>
  <c r="BC33" i="4" s="1"/>
  <c r="AY45" i="4"/>
  <c r="BD14" i="4" l="1"/>
  <c r="BF14" i="4"/>
  <c r="BN14" i="4" s="1"/>
  <c r="BR14" i="4" s="1"/>
  <c r="BT14" i="4" s="1"/>
  <c r="BD10" i="4"/>
  <c r="BF10" i="4"/>
  <c r="BN10" i="4" s="1"/>
  <c r="BR10" i="4" s="1"/>
  <c r="BT10" i="4" s="1"/>
  <c r="BD29" i="4"/>
  <c r="BF29" i="4"/>
  <c r="BN29" i="4" s="1"/>
  <c r="BR29" i="4" s="1"/>
  <c r="BT29" i="4" s="1"/>
  <c r="BD30" i="4"/>
  <c r="BF30" i="4"/>
  <c r="BN30" i="4" s="1"/>
  <c r="BR30" i="4" s="1"/>
  <c r="BT30" i="4" s="1"/>
  <c r="BD32" i="4"/>
  <c r="BF32" i="4"/>
  <c r="BN32" i="4" s="1"/>
  <c r="BR32" i="4" s="1"/>
  <c r="BT32" i="4" s="1"/>
  <c r="BD21" i="4"/>
  <c r="BF21" i="4"/>
  <c r="BN21" i="4" s="1"/>
  <c r="BR21" i="4" s="1"/>
  <c r="BT21" i="4" s="1"/>
  <c r="BD13" i="4"/>
  <c r="BF13" i="4"/>
  <c r="BN13" i="4" s="1"/>
  <c r="BR13" i="4" s="1"/>
  <c r="BT13" i="4" s="1"/>
  <c r="BD11" i="4"/>
  <c r="BF11" i="4"/>
  <c r="BN11" i="4" s="1"/>
  <c r="BR11" i="4" s="1"/>
  <c r="BT11" i="4" s="1"/>
  <c r="BD26" i="4"/>
  <c r="BF26" i="4"/>
  <c r="BN26" i="4" s="1"/>
  <c r="BR26" i="4" s="1"/>
  <c r="BT26" i="4" s="1"/>
  <c r="BD8" i="4"/>
  <c r="BF8" i="4"/>
  <c r="BN8" i="4" s="1"/>
  <c r="BR8" i="4" s="1"/>
  <c r="BT8" i="4" s="1"/>
  <c r="BD27" i="4"/>
  <c r="BF27" i="4"/>
  <c r="BN27" i="4" s="1"/>
  <c r="BR27" i="4" s="1"/>
  <c r="BT27" i="4" s="1"/>
  <c r="BD18" i="4"/>
  <c r="BF18" i="4"/>
  <c r="BN18" i="4" s="1"/>
  <c r="BR18" i="4" s="1"/>
  <c r="BT18" i="4" s="1"/>
  <c r="BD35" i="4"/>
  <c r="BF35" i="4"/>
  <c r="BN35" i="4" s="1"/>
  <c r="BR35" i="4" s="1"/>
  <c r="BT35" i="4" s="1"/>
  <c r="BD24" i="4"/>
  <c r="BF24" i="4"/>
  <c r="BN24" i="4" s="1"/>
  <c r="BR24" i="4" s="1"/>
  <c r="BT24" i="4" s="1"/>
  <c r="BD19" i="4"/>
  <c r="BF19" i="4"/>
  <c r="BN19" i="4" s="1"/>
  <c r="BR19" i="4" s="1"/>
  <c r="BT19" i="4" s="1"/>
  <c r="BD7" i="4"/>
  <c r="BF7" i="4"/>
  <c r="BN7" i="4" s="1"/>
  <c r="BR7" i="4" s="1"/>
  <c r="BT7" i="4" s="1"/>
  <c r="BD28" i="4"/>
  <c r="BF28" i="4"/>
  <c r="BN28" i="4" s="1"/>
  <c r="BR28" i="4" s="1"/>
  <c r="BT28" i="4" s="1"/>
  <c r="BA4" i="4"/>
  <c r="AZ36" i="4"/>
  <c r="BA25" i="4" s="1"/>
  <c r="BB25" i="4" s="1"/>
  <c r="BC25" i="4" s="1"/>
  <c r="BD23" i="4"/>
  <c r="BF23" i="4"/>
  <c r="BN23" i="4" s="1"/>
  <c r="BR23" i="4" s="1"/>
  <c r="BT23" i="4" s="1"/>
  <c r="BD9" i="4"/>
  <c r="BF9" i="4"/>
  <c r="BN9" i="4" s="1"/>
  <c r="BR9" i="4" s="1"/>
  <c r="BT9" i="4" s="1"/>
  <c r="BD6" i="4"/>
  <c r="BF6" i="4"/>
  <c r="BN6" i="4" s="1"/>
  <c r="BR6" i="4" s="1"/>
  <c r="BT6" i="4" s="1"/>
  <c r="BD16" i="4"/>
  <c r="BF16" i="4"/>
  <c r="BN16" i="4" s="1"/>
  <c r="BR16" i="4" s="1"/>
  <c r="BT16" i="4" s="1"/>
  <c r="BD22" i="4"/>
  <c r="BF22" i="4"/>
  <c r="BN22" i="4" s="1"/>
  <c r="BR22" i="4" s="1"/>
  <c r="BT22" i="4" s="1"/>
  <c r="BD15" i="4"/>
  <c r="BF15" i="4"/>
  <c r="BN15" i="4" s="1"/>
  <c r="BR15" i="4" s="1"/>
  <c r="BT15" i="4" s="1"/>
  <c r="BD17" i="4"/>
  <c r="BF17" i="4"/>
  <c r="BN17" i="4" s="1"/>
  <c r="BR17" i="4" s="1"/>
  <c r="BT17" i="4" s="1"/>
  <c r="BD20" i="4"/>
  <c r="BF20" i="4"/>
  <c r="BN20" i="4" s="1"/>
  <c r="BR20" i="4" s="1"/>
  <c r="BT20" i="4" s="1"/>
  <c r="BD5" i="4"/>
  <c r="BF5" i="4"/>
  <c r="BN5" i="4" s="1"/>
  <c r="BR5" i="4" s="1"/>
  <c r="BT5" i="4" s="1"/>
  <c r="BD12" i="4"/>
  <c r="BF12" i="4"/>
  <c r="BN12" i="4" s="1"/>
  <c r="BR12" i="4" s="1"/>
  <c r="BT12" i="4" s="1"/>
  <c r="BD33" i="4"/>
  <c r="BF33" i="4"/>
  <c r="BN33" i="4" s="1"/>
  <c r="BR33" i="4" s="1"/>
  <c r="BT33" i="4" s="1"/>
  <c r="BD31" i="4"/>
  <c r="BF31" i="4"/>
  <c r="BN31" i="4" s="1"/>
  <c r="BR31" i="4" s="1"/>
  <c r="BT31" i="4" s="1"/>
  <c r="BD34" i="4"/>
  <c r="BF34" i="4"/>
  <c r="BN34" i="4" s="1"/>
  <c r="BR34" i="4" s="1"/>
  <c r="BT34" i="4" s="1"/>
  <c r="BD25" i="4" l="1"/>
  <c r="BF25" i="4"/>
  <c r="BN25" i="4" s="1"/>
  <c r="BR25" i="4" s="1"/>
  <c r="BT25" i="4" s="1"/>
  <c r="BV31" i="4"/>
  <c r="BW31" i="4" s="1"/>
  <c r="BX31" i="4" s="1"/>
  <c r="BZ31" i="4"/>
  <c r="BV21" i="4"/>
  <c r="BW21" i="4" s="1"/>
  <c r="BX21" i="4" s="1"/>
  <c r="BZ21" i="4"/>
  <c r="BV34" i="4"/>
  <c r="BW34" i="4" s="1"/>
  <c r="BX34" i="4" s="1"/>
  <c r="BZ34" i="4"/>
  <c r="BZ5" i="4"/>
  <c r="BV5" i="4"/>
  <c r="BW5" i="4" s="1"/>
  <c r="BX5" i="4" s="1"/>
  <c r="BV22" i="4"/>
  <c r="BW22" i="4" s="1"/>
  <c r="BX22" i="4" s="1"/>
  <c r="BZ22" i="4"/>
  <c r="BZ23" i="4"/>
  <c r="BV23" i="4"/>
  <c r="BW23" i="4" s="1"/>
  <c r="BX23" i="4" s="1"/>
  <c r="BV19" i="4"/>
  <c r="BW19" i="4" s="1"/>
  <c r="BX19" i="4" s="1"/>
  <c r="BZ19" i="4"/>
  <c r="BV27" i="4"/>
  <c r="BW27" i="4" s="1"/>
  <c r="BX27" i="4" s="1"/>
  <c r="BZ27" i="4"/>
  <c r="BV13" i="4"/>
  <c r="BW13" i="4" s="1"/>
  <c r="BX13" i="4" s="1"/>
  <c r="BZ13" i="4"/>
  <c r="BV16" i="4"/>
  <c r="BW16" i="4" s="1"/>
  <c r="BX16" i="4" s="1"/>
  <c r="BZ16" i="4"/>
  <c r="BV29" i="4"/>
  <c r="BW29" i="4" s="1"/>
  <c r="BX29" i="4" s="1"/>
  <c r="BZ29" i="4"/>
  <c r="BZ8" i="4"/>
  <c r="BV8" i="4"/>
  <c r="BW8" i="4" s="1"/>
  <c r="BX8" i="4" s="1"/>
  <c r="BV28" i="4"/>
  <c r="BW28" i="4" s="1"/>
  <c r="BX28" i="4" s="1"/>
  <c r="BZ28" i="4"/>
  <c r="BZ35" i="4"/>
  <c r="BV35" i="4"/>
  <c r="BW35" i="4" s="1"/>
  <c r="BX35" i="4" s="1"/>
  <c r="BV26" i="4"/>
  <c r="BW26" i="4" s="1"/>
  <c r="BX26" i="4" s="1"/>
  <c r="BZ26" i="4"/>
  <c r="BV32" i="4"/>
  <c r="BW32" i="4" s="1"/>
  <c r="BX32" i="4" s="1"/>
  <c r="BZ32" i="4"/>
  <c r="BZ20" i="4"/>
  <c r="BV20" i="4"/>
  <c r="BW20" i="4" s="1"/>
  <c r="BX20" i="4" s="1"/>
  <c r="BZ24" i="4"/>
  <c r="BV24" i="4"/>
  <c r="BW24" i="4" s="1"/>
  <c r="BX24" i="4" s="1"/>
  <c r="BA36" i="4"/>
  <c r="BA45" i="4" s="1"/>
  <c r="BB4" i="4"/>
  <c r="BC4" i="4" s="1"/>
  <c r="BV33" i="4"/>
  <c r="BW33" i="4" s="1"/>
  <c r="BX33" i="4" s="1"/>
  <c r="BZ33" i="4"/>
  <c r="BV6" i="4"/>
  <c r="BW6" i="4" s="1"/>
  <c r="BX6" i="4" s="1"/>
  <c r="BZ6" i="4"/>
  <c r="BV14" i="4"/>
  <c r="BW14" i="4" s="1"/>
  <c r="BX14" i="4" s="1"/>
  <c r="BZ14" i="4"/>
  <c r="BV10" i="4"/>
  <c r="BW10" i="4" s="1"/>
  <c r="BX10" i="4" s="1"/>
  <c r="BZ10" i="4"/>
  <c r="BZ17" i="4"/>
  <c r="BV17" i="4"/>
  <c r="BW17" i="4" s="1"/>
  <c r="BX17" i="4" s="1"/>
  <c r="BV12" i="4"/>
  <c r="BW12" i="4" s="1"/>
  <c r="BX12" i="4" s="1"/>
  <c r="BZ12" i="4"/>
  <c r="BZ15" i="4"/>
  <c r="BV15" i="4"/>
  <c r="BW15" i="4" s="1"/>
  <c r="BX15" i="4" s="1"/>
  <c r="BZ9" i="4"/>
  <c r="BV9" i="4"/>
  <c r="BW9" i="4" s="1"/>
  <c r="BX9" i="4" s="1"/>
  <c r="BV7" i="4"/>
  <c r="BW7" i="4" s="1"/>
  <c r="BX7" i="4" s="1"/>
  <c r="BZ7" i="4"/>
  <c r="BV18" i="4"/>
  <c r="BW18" i="4" s="1"/>
  <c r="BX18" i="4" s="1"/>
  <c r="BZ18" i="4"/>
  <c r="BV11" i="4"/>
  <c r="BW11" i="4" s="1"/>
  <c r="BX11" i="4" s="1"/>
  <c r="BZ11" i="4"/>
  <c r="BV30" i="4"/>
  <c r="BW30" i="4" s="1"/>
  <c r="BX30" i="4" s="1"/>
  <c r="BZ30" i="4"/>
  <c r="BY11" i="4" l="1"/>
  <c r="CC11" i="4" s="1"/>
  <c r="BY27" i="4"/>
  <c r="CA27" i="4" s="1"/>
  <c r="CB27" i="4" s="1"/>
  <c r="BY5" i="4"/>
  <c r="CA5" i="4" s="1"/>
  <c r="CB5" i="4" s="1"/>
  <c r="BY10" i="4"/>
  <c r="CC10" i="4" s="1"/>
  <c r="BY28" i="4"/>
  <c r="CC28" i="4" s="1"/>
  <c r="BY14" i="4"/>
  <c r="CC14" i="4" s="1"/>
  <c r="BY32" i="4"/>
  <c r="CC32" i="4" s="1"/>
  <c r="BY8" i="4"/>
  <c r="CA8" i="4" s="1"/>
  <c r="CB8" i="4" s="1"/>
  <c r="BY30" i="4"/>
  <c r="CC30" i="4" s="1"/>
  <c r="BY26" i="4"/>
  <c r="CC26" i="4" s="1"/>
  <c r="BY9" i="4"/>
  <c r="CC9" i="4" s="1"/>
  <c r="BY17" i="4"/>
  <c r="CA17" i="4" s="1"/>
  <c r="CB17" i="4" s="1"/>
  <c r="BY22" i="4"/>
  <c r="CC22" i="4" s="1"/>
  <c r="BY19" i="4"/>
  <c r="CA19" i="4" s="1"/>
  <c r="CB19" i="4" s="1"/>
  <c r="BY18" i="4"/>
  <c r="CA18" i="4" s="1"/>
  <c r="CB18" i="4" s="1"/>
  <c r="BY24" i="4"/>
  <c r="CC24" i="4" s="1"/>
  <c r="CC17" i="4"/>
  <c r="CA6" i="4"/>
  <c r="CB6" i="4" s="1"/>
  <c r="CA16" i="4"/>
  <c r="CB16" i="4" s="1"/>
  <c r="CA21" i="4"/>
  <c r="CB21" i="4" s="1"/>
  <c r="CA24" i="4"/>
  <c r="CB24" i="4" s="1"/>
  <c r="CA26" i="4"/>
  <c r="CB26" i="4" s="1"/>
  <c r="CC19" i="4"/>
  <c r="CA9" i="4"/>
  <c r="CB9" i="4" s="1"/>
  <c r="BY16" i="4"/>
  <c r="CC16" i="4" s="1"/>
  <c r="CC18" i="4"/>
  <c r="CA10" i="4"/>
  <c r="CB10" i="4" s="1"/>
  <c r="BY20" i="4"/>
  <c r="CA20" i="4" s="1"/>
  <c r="CB20" i="4" s="1"/>
  <c r="BY12" i="4"/>
  <c r="CC12" i="4" s="1"/>
  <c r="BY35" i="4"/>
  <c r="CC35" i="4" s="1"/>
  <c r="CC8" i="4"/>
  <c r="CA13" i="4"/>
  <c r="CB13" i="4" s="1"/>
  <c r="BY23" i="4"/>
  <c r="CC23" i="4" s="1"/>
  <c r="CC5" i="4"/>
  <c r="CA31" i="4"/>
  <c r="CB31" i="4" s="1"/>
  <c r="BY21" i="4"/>
  <c r="CC21" i="4" s="1"/>
  <c r="CA15" i="4"/>
  <c r="CB15" i="4" s="1"/>
  <c r="BY13" i="4"/>
  <c r="CC13" i="4" s="1"/>
  <c r="CA12" i="4"/>
  <c r="CB12" i="4" s="1"/>
  <c r="BY29" i="4"/>
  <c r="CA29" i="4" s="1"/>
  <c r="CB29" i="4" s="1"/>
  <c r="BY34" i="4"/>
  <c r="CC34" i="4" s="1"/>
  <c r="CA28" i="4"/>
  <c r="CB28" i="4" s="1"/>
  <c r="CA22" i="4"/>
  <c r="CB22" i="4" s="1"/>
  <c r="BY15" i="4"/>
  <c r="CC15" i="4" s="1"/>
  <c r="BY7" i="4"/>
  <c r="CA7" i="4" s="1"/>
  <c r="CB7" i="4" s="1"/>
  <c r="BY33" i="4"/>
  <c r="CC33" i="4" s="1"/>
  <c r="BY31" i="4"/>
  <c r="CC31" i="4" s="1"/>
  <c r="CC7" i="4"/>
  <c r="CA33" i="4"/>
  <c r="CB33" i="4" s="1"/>
  <c r="CA11" i="4"/>
  <c r="CB11" i="4" s="1"/>
  <c r="CA14" i="4"/>
  <c r="CB14" i="4" s="1"/>
  <c r="BD4" i="4"/>
  <c r="BD36" i="4" s="1"/>
  <c r="BC36" i="4"/>
  <c r="BC45" i="4" s="1"/>
  <c r="BF4" i="4"/>
  <c r="CA35" i="4"/>
  <c r="CB35" i="4" s="1"/>
  <c r="CA23" i="4"/>
  <c r="CB23" i="4" s="1"/>
  <c r="CA34" i="4"/>
  <c r="CB34" i="4" s="1"/>
  <c r="BZ25" i="4"/>
  <c r="BV25" i="4"/>
  <c r="BW25" i="4" s="1"/>
  <c r="BX25" i="4" s="1"/>
  <c r="BY6" i="4"/>
  <c r="CC6" i="4" s="1"/>
  <c r="CA32" i="4"/>
  <c r="CB32" i="4" s="1"/>
  <c r="CC27" i="4"/>
  <c r="CA30" i="4" l="1"/>
  <c r="CB30" i="4" s="1"/>
  <c r="CC29" i="4"/>
  <c r="CC20" i="4"/>
  <c r="BY25" i="4"/>
  <c r="CC25" i="4" s="1"/>
  <c r="CA25" i="4"/>
  <c r="CB25" i="4" s="1"/>
  <c r="BF36" i="4"/>
  <c r="BN4" i="4"/>
  <c r="BN36" i="4" l="1"/>
  <c r="BN45" i="4" s="1"/>
  <c r="BR4" i="4"/>
  <c r="BR36" i="4" l="1"/>
  <c r="BR45" i="4" s="1"/>
  <c r="BT4" i="4"/>
  <c r="BZ4" i="4" l="1"/>
  <c r="BT36" i="4"/>
  <c r="BV4" i="4"/>
  <c r="CC4" i="4" l="1"/>
  <c r="CC36" i="4" s="1"/>
  <c r="BV36" i="4"/>
  <c r="BW4" i="4"/>
  <c r="BW36" i="4" l="1"/>
  <c r="BX4" i="4"/>
  <c r="BW45" i="4" l="1"/>
  <c r="BY4" i="4"/>
  <c r="CA4" i="4" s="1"/>
  <c r="CA36" i="4" s="1"/>
  <c r="CA45" i="4" s="1"/>
  <c r="CB4" i="4" l="1"/>
  <c r="CB41" i="4"/>
  <c r="CD30" i="4" l="1"/>
  <c r="CE30" i="4" s="1"/>
  <c r="CF30" i="4" s="1"/>
  <c r="CG30" i="4" s="1"/>
  <c r="CD28" i="4"/>
  <c r="CE28" i="4" s="1"/>
  <c r="CF28" i="4" s="1"/>
  <c r="CG28" i="4" s="1"/>
  <c r="CD13" i="4"/>
  <c r="CE13" i="4" s="1"/>
  <c r="CF13" i="4" s="1"/>
  <c r="CG13" i="4" s="1"/>
  <c r="CD26" i="4"/>
  <c r="CE26" i="4" s="1"/>
  <c r="CF26" i="4" s="1"/>
  <c r="CG26" i="4" s="1"/>
  <c r="CD16" i="4"/>
  <c r="CE16" i="4" s="1"/>
  <c r="CF16" i="4" s="1"/>
  <c r="CG16" i="4" s="1"/>
  <c r="CD9" i="4"/>
  <c r="CE9" i="4" s="1"/>
  <c r="CF9" i="4" s="1"/>
  <c r="CG9" i="4" s="1"/>
  <c r="CD21" i="4"/>
  <c r="CE21" i="4" s="1"/>
  <c r="CF21" i="4" s="1"/>
  <c r="CG21" i="4" s="1"/>
  <c r="CD23" i="4"/>
  <c r="CE23" i="4" s="1"/>
  <c r="CF23" i="4" s="1"/>
  <c r="CG23" i="4" s="1"/>
  <c r="CD18" i="4"/>
  <c r="CE18" i="4" s="1"/>
  <c r="CF18" i="4" s="1"/>
  <c r="CG18" i="4" s="1"/>
  <c r="CD19" i="4"/>
  <c r="CE19" i="4" s="1"/>
  <c r="CF19" i="4" s="1"/>
  <c r="CG19" i="4" s="1"/>
  <c r="CD8" i="4"/>
  <c r="CE8" i="4" s="1"/>
  <c r="CF8" i="4" s="1"/>
  <c r="CG8" i="4" s="1"/>
  <c r="CD35" i="4"/>
  <c r="CE35" i="4" s="1"/>
  <c r="CF35" i="4" s="1"/>
  <c r="CG35" i="4" s="1"/>
  <c r="CD12" i="4"/>
  <c r="CE12" i="4" s="1"/>
  <c r="CF12" i="4" s="1"/>
  <c r="CG12" i="4" s="1"/>
  <c r="CD10" i="4"/>
  <c r="CE10" i="4" s="1"/>
  <c r="CF10" i="4" s="1"/>
  <c r="CG10" i="4" s="1"/>
  <c r="CD22" i="4"/>
  <c r="CE22" i="4" s="1"/>
  <c r="CF22" i="4" s="1"/>
  <c r="CG22" i="4" s="1"/>
  <c r="CD4" i="4"/>
  <c r="CD7" i="4"/>
  <c r="CE7" i="4" s="1"/>
  <c r="CF7" i="4" s="1"/>
  <c r="CG7" i="4" s="1"/>
  <c r="CD27" i="4"/>
  <c r="CE27" i="4" s="1"/>
  <c r="CF27" i="4" s="1"/>
  <c r="CG27" i="4" s="1"/>
  <c r="CD20" i="4"/>
  <c r="CE20" i="4" s="1"/>
  <c r="CF20" i="4" s="1"/>
  <c r="CG20" i="4" s="1"/>
  <c r="CD14" i="4"/>
  <c r="CE14" i="4" s="1"/>
  <c r="CF14" i="4" s="1"/>
  <c r="CG14" i="4" s="1"/>
  <c r="CD25" i="4"/>
  <c r="CD24" i="4"/>
  <c r="CE24" i="4" s="1"/>
  <c r="CF24" i="4" s="1"/>
  <c r="CG24" i="4" s="1"/>
  <c r="CD29" i="4"/>
  <c r="CE29" i="4" s="1"/>
  <c r="CF29" i="4" s="1"/>
  <c r="CG29" i="4" s="1"/>
  <c r="CD5" i="4"/>
  <c r="CE5" i="4" s="1"/>
  <c r="CF5" i="4" s="1"/>
  <c r="CG5" i="4" s="1"/>
  <c r="CD17" i="4"/>
  <c r="CE17" i="4" s="1"/>
  <c r="CF17" i="4" s="1"/>
  <c r="CG17" i="4" s="1"/>
  <c r="CD34" i="4"/>
  <c r="CE34" i="4" s="1"/>
  <c r="CF34" i="4" s="1"/>
  <c r="CG34" i="4" s="1"/>
  <c r="CD15" i="4"/>
  <c r="CE15" i="4" s="1"/>
  <c r="CF15" i="4" s="1"/>
  <c r="CG15" i="4" s="1"/>
  <c r="CD31" i="4"/>
  <c r="CE31" i="4" s="1"/>
  <c r="CF31" i="4" s="1"/>
  <c r="CG31" i="4" s="1"/>
  <c r="CD32" i="4"/>
  <c r="CE32" i="4" s="1"/>
  <c r="CF32" i="4" s="1"/>
  <c r="CG32" i="4" s="1"/>
  <c r="CD6" i="4"/>
  <c r="CE6" i="4" s="1"/>
  <c r="CF6" i="4" s="1"/>
  <c r="CG6" i="4" s="1"/>
  <c r="CB45" i="4"/>
  <c r="CD33" i="4"/>
  <c r="CE33" i="4" s="1"/>
  <c r="CF33" i="4" s="1"/>
  <c r="CG33" i="4" s="1"/>
  <c r="CD11" i="4"/>
  <c r="CE11" i="4" s="1"/>
  <c r="CF11" i="4" s="1"/>
  <c r="CG11" i="4" s="1"/>
  <c r="CC45" i="4"/>
  <c r="CH23" i="4" l="1"/>
  <c r="CJ23" i="4"/>
  <c r="CR23" i="4" s="1"/>
  <c r="CV23" i="4" s="1"/>
  <c r="CX23" i="4" s="1"/>
  <c r="CH21" i="4"/>
  <c r="CJ21" i="4"/>
  <c r="CR21" i="4" s="1"/>
  <c r="CV21" i="4" s="1"/>
  <c r="CX21" i="4" s="1"/>
  <c r="CH6" i="4"/>
  <c r="CJ6" i="4"/>
  <c r="CR6" i="4" s="1"/>
  <c r="CV6" i="4" s="1"/>
  <c r="CX6" i="4" s="1"/>
  <c r="CH24" i="4"/>
  <c r="CJ24" i="4"/>
  <c r="CR24" i="4" s="1"/>
  <c r="CV24" i="4" s="1"/>
  <c r="CX24" i="4" s="1"/>
  <c r="CH10" i="4"/>
  <c r="CJ10" i="4"/>
  <c r="CR10" i="4" s="1"/>
  <c r="CV10" i="4" s="1"/>
  <c r="CX10" i="4" s="1"/>
  <c r="CH9" i="4"/>
  <c r="CJ9" i="4"/>
  <c r="CR9" i="4" s="1"/>
  <c r="CV9" i="4" s="1"/>
  <c r="CX9" i="4" s="1"/>
  <c r="CE4" i="4"/>
  <c r="CD36" i="4"/>
  <c r="CE25" i="4" s="1"/>
  <c r="CF25" i="4" s="1"/>
  <c r="CG25" i="4" s="1"/>
  <c r="CH12" i="4"/>
  <c r="CJ12" i="4"/>
  <c r="CR12" i="4" s="1"/>
  <c r="CV12" i="4" s="1"/>
  <c r="CX12" i="4" s="1"/>
  <c r="CH16" i="4"/>
  <c r="CJ16" i="4"/>
  <c r="CR16" i="4" s="1"/>
  <c r="CV16" i="4" s="1"/>
  <c r="CX16" i="4" s="1"/>
  <c r="CH33" i="4"/>
  <c r="CJ33" i="4"/>
  <c r="CR33" i="4" s="1"/>
  <c r="CV33" i="4" s="1"/>
  <c r="CX33" i="4" s="1"/>
  <c r="CH26" i="4"/>
  <c r="CJ26" i="4"/>
  <c r="CR26" i="4" s="1"/>
  <c r="CV26" i="4" s="1"/>
  <c r="CX26" i="4" s="1"/>
  <c r="CH22" i="4"/>
  <c r="CJ22" i="4"/>
  <c r="CR22" i="4" s="1"/>
  <c r="CV22" i="4" s="1"/>
  <c r="CX22" i="4" s="1"/>
  <c r="CH14" i="4"/>
  <c r="CJ14" i="4"/>
  <c r="CR14" i="4" s="1"/>
  <c r="CV14" i="4" s="1"/>
  <c r="CX14" i="4" s="1"/>
  <c r="CH20" i="4"/>
  <c r="CJ20" i="4"/>
  <c r="CR20" i="4" s="1"/>
  <c r="CV20" i="4" s="1"/>
  <c r="CX20" i="4" s="1"/>
  <c r="CH8" i="4"/>
  <c r="CJ8" i="4"/>
  <c r="CR8" i="4" s="1"/>
  <c r="CV8" i="4" s="1"/>
  <c r="CX8" i="4" s="1"/>
  <c r="CH13" i="4"/>
  <c r="CJ13" i="4"/>
  <c r="CR13" i="4" s="1"/>
  <c r="CV13" i="4" s="1"/>
  <c r="CX13" i="4" s="1"/>
  <c r="CH29" i="4"/>
  <c r="CJ29" i="4"/>
  <c r="CR29" i="4" s="1"/>
  <c r="CV29" i="4" s="1"/>
  <c r="CX29" i="4" s="1"/>
  <c r="CH31" i="4"/>
  <c r="CJ31" i="4"/>
  <c r="CR31" i="4" s="1"/>
  <c r="CV31" i="4" s="1"/>
  <c r="CX31" i="4" s="1"/>
  <c r="CH15" i="4"/>
  <c r="CJ15" i="4"/>
  <c r="CR15" i="4" s="1"/>
  <c r="CV15" i="4" s="1"/>
  <c r="CX15" i="4" s="1"/>
  <c r="CH27" i="4"/>
  <c r="CJ27" i="4"/>
  <c r="CR27" i="4" s="1"/>
  <c r="CV27" i="4" s="1"/>
  <c r="CX27" i="4" s="1"/>
  <c r="CH28" i="4"/>
  <c r="CJ28" i="4"/>
  <c r="CR28" i="4" s="1"/>
  <c r="CV28" i="4" s="1"/>
  <c r="CX28" i="4" s="1"/>
  <c r="CH5" i="4"/>
  <c r="CJ5" i="4"/>
  <c r="CR5" i="4" s="1"/>
  <c r="CV5" i="4" s="1"/>
  <c r="CX5" i="4" s="1"/>
  <c r="CH32" i="4"/>
  <c r="CJ32" i="4"/>
  <c r="CR32" i="4" s="1"/>
  <c r="CV32" i="4" s="1"/>
  <c r="CX32" i="4" s="1"/>
  <c r="CH35" i="4"/>
  <c r="CJ35" i="4"/>
  <c r="CR35" i="4" s="1"/>
  <c r="CV35" i="4" s="1"/>
  <c r="CX35" i="4" s="1"/>
  <c r="CH34" i="4"/>
  <c r="CJ34" i="4"/>
  <c r="CR34" i="4" s="1"/>
  <c r="CV34" i="4" s="1"/>
  <c r="CX34" i="4" s="1"/>
  <c r="CH19" i="4"/>
  <c r="CJ19" i="4"/>
  <c r="CR19" i="4" s="1"/>
  <c r="CV19" i="4" s="1"/>
  <c r="CX19" i="4" s="1"/>
  <c r="CH11" i="4"/>
  <c r="CJ11" i="4"/>
  <c r="CR11" i="4" s="1"/>
  <c r="CV11" i="4" s="1"/>
  <c r="CX11" i="4" s="1"/>
  <c r="CH17" i="4"/>
  <c r="CJ17" i="4"/>
  <c r="CR17" i="4" s="1"/>
  <c r="CV17" i="4" s="1"/>
  <c r="CX17" i="4" s="1"/>
  <c r="CH7" i="4"/>
  <c r="CJ7" i="4"/>
  <c r="CR7" i="4" s="1"/>
  <c r="CV7" i="4" s="1"/>
  <c r="CX7" i="4" s="1"/>
  <c r="CH18" i="4"/>
  <c r="CJ18" i="4"/>
  <c r="CR18" i="4" s="1"/>
  <c r="CV18" i="4" s="1"/>
  <c r="CX18" i="4" s="1"/>
  <c r="CH30" i="4"/>
  <c r="CJ30" i="4"/>
  <c r="CR30" i="4" s="1"/>
  <c r="CV30" i="4" s="1"/>
  <c r="CX30" i="4" s="1"/>
  <c r="DD12" i="4" l="1"/>
  <c r="CZ12" i="4"/>
  <c r="DA12" i="4" s="1"/>
  <c r="DB12" i="4" s="1"/>
  <c r="DD30" i="4"/>
  <c r="CZ30" i="4"/>
  <c r="DA30" i="4" s="1"/>
  <c r="DB30" i="4" s="1"/>
  <c r="CZ11" i="4"/>
  <c r="DA11" i="4" s="1"/>
  <c r="DB11" i="4" s="1"/>
  <c r="DD11" i="4"/>
  <c r="CZ32" i="4"/>
  <c r="DA32" i="4" s="1"/>
  <c r="DB32" i="4" s="1"/>
  <c r="DD32" i="4"/>
  <c r="CZ15" i="4"/>
  <c r="DA15" i="4" s="1"/>
  <c r="DB15" i="4" s="1"/>
  <c r="DD15" i="4"/>
  <c r="CZ8" i="4"/>
  <c r="DA8" i="4" s="1"/>
  <c r="DB8" i="4" s="1"/>
  <c r="DD8" i="4"/>
  <c r="DD26" i="4"/>
  <c r="CZ26" i="4"/>
  <c r="DA26" i="4" s="1"/>
  <c r="DB26" i="4" s="1"/>
  <c r="DD24" i="4"/>
  <c r="CZ24" i="4"/>
  <c r="DA24" i="4" s="1"/>
  <c r="DB24" i="4" s="1"/>
  <c r="CZ6" i="4"/>
  <c r="DA6" i="4" s="1"/>
  <c r="DB6" i="4" s="1"/>
  <c r="DD6" i="4"/>
  <c r="CZ5" i="4"/>
  <c r="DA5" i="4" s="1"/>
  <c r="DB5" i="4" s="1"/>
  <c r="DD5" i="4"/>
  <c r="CZ33" i="4"/>
  <c r="DA33" i="4" s="1"/>
  <c r="DB33" i="4" s="1"/>
  <c r="DD33" i="4"/>
  <c r="DD9" i="4"/>
  <c r="CZ9" i="4"/>
  <c r="DA9" i="4" s="1"/>
  <c r="DB9" i="4" s="1"/>
  <c r="DD21" i="4"/>
  <c r="CZ21" i="4"/>
  <c r="DA21" i="4" s="1"/>
  <c r="DB21" i="4" s="1"/>
  <c r="DD18" i="4"/>
  <c r="CZ18" i="4"/>
  <c r="DA18" i="4" s="1"/>
  <c r="DB18" i="4" s="1"/>
  <c r="CZ20" i="4"/>
  <c r="DA20" i="4" s="1"/>
  <c r="DB20" i="4" s="1"/>
  <c r="DD20" i="4"/>
  <c r="CZ7" i="4"/>
  <c r="DA7" i="4" s="1"/>
  <c r="DB7" i="4" s="1"/>
  <c r="DD7" i="4"/>
  <c r="CZ34" i="4"/>
  <c r="DA34" i="4" s="1"/>
  <c r="DB34" i="4" s="1"/>
  <c r="DD34" i="4"/>
  <c r="CZ28" i="4"/>
  <c r="DA28" i="4" s="1"/>
  <c r="DB28" i="4" s="1"/>
  <c r="DD28" i="4"/>
  <c r="CZ29" i="4"/>
  <c r="DA29" i="4" s="1"/>
  <c r="DB29" i="4" s="1"/>
  <c r="DD29" i="4"/>
  <c r="DD14" i="4"/>
  <c r="CZ14" i="4"/>
  <c r="DA14" i="4" s="1"/>
  <c r="DB14" i="4" s="1"/>
  <c r="CZ19" i="4"/>
  <c r="DA19" i="4" s="1"/>
  <c r="DB19" i="4" s="1"/>
  <c r="DD19" i="4"/>
  <c r="CH25" i="4"/>
  <c r="CJ25" i="4"/>
  <c r="CR25" i="4" s="1"/>
  <c r="CV25" i="4" s="1"/>
  <c r="CX25" i="4" s="1"/>
  <c r="CZ16" i="4"/>
  <c r="DA16" i="4" s="1"/>
  <c r="DB16" i="4" s="1"/>
  <c r="DD16" i="4"/>
  <c r="CZ10" i="4"/>
  <c r="DA10" i="4" s="1"/>
  <c r="DB10" i="4" s="1"/>
  <c r="DD10" i="4"/>
  <c r="CZ23" i="4"/>
  <c r="DA23" i="4" s="1"/>
  <c r="DB23" i="4" s="1"/>
  <c r="DD23" i="4"/>
  <c r="DD31" i="4"/>
  <c r="CZ31" i="4"/>
  <c r="DA31" i="4" s="1"/>
  <c r="DB31" i="4" s="1"/>
  <c r="CE36" i="4"/>
  <c r="CE45" i="4" s="1"/>
  <c r="CF4" i="4"/>
  <c r="CG4" i="4" s="1"/>
  <c r="CZ17" i="4"/>
  <c r="DA17" i="4" s="1"/>
  <c r="DB17" i="4" s="1"/>
  <c r="DD17" i="4"/>
  <c r="CZ35" i="4"/>
  <c r="DA35" i="4" s="1"/>
  <c r="DB35" i="4" s="1"/>
  <c r="DD35" i="4"/>
  <c r="CZ27" i="4"/>
  <c r="DA27" i="4" s="1"/>
  <c r="DB27" i="4" s="1"/>
  <c r="DD27" i="4"/>
  <c r="DD13" i="4"/>
  <c r="CZ13" i="4"/>
  <c r="DA13" i="4" s="1"/>
  <c r="DB13" i="4" s="1"/>
  <c r="DD22" i="4"/>
  <c r="CZ22" i="4"/>
  <c r="DA22" i="4" s="1"/>
  <c r="DB22" i="4" s="1"/>
  <c r="DC16" i="4" l="1"/>
  <c r="DG16" i="4" s="1"/>
  <c r="DC5" i="4"/>
  <c r="DE5" i="4" s="1"/>
  <c r="DF5" i="4" s="1"/>
  <c r="DC22" i="4"/>
  <c r="DG22" i="4" s="1"/>
  <c r="DC13" i="4"/>
  <c r="DG13" i="4" s="1"/>
  <c r="DC28" i="4"/>
  <c r="DG28" i="4" s="1"/>
  <c r="DC6" i="4"/>
  <c r="DE6" i="4" s="1"/>
  <c r="DF6" i="4" s="1"/>
  <c r="DC19" i="4"/>
  <c r="DE19" i="4" s="1"/>
  <c r="DF19" i="4" s="1"/>
  <c r="DC30" i="4"/>
  <c r="DG30" i="4" s="1"/>
  <c r="DC14" i="4"/>
  <c r="DE14" i="4" s="1"/>
  <c r="DF14" i="4" s="1"/>
  <c r="DC34" i="4"/>
  <c r="DC27" i="4"/>
  <c r="DE27" i="4" s="1"/>
  <c r="DF27" i="4" s="1"/>
  <c r="DC32" i="4"/>
  <c r="DG32" i="4" s="1"/>
  <c r="DC10" i="4"/>
  <c r="DG10" i="4" s="1"/>
  <c r="DC15" i="4"/>
  <c r="DE15" i="4" s="1"/>
  <c r="DF15" i="4" s="1"/>
  <c r="DC12" i="4"/>
  <c r="DG12" i="4" s="1"/>
  <c r="DC31" i="4"/>
  <c r="DG31" i="4" s="1"/>
  <c r="DC17" i="4"/>
  <c r="DE17" i="4" s="1"/>
  <c r="DF17" i="4" s="1"/>
  <c r="DG34" i="4"/>
  <c r="DE34" i="4"/>
  <c r="DF34" i="4" s="1"/>
  <c r="DE9" i="4"/>
  <c r="DF9" i="4" s="1"/>
  <c r="CZ25" i="4"/>
  <c r="DA25" i="4" s="1"/>
  <c r="DB25" i="4" s="1"/>
  <c r="DD25" i="4"/>
  <c r="DC33" i="4"/>
  <c r="DG33" i="4" s="1"/>
  <c r="DE8" i="4"/>
  <c r="DF8" i="4" s="1"/>
  <c r="DE12" i="4"/>
  <c r="DF12" i="4" s="1"/>
  <c r="DC7" i="4"/>
  <c r="DE7" i="4" s="1"/>
  <c r="DF7" i="4" s="1"/>
  <c r="DG18" i="4"/>
  <c r="DE33" i="4"/>
  <c r="DF33" i="4" s="1"/>
  <c r="DC24" i="4"/>
  <c r="DG24" i="4" s="1"/>
  <c r="DE11" i="4"/>
  <c r="DF11" i="4" s="1"/>
  <c r="DG27" i="4"/>
  <c r="CG36" i="4"/>
  <c r="CG45" i="4" s="1"/>
  <c r="CH4" i="4"/>
  <c r="CH36" i="4" s="1"/>
  <c r="CJ4" i="4"/>
  <c r="DG7" i="4"/>
  <c r="DC21" i="4"/>
  <c r="DG21" i="4" s="1"/>
  <c r="DC18" i="4"/>
  <c r="DE18" i="4" s="1"/>
  <c r="DF18" i="4" s="1"/>
  <c r="DC8" i="4"/>
  <c r="DG8" i="4" s="1"/>
  <c r="DG17" i="4"/>
  <c r="DE23" i="4"/>
  <c r="DF23" i="4" s="1"/>
  <c r="DE10" i="4"/>
  <c r="DF10" i="4" s="1"/>
  <c r="DG19" i="4"/>
  <c r="DE24" i="4"/>
  <c r="DF24" i="4" s="1"/>
  <c r="DG15" i="4"/>
  <c r="DE28" i="4"/>
  <c r="DF28" i="4" s="1"/>
  <c r="DE21" i="4"/>
  <c r="DF21" i="4" s="1"/>
  <c r="DG5" i="4"/>
  <c r="DC26" i="4"/>
  <c r="DG26" i="4" s="1"/>
  <c r="DE22" i="4"/>
  <c r="DF22" i="4" s="1"/>
  <c r="DE35" i="4"/>
  <c r="DF35" i="4" s="1"/>
  <c r="DC9" i="4"/>
  <c r="DG9" i="4" s="1"/>
  <c r="DE30" i="4"/>
  <c r="DF30" i="4" s="1"/>
  <c r="DC20" i="4"/>
  <c r="DE20" i="4" s="1"/>
  <c r="DF20" i="4" s="1"/>
  <c r="DE31" i="4"/>
  <c r="DF31" i="4" s="1"/>
  <c r="DE16" i="4"/>
  <c r="DF16" i="4" s="1"/>
  <c r="DE26" i="4"/>
  <c r="DF26" i="4" s="1"/>
  <c r="DE32" i="4"/>
  <c r="DF32" i="4" s="1"/>
  <c r="DC35" i="4"/>
  <c r="DG35" i="4" s="1"/>
  <c r="DC23" i="4"/>
  <c r="DG23" i="4" s="1"/>
  <c r="DG6" i="4"/>
  <c r="DE13" i="4"/>
  <c r="DF13" i="4" s="1"/>
  <c r="DC29" i="4"/>
  <c r="DG29" i="4" s="1"/>
  <c r="DC11" i="4"/>
  <c r="DG11" i="4" s="1"/>
  <c r="DG14" i="4" l="1"/>
  <c r="DG20" i="4"/>
  <c r="DE29" i="4"/>
  <c r="DF29" i="4" s="1"/>
  <c r="DC25" i="4"/>
  <c r="DG25" i="4" s="1"/>
  <c r="DE25" i="4"/>
  <c r="DF25" i="4" s="1"/>
  <c r="CJ36" i="4"/>
  <c r="CR4" i="4"/>
  <c r="CR36" i="4" l="1"/>
  <c r="CR45" i="4" s="1"/>
  <c r="CV4" i="4"/>
  <c r="CV36" i="4" l="1"/>
  <c r="CV45" i="4" s="1"/>
  <c r="CX4" i="4"/>
  <c r="CX36" i="4" l="1"/>
  <c r="DD4" i="4"/>
  <c r="CZ4" i="4"/>
  <c r="DG4" i="4" l="1"/>
  <c r="DG36" i="4" s="1"/>
  <c r="DA4" i="4"/>
  <c r="CZ36" i="4"/>
  <c r="DA36" i="4" l="1"/>
  <c r="DB4" i="4"/>
  <c r="DC4" i="4" l="1"/>
  <c r="DE4" i="4" s="1"/>
  <c r="DE36" i="4" s="1"/>
  <c r="DE45" i="4" s="1"/>
  <c r="DA45" i="4"/>
  <c r="DF41" i="4" l="1"/>
  <c r="DH19" i="4" s="1"/>
  <c r="DI19" i="4" s="1"/>
  <c r="DJ19" i="4" s="1"/>
  <c r="DK19" i="4" s="1"/>
  <c r="DF4" i="4"/>
  <c r="DH30" i="4" l="1"/>
  <c r="DI30" i="4" s="1"/>
  <c r="DJ30" i="4" s="1"/>
  <c r="DK30" i="4" s="1"/>
  <c r="DL30" i="4" s="1"/>
  <c r="DH13" i="4"/>
  <c r="DI13" i="4" s="1"/>
  <c r="DJ13" i="4" s="1"/>
  <c r="DK13" i="4" s="1"/>
  <c r="DL13" i="4" s="1"/>
  <c r="DH8" i="4"/>
  <c r="DI8" i="4" s="1"/>
  <c r="DJ8" i="4" s="1"/>
  <c r="DK8" i="4" s="1"/>
  <c r="DL8" i="4" s="1"/>
  <c r="DH27" i="4"/>
  <c r="DI27" i="4" s="1"/>
  <c r="DJ27" i="4" s="1"/>
  <c r="DK27" i="4" s="1"/>
  <c r="DL27" i="4" s="1"/>
  <c r="DH15" i="4"/>
  <c r="DI15" i="4" s="1"/>
  <c r="DJ15" i="4" s="1"/>
  <c r="DK15" i="4" s="1"/>
  <c r="DL15" i="4" s="1"/>
  <c r="DH31" i="4"/>
  <c r="DI31" i="4" s="1"/>
  <c r="DJ31" i="4" s="1"/>
  <c r="DK31" i="4" s="1"/>
  <c r="DN31" i="4" s="1"/>
  <c r="DV31" i="4" s="1"/>
  <c r="DZ31" i="4" s="1"/>
  <c r="EB31" i="4" s="1"/>
  <c r="DH11" i="4"/>
  <c r="DI11" i="4" s="1"/>
  <c r="DJ11" i="4" s="1"/>
  <c r="DK11" i="4" s="1"/>
  <c r="DL11" i="4" s="1"/>
  <c r="DH12" i="4"/>
  <c r="DI12" i="4" s="1"/>
  <c r="DJ12" i="4" s="1"/>
  <c r="DK12" i="4" s="1"/>
  <c r="DN12" i="4" s="1"/>
  <c r="DV12" i="4" s="1"/>
  <c r="DZ12" i="4" s="1"/>
  <c r="EB12" i="4" s="1"/>
  <c r="DH4" i="4"/>
  <c r="DI4" i="4" s="1"/>
  <c r="DH6" i="4"/>
  <c r="DI6" i="4" s="1"/>
  <c r="DJ6" i="4" s="1"/>
  <c r="DK6" i="4" s="1"/>
  <c r="DN6" i="4" s="1"/>
  <c r="DV6" i="4" s="1"/>
  <c r="DZ6" i="4" s="1"/>
  <c r="EB6" i="4" s="1"/>
  <c r="DH16" i="4"/>
  <c r="DI16" i="4" s="1"/>
  <c r="DJ16" i="4" s="1"/>
  <c r="DK16" i="4" s="1"/>
  <c r="DH28" i="4"/>
  <c r="DI28" i="4" s="1"/>
  <c r="DJ28" i="4" s="1"/>
  <c r="DK28" i="4" s="1"/>
  <c r="DN28" i="4" s="1"/>
  <c r="DV28" i="4" s="1"/>
  <c r="DZ28" i="4" s="1"/>
  <c r="EB28" i="4" s="1"/>
  <c r="DH9" i="4"/>
  <c r="DI9" i="4" s="1"/>
  <c r="DJ9" i="4" s="1"/>
  <c r="DK9" i="4" s="1"/>
  <c r="DN9" i="4" s="1"/>
  <c r="DV9" i="4" s="1"/>
  <c r="DZ9" i="4" s="1"/>
  <c r="EB9" i="4" s="1"/>
  <c r="DH23" i="4"/>
  <c r="DI23" i="4" s="1"/>
  <c r="DJ23" i="4" s="1"/>
  <c r="DK23" i="4" s="1"/>
  <c r="DL23" i="4" s="1"/>
  <c r="DH34" i="4"/>
  <c r="DI34" i="4" s="1"/>
  <c r="DJ34" i="4" s="1"/>
  <c r="DK34" i="4" s="1"/>
  <c r="DN34" i="4" s="1"/>
  <c r="DV34" i="4" s="1"/>
  <c r="DZ34" i="4" s="1"/>
  <c r="EB34" i="4" s="1"/>
  <c r="DH17" i="4"/>
  <c r="DI17" i="4" s="1"/>
  <c r="DJ17" i="4" s="1"/>
  <c r="DK17" i="4" s="1"/>
  <c r="DN17" i="4" s="1"/>
  <c r="DV17" i="4" s="1"/>
  <c r="DZ17" i="4" s="1"/>
  <c r="EB17" i="4" s="1"/>
  <c r="DF45" i="4"/>
  <c r="DH24" i="4"/>
  <c r="DI24" i="4" s="1"/>
  <c r="DJ24" i="4" s="1"/>
  <c r="DK24" i="4" s="1"/>
  <c r="DL24" i="4" s="1"/>
  <c r="DH22" i="4"/>
  <c r="DI22" i="4" s="1"/>
  <c r="DJ22" i="4" s="1"/>
  <c r="DK22" i="4" s="1"/>
  <c r="DL22" i="4" s="1"/>
  <c r="DH21" i="4"/>
  <c r="DI21" i="4" s="1"/>
  <c r="DJ21" i="4" s="1"/>
  <c r="DK21" i="4" s="1"/>
  <c r="DL21" i="4" s="1"/>
  <c r="DH33" i="4"/>
  <c r="DI33" i="4" s="1"/>
  <c r="DJ33" i="4" s="1"/>
  <c r="DK33" i="4" s="1"/>
  <c r="DN33" i="4" s="1"/>
  <c r="DV33" i="4" s="1"/>
  <c r="DZ33" i="4" s="1"/>
  <c r="EB33" i="4" s="1"/>
  <c r="DH20" i="4"/>
  <c r="DI20" i="4" s="1"/>
  <c r="DJ20" i="4" s="1"/>
  <c r="DK20" i="4" s="1"/>
  <c r="DL20" i="4" s="1"/>
  <c r="DH35" i="4"/>
  <c r="DI35" i="4" s="1"/>
  <c r="DJ35" i="4" s="1"/>
  <c r="DK35" i="4" s="1"/>
  <c r="DN35" i="4" s="1"/>
  <c r="DV35" i="4" s="1"/>
  <c r="DZ35" i="4" s="1"/>
  <c r="EB35" i="4" s="1"/>
  <c r="DH18" i="4"/>
  <c r="DI18" i="4" s="1"/>
  <c r="DJ18" i="4" s="1"/>
  <c r="DK18" i="4" s="1"/>
  <c r="DN18" i="4" s="1"/>
  <c r="DV18" i="4" s="1"/>
  <c r="DZ18" i="4" s="1"/>
  <c r="EB18" i="4" s="1"/>
  <c r="DH25" i="4"/>
  <c r="DH14" i="4"/>
  <c r="DI14" i="4" s="1"/>
  <c r="DJ14" i="4" s="1"/>
  <c r="DK14" i="4" s="1"/>
  <c r="DL14" i="4" s="1"/>
  <c r="DG45" i="4"/>
  <c r="DH32" i="4"/>
  <c r="DI32" i="4" s="1"/>
  <c r="DJ32" i="4" s="1"/>
  <c r="DK32" i="4" s="1"/>
  <c r="DN32" i="4" s="1"/>
  <c r="DV32" i="4" s="1"/>
  <c r="DZ32" i="4" s="1"/>
  <c r="EB32" i="4" s="1"/>
  <c r="DH5" i="4"/>
  <c r="DI5" i="4" s="1"/>
  <c r="DJ5" i="4" s="1"/>
  <c r="DK5" i="4" s="1"/>
  <c r="DL5" i="4" s="1"/>
  <c r="DH10" i="4"/>
  <c r="DI10" i="4" s="1"/>
  <c r="DJ10" i="4" s="1"/>
  <c r="DK10" i="4" s="1"/>
  <c r="DL10" i="4" s="1"/>
  <c r="DH7" i="4"/>
  <c r="DI7" i="4" s="1"/>
  <c r="DJ7" i="4" s="1"/>
  <c r="DK7" i="4" s="1"/>
  <c r="DN7" i="4" s="1"/>
  <c r="DV7" i="4" s="1"/>
  <c r="DZ7" i="4" s="1"/>
  <c r="EB7" i="4" s="1"/>
  <c r="DH29" i="4"/>
  <c r="DI29" i="4" s="1"/>
  <c r="DJ29" i="4" s="1"/>
  <c r="DK29" i="4" s="1"/>
  <c r="DL29" i="4" s="1"/>
  <c r="DH26" i="4"/>
  <c r="DI26" i="4" s="1"/>
  <c r="DJ26" i="4" s="1"/>
  <c r="DK26" i="4" s="1"/>
  <c r="DL26" i="4" s="1"/>
  <c r="DL19" i="4"/>
  <c r="DN19" i="4"/>
  <c r="DV19" i="4" s="1"/>
  <c r="DZ19" i="4" s="1"/>
  <c r="EB19" i="4" s="1"/>
  <c r="DL16" i="4"/>
  <c r="DN16" i="4"/>
  <c r="DV16" i="4" s="1"/>
  <c r="DZ16" i="4" s="1"/>
  <c r="EB16" i="4" s="1"/>
  <c r="DL33" i="4"/>
  <c r="DN27" i="4" l="1"/>
  <c r="DV27" i="4" s="1"/>
  <c r="DZ27" i="4" s="1"/>
  <c r="EB27" i="4" s="1"/>
  <c r="EH27" i="4" s="1"/>
  <c r="DN8" i="4"/>
  <c r="DV8" i="4" s="1"/>
  <c r="DZ8" i="4" s="1"/>
  <c r="EB8" i="4" s="1"/>
  <c r="ED8" i="4" s="1"/>
  <c r="EE8" i="4" s="1"/>
  <c r="EF8" i="4" s="1"/>
  <c r="DN20" i="4"/>
  <c r="DV20" i="4" s="1"/>
  <c r="DZ20" i="4" s="1"/>
  <c r="EB20" i="4" s="1"/>
  <c r="EH20" i="4" s="1"/>
  <c r="DN11" i="4"/>
  <c r="DV11" i="4" s="1"/>
  <c r="DZ11" i="4" s="1"/>
  <c r="EB11" i="4" s="1"/>
  <c r="EH11" i="4" s="1"/>
  <c r="DL28" i="4"/>
  <c r="DL31" i="4"/>
  <c r="DL34" i="4"/>
  <c r="DN23" i="4"/>
  <c r="DV23" i="4" s="1"/>
  <c r="DZ23" i="4" s="1"/>
  <c r="EB23" i="4" s="1"/>
  <c r="EH23" i="4" s="1"/>
  <c r="DN10" i="4"/>
  <c r="DV10" i="4" s="1"/>
  <c r="DZ10" i="4" s="1"/>
  <c r="EB10" i="4" s="1"/>
  <c r="EH10" i="4" s="1"/>
  <c r="DN22" i="4"/>
  <c r="DV22" i="4" s="1"/>
  <c r="DZ22" i="4" s="1"/>
  <c r="EB22" i="4" s="1"/>
  <c r="EH22" i="4" s="1"/>
  <c r="DN5" i="4"/>
  <c r="DV5" i="4" s="1"/>
  <c r="DZ5" i="4" s="1"/>
  <c r="EB5" i="4" s="1"/>
  <c r="EH5" i="4" s="1"/>
  <c r="DL12" i="4"/>
  <c r="DL17" i="4"/>
  <c r="DN15" i="4"/>
  <c r="DV15" i="4" s="1"/>
  <c r="DZ15" i="4" s="1"/>
  <c r="EB15" i="4" s="1"/>
  <c r="EH15" i="4" s="1"/>
  <c r="DL9" i="4"/>
  <c r="DN13" i="4"/>
  <c r="DV13" i="4" s="1"/>
  <c r="DZ13" i="4" s="1"/>
  <c r="EB13" i="4" s="1"/>
  <c r="ED13" i="4" s="1"/>
  <c r="EE13" i="4" s="1"/>
  <c r="EF13" i="4" s="1"/>
  <c r="DL6" i="4"/>
  <c r="DL35" i="4"/>
  <c r="DN30" i="4"/>
  <c r="DV30" i="4" s="1"/>
  <c r="DZ30" i="4" s="1"/>
  <c r="EB30" i="4" s="1"/>
  <c r="ED30" i="4" s="1"/>
  <c r="EE30" i="4" s="1"/>
  <c r="EF30" i="4" s="1"/>
  <c r="DL18" i="4"/>
  <c r="DL7" i="4"/>
  <c r="DN14" i="4"/>
  <c r="DV14" i="4" s="1"/>
  <c r="DZ14" i="4" s="1"/>
  <c r="EB14" i="4" s="1"/>
  <c r="EH14" i="4" s="1"/>
  <c r="DN24" i="4"/>
  <c r="DV24" i="4" s="1"/>
  <c r="DZ24" i="4" s="1"/>
  <c r="EB24" i="4" s="1"/>
  <c r="EH24" i="4" s="1"/>
  <c r="DN21" i="4"/>
  <c r="DV21" i="4" s="1"/>
  <c r="DZ21" i="4" s="1"/>
  <c r="EB21" i="4" s="1"/>
  <c r="ED21" i="4" s="1"/>
  <c r="EE21" i="4" s="1"/>
  <c r="DL32" i="4"/>
  <c r="DN26" i="4"/>
  <c r="DV26" i="4" s="1"/>
  <c r="DZ26" i="4" s="1"/>
  <c r="EB26" i="4" s="1"/>
  <c r="EH26" i="4" s="1"/>
  <c r="DN29" i="4"/>
  <c r="DV29" i="4" s="1"/>
  <c r="DZ29" i="4" s="1"/>
  <c r="EB29" i="4" s="1"/>
  <c r="EH29" i="4" s="1"/>
  <c r="DH36" i="4"/>
  <c r="DI25" i="4" s="1"/>
  <c r="DJ25" i="4" s="1"/>
  <c r="DK25" i="4" s="1"/>
  <c r="DL25" i="4" s="1"/>
  <c r="EH6" i="4"/>
  <c r="ED6" i="4"/>
  <c r="EE6" i="4" s="1"/>
  <c r="EF6" i="4" s="1"/>
  <c r="ED7" i="4"/>
  <c r="EE7" i="4" s="1"/>
  <c r="EF7" i="4" s="1"/>
  <c r="EH7" i="4"/>
  <c r="EH17" i="4"/>
  <c r="ED17" i="4"/>
  <c r="EE17" i="4" s="1"/>
  <c r="EF17" i="4" s="1"/>
  <c r="EH16" i="4"/>
  <c r="ED16" i="4"/>
  <c r="EE16" i="4" s="1"/>
  <c r="EF16" i="4" s="1"/>
  <c r="EH19" i="4"/>
  <c r="ED19" i="4"/>
  <c r="EE19" i="4" s="1"/>
  <c r="EF19" i="4" s="1"/>
  <c r="ED32" i="4"/>
  <c r="EE32" i="4" s="1"/>
  <c r="EF32" i="4" s="1"/>
  <c r="EH32" i="4"/>
  <c r="ED18" i="4"/>
  <c r="EE18" i="4" s="1"/>
  <c r="EF18" i="4" s="1"/>
  <c r="EH18" i="4"/>
  <c r="ED12" i="4"/>
  <c r="EE12" i="4" s="1"/>
  <c r="EF12" i="4" s="1"/>
  <c r="EH12" i="4"/>
  <c r="DJ4" i="4"/>
  <c r="DK4" i="4" s="1"/>
  <c r="ED34" i="4"/>
  <c r="EE34" i="4" s="1"/>
  <c r="EF34" i="4" s="1"/>
  <c r="EH34" i="4"/>
  <c r="ED9" i="4"/>
  <c r="EE9" i="4" s="1"/>
  <c r="EF9" i="4" s="1"/>
  <c r="EH9" i="4"/>
  <c r="ED28" i="4"/>
  <c r="EE28" i="4" s="1"/>
  <c r="EF28" i="4" s="1"/>
  <c r="EH28" i="4"/>
  <c r="ED33" i="4"/>
  <c r="EE33" i="4" s="1"/>
  <c r="EF33" i="4" s="1"/>
  <c r="EH33" i="4"/>
  <c r="EH31" i="4"/>
  <c r="ED31" i="4"/>
  <c r="EE31" i="4" s="1"/>
  <c r="EF31" i="4" s="1"/>
  <c r="ED35" i="4"/>
  <c r="EE35" i="4" s="1"/>
  <c r="EF35" i="4" s="1"/>
  <c r="EH35" i="4"/>
  <c r="ED11" i="4" l="1"/>
  <c r="EE11" i="4" s="1"/>
  <c r="EF11" i="4" s="1"/>
  <c r="ED27" i="4"/>
  <c r="EE27" i="4" s="1"/>
  <c r="EF27" i="4" s="1"/>
  <c r="EG27" i="4" s="1"/>
  <c r="EI27" i="4" s="1"/>
  <c r="EJ27" i="4" s="1"/>
  <c r="ED15" i="4"/>
  <c r="EE15" i="4" s="1"/>
  <c r="EF15" i="4" s="1"/>
  <c r="EG15" i="4" s="1"/>
  <c r="EI15" i="4" s="1"/>
  <c r="EJ15" i="4" s="1"/>
  <c r="ED20" i="4"/>
  <c r="EE20" i="4" s="1"/>
  <c r="EF20" i="4" s="1"/>
  <c r="EG20" i="4" s="1"/>
  <c r="EK20" i="4" s="1"/>
  <c r="EH8" i="4"/>
  <c r="ED10" i="4"/>
  <c r="EE10" i="4" s="1"/>
  <c r="EF10" i="4" s="1"/>
  <c r="EG10" i="4" s="1"/>
  <c r="EK10" i="4" s="1"/>
  <c r="ED23" i="4"/>
  <c r="EE23" i="4" s="1"/>
  <c r="EF23" i="4" s="1"/>
  <c r="EG23" i="4" s="1"/>
  <c r="EK23" i="4" s="1"/>
  <c r="EH30" i="4"/>
  <c r="EI30" i="4" s="1"/>
  <c r="EJ30" i="4" s="1"/>
  <c r="ED22" i="4"/>
  <c r="EE22" i="4" s="1"/>
  <c r="EF22" i="4" s="1"/>
  <c r="EG22" i="4" s="1"/>
  <c r="EK22" i="4" s="1"/>
  <c r="ED5" i="4"/>
  <c r="EE5" i="4" s="1"/>
  <c r="EF5" i="4" s="1"/>
  <c r="EG5" i="4" s="1"/>
  <c r="EI5" i="4" s="1"/>
  <c r="EJ5" i="4" s="1"/>
  <c r="EH13" i="4"/>
  <c r="EI13" i="4" s="1"/>
  <c r="EJ13" i="4" s="1"/>
  <c r="ED29" i="4"/>
  <c r="EE29" i="4" s="1"/>
  <c r="EF29" i="4" s="1"/>
  <c r="EG29" i="4" s="1"/>
  <c r="EK29" i="4" s="1"/>
  <c r="ED14" i="4"/>
  <c r="EE14" i="4" s="1"/>
  <c r="EF14" i="4" s="1"/>
  <c r="EG14" i="4" s="1"/>
  <c r="EK14" i="4" s="1"/>
  <c r="ED24" i="4"/>
  <c r="EE24" i="4" s="1"/>
  <c r="EF24" i="4" s="1"/>
  <c r="EG24" i="4" s="1"/>
  <c r="EK24" i="4" s="1"/>
  <c r="EH21" i="4"/>
  <c r="EI21" i="4" s="1"/>
  <c r="EF21" i="4"/>
  <c r="EG21" i="4" s="1"/>
  <c r="ED26" i="4"/>
  <c r="EE26" i="4" s="1"/>
  <c r="EF26" i="4" s="1"/>
  <c r="EG26" i="4" s="1"/>
  <c r="EK26" i="4" s="1"/>
  <c r="DI36" i="4"/>
  <c r="DI45" i="4" s="1"/>
  <c r="DN25" i="4"/>
  <c r="DV25" i="4" s="1"/>
  <c r="DZ25" i="4" s="1"/>
  <c r="EB25" i="4" s="1"/>
  <c r="EH25" i="4" s="1"/>
  <c r="EG17" i="4"/>
  <c r="EI17" i="4" s="1"/>
  <c r="EJ17" i="4" s="1"/>
  <c r="EG12" i="4"/>
  <c r="EK12" i="4" s="1"/>
  <c r="EG7" i="4"/>
  <c r="EI7" i="4" s="1"/>
  <c r="EJ7" i="4" s="1"/>
  <c r="EG35" i="4"/>
  <c r="EK35" i="4" s="1"/>
  <c r="EG9" i="4"/>
  <c r="EK9" i="4" s="1"/>
  <c r="EG16" i="4"/>
  <c r="EK16" i="4" s="1"/>
  <c r="EG8" i="4"/>
  <c r="EG6" i="4"/>
  <c r="EI6" i="4" s="1"/>
  <c r="EJ6" i="4" s="1"/>
  <c r="EG32" i="4"/>
  <c r="EK32" i="4" s="1"/>
  <c r="EI28" i="4"/>
  <c r="EJ28" i="4" s="1"/>
  <c r="EG30" i="4"/>
  <c r="EI16" i="4"/>
  <c r="EJ16" i="4" s="1"/>
  <c r="EI34" i="4"/>
  <c r="EJ34" i="4" s="1"/>
  <c r="EI26" i="4"/>
  <c r="EG18" i="4"/>
  <c r="EI18" i="4" s="1"/>
  <c r="EJ18" i="4" s="1"/>
  <c r="EK19" i="4"/>
  <c r="EI22" i="4"/>
  <c r="EI31" i="4"/>
  <c r="EJ31" i="4" s="1"/>
  <c r="DL4" i="4"/>
  <c r="DL36" i="4" s="1"/>
  <c r="DK36" i="4"/>
  <c r="DK45" i="4" s="1"/>
  <c r="DN4" i="4"/>
  <c r="EK18" i="4"/>
  <c r="EI23" i="4"/>
  <c r="EI20" i="4"/>
  <c r="EG28" i="4"/>
  <c r="EK28" i="4" s="1"/>
  <c r="EG13" i="4"/>
  <c r="EG34" i="4"/>
  <c r="EK34" i="4" s="1"/>
  <c r="EG19" i="4"/>
  <c r="EI19" i="4" s="1"/>
  <c r="EJ19" i="4" s="1"/>
  <c r="EG11" i="4"/>
  <c r="EK11" i="4" s="1"/>
  <c r="EI35" i="4"/>
  <c r="EJ35" i="4" s="1"/>
  <c r="EI24" i="4"/>
  <c r="EK15" i="4"/>
  <c r="EG31" i="4"/>
  <c r="EK31" i="4" s="1"/>
  <c r="EI14" i="4"/>
  <c r="EG33" i="4"/>
  <c r="EK33" i="4" s="1"/>
  <c r="EI11" i="4"/>
  <c r="EJ11" i="4" s="1"/>
  <c r="EI33" i="4"/>
  <c r="EJ33" i="4" s="1"/>
  <c r="EK5" i="4"/>
  <c r="EI9" i="4"/>
  <c r="EJ9" i="4" s="1"/>
  <c r="EI12" i="4"/>
  <c r="EJ12" i="4" s="1"/>
  <c r="EI32" i="4"/>
  <c r="EJ32" i="4" s="1"/>
  <c r="EK17" i="4"/>
  <c r="EK27" i="4"/>
  <c r="EK6" i="4"/>
  <c r="EI10" i="4"/>
  <c r="EK7" i="4"/>
  <c r="EJ10" i="4" l="1"/>
  <c r="EI8" i="4"/>
  <c r="EJ8" i="4" s="1"/>
  <c r="EJ20" i="4"/>
  <c r="EJ23" i="4"/>
  <c r="EK13" i="4"/>
  <c r="EK8" i="4"/>
  <c r="EJ22" i="4"/>
  <c r="EK30" i="4"/>
  <c r="EJ14" i="4"/>
  <c r="ED25" i="4"/>
  <c r="EE25" i="4" s="1"/>
  <c r="EF25" i="4" s="1"/>
  <c r="EG25" i="4" s="1"/>
  <c r="EK25" i="4" s="1"/>
  <c r="EJ21" i="4"/>
  <c r="EJ24" i="4"/>
  <c r="EK21" i="4"/>
  <c r="EJ26" i="4"/>
  <c r="EI29" i="4"/>
  <c r="EJ29" i="4" s="1"/>
  <c r="DN36" i="4"/>
  <c r="DV4" i="4"/>
  <c r="EI25" i="4"/>
  <c r="EJ25" i="4" l="1"/>
  <c r="DV36" i="4"/>
  <c r="DV45" i="4" s="1"/>
  <c r="DZ4" i="4"/>
  <c r="DZ36" i="4" l="1"/>
  <c r="DZ45" i="4" s="1"/>
  <c r="EB4" i="4"/>
  <c r="ED4" i="4" l="1"/>
  <c r="EH4" i="4"/>
  <c r="EB36" i="4"/>
  <c r="EK4" i="4" l="1"/>
  <c r="EK36" i="4" s="1"/>
  <c r="EE4" i="4"/>
  <c r="ED36" i="4"/>
  <c r="EE36" i="4" l="1"/>
  <c r="EF4" i="4"/>
  <c r="EE45" i="4" l="1"/>
  <c r="EG4" i="4"/>
  <c r="EI4" i="4" s="1"/>
  <c r="EI36" i="4" s="1"/>
  <c r="EI45" i="4" s="1"/>
  <c r="EJ4" i="4" l="1"/>
  <c r="EJ41" i="4"/>
  <c r="EL13" i="4" l="1"/>
  <c r="EM13" i="4" s="1"/>
  <c r="EN13" i="4" s="1"/>
  <c r="EO13" i="4" s="1"/>
  <c r="EL23" i="4"/>
  <c r="EM23" i="4" s="1"/>
  <c r="EN23" i="4" s="1"/>
  <c r="EO23" i="4" s="1"/>
  <c r="EL10" i="4"/>
  <c r="EM10" i="4" s="1"/>
  <c r="EN10" i="4" s="1"/>
  <c r="EO10" i="4" s="1"/>
  <c r="EL26" i="4"/>
  <c r="EM26" i="4" s="1"/>
  <c r="EN26" i="4" s="1"/>
  <c r="EO26" i="4" s="1"/>
  <c r="EL22" i="4"/>
  <c r="EM22" i="4" s="1"/>
  <c r="EN22" i="4" s="1"/>
  <c r="EO22" i="4" s="1"/>
  <c r="EL32" i="4"/>
  <c r="EM32" i="4" s="1"/>
  <c r="EN32" i="4" s="1"/>
  <c r="EO32" i="4" s="1"/>
  <c r="EL16" i="4"/>
  <c r="EM16" i="4" s="1"/>
  <c r="EN16" i="4" s="1"/>
  <c r="EO16" i="4" s="1"/>
  <c r="EL5" i="4"/>
  <c r="EM5" i="4" s="1"/>
  <c r="EN5" i="4" s="1"/>
  <c r="EO5" i="4" s="1"/>
  <c r="EL33" i="4"/>
  <c r="EM33" i="4" s="1"/>
  <c r="EN33" i="4" s="1"/>
  <c r="EO33" i="4" s="1"/>
  <c r="EL8" i="4"/>
  <c r="EM8" i="4" s="1"/>
  <c r="EN8" i="4" s="1"/>
  <c r="EO8" i="4" s="1"/>
  <c r="EL15" i="4"/>
  <c r="EM15" i="4" s="1"/>
  <c r="EN15" i="4" s="1"/>
  <c r="EO15" i="4" s="1"/>
  <c r="EL9" i="4"/>
  <c r="EM9" i="4" s="1"/>
  <c r="EN9" i="4" s="1"/>
  <c r="EO9" i="4" s="1"/>
  <c r="EL11" i="4"/>
  <c r="EM11" i="4" s="1"/>
  <c r="EN11" i="4" s="1"/>
  <c r="EO11" i="4" s="1"/>
  <c r="EL29" i="4"/>
  <c r="EM29" i="4" s="1"/>
  <c r="EN29" i="4" s="1"/>
  <c r="EO29" i="4" s="1"/>
  <c r="EL19" i="4"/>
  <c r="EM19" i="4" s="1"/>
  <c r="EN19" i="4" s="1"/>
  <c r="EO19" i="4" s="1"/>
  <c r="EL20" i="4"/>
  <c r="EM20" i="4" s="1"/>
  <c r="EN20" i="4" s="1"/>
  <c r="EO20" i="4" s="1"/>
  <c r="EL7" i="4"/>
  <c r="EM7" i="4" s="1"/>
  <c r="EN7" i="4" s="1"/>
  <c r="EO7" i="4" s="1"/>
  <c r="EL4" i="4"/>
  <c r="EJ45" i="4"/>
  <c r="EL17" i="4"/>
  <c r="EM17" i="4" s="1"/>
  <c r="EN17" i="4" s="1"/>
  <c r="EO17" i="4" s="1"/>
  <c r="EL21" i="4"/>
  <c r="EM21" i="4" s="1"/>
  <c r="EN21" i="4" s="1"/>
  <c r="EO21" i="4" s="1"/>
  <c r="EL35" i="4"/>
  <c r="EM35" i="4" s="1"/>
  <c r="EN35" i="4" s="1"/>
  <c r="EO35" i="4" s="1"/>
  <c r="EL34" i="4"/>
  <c r="EM34" i="4" s="1"/>
  <c r="EN34" i="4" s="1"/>
  <c r="EO34" i="4" s="1"/>
  <c r="EL28" i="4"/>
  <c r="EM28" i="4" s="1"/>
  <c r="EN28" i="4" s="1"/>
  <c r="EO28" i="4" s="1"/>
  <c r="EL14" i="4"/>
  <c r="EM14" i="4" s="1"/>
  <c r="EN14" i="4" s="1"/>
  <c r="EO14" i="4" s="1"/>
  <c r="EL18" i="4"/>
  <c r="EM18" i="4" s="1"/>
  <c r="EN18" i="4" s="1"/>
  <c r="EO18" i="4" s="1"/>
  <c r="EL30" i="4"/>
  <c r="EM30" i="4" s="1"/>
  <c r="EN30" i="4" s="1"/>
  <c r="EO30" i="4" s="1"/>
  <c r="EL24" i="4"/>
  <c r="EM24" i="4" s="1"/>
  <c r="EN24" i="4" s="1"/>
  <c r="EO24" i="4" s="1"/>
  <c r="EL25" i="4"/>
  <c r="EL31" i="4"/>
  <c r="EM31" i="4" s="1"/>
  <c r="EN31" i="4" s="1"/>
  <c r="EO31" i="4" s="1"/>
  <c r="EL12" i="4"/>
  <c r="EM12" i="4" s="1"/>
  <c r="EN12" i="4" s="1"/>
  <c r="EO12" i="4" s="1"/>
  <c r="EL27" i="4"/>
  <c r="EM27" i="4" s="1"/>
  <c r="EN27" i="4" s="1"/>
  <c r="EO27" i="4" s="1"/>
  <c r="EL6" i="4"/>
  <c r="EM6" i="4" s="1"/>
  <c r="EN6" i="4" s="1"/>
  <c r="EO6" i="4" s="1"/>
  <c r="EK45" i="4"/>
  <c r="EP27" i="4" l="1"/>
  <c r="ER27" i="4"/>
  <c r="EZ27" i="4" s="1"/>
  <c r="FD27" i="4" s="1"/>
  <c r="FF27" i="4" s="1"/>
  <c r="EP16" i="4"/>
  <c r="ER16" i="4"/>
  <c r="EZ16" i="4" s="1"/>
  <c r="FD16" i="4" s="1"/>
  <c r="FF16" i="4" s="1"/>
  <c r="EP31" i="4"/>
  <c r="ER31" i="4"/>
  <c r="EZ31" i="4" s="1"/>
  <c r="FD31" i="4" s="1"/>
  <c r="FF31" i="4" s="1"/>
  <c r="EP35" i="4"/>
  <c r="ER35" i="4"/>
  <c r="EZ35" i="4" s="1"/>
  <c r="FD35" i="4" s="1"/>
  <c r="FF35" i="4" s="1"/>
  <c r="EP29" i="4"/>
  <c r="ER29" i="4"/>
  <c r="EZ29" i="4" s="1"/>
  <c r="FD29" i="4" s="1"/>
  <c r="FF29" i="4" s="1"/>
  <c r="EP32" i="4"/>
  <c r="ER32" i="4"/>
  <c r="EZ32" i="4" s="1"/>
  <c r="FD32" i="4" s="1"/>
  <c r="FF32" i="4" s="1"/>
  <c r="EP12" i="4"/>
  <c r="ER12" i="4"/>
  <c r="EZ12" i="4" s="1"/>
  <c r="FD12" i="4" s="1"/>
  <c r="FF12" i="4" s="1"/>
  <c r="EP22" i="4"/>
  <c r="ER22" i="4"/>
  <c r="EZ22" i="4" s="1"/>
  <c r="FD22" i="4" s="1"/>
  <c r="FF22" i="4" s="1"/>
  <c r="EP34" i="4"/>
  <c r="ER34" i="4"/>
  <c r="EZ34" i="4" s="1"/>
  <c r="FD34" i="4" s="1"/>
  <c r="FF34" i="4" s="1"/>
  <c r="EP26" i="4"/>
  <c r="ER26" i="4"/>
  <c r="EZ26" i="4" s="1"/>
  <c r="FD26" i="4" s="1"/>
  <c r="FF26" i="4" s="1"/>
  <c r="EP28" i="4"/>
  <c r="ER28" i="4"/>
  <c r="EZ28" i="4" s="1"/>
  <c r="FD28" i="4" s="1"/>
  <c r="FF28" i="4" s="1"/>
  <c r="EP19" i="4"/>
  <c r="ER19" i="4"/>
  <c r="EZ19" i="4" s="1"/>
  <c r="FD19" i="4" s="1"/>
  <c r="FF19" i="4" s="1"/>
  <c r="EP11" i="4"/>
  <c r="ER11" i="4"/>
  <c r="EZ11" i="4" s="1"/>
  <c r="FD11" i="4" s="1"/>
  <c r="FF11" i="4" s="1"/>
  <c r="EP17" i="4"/>
  <c r="ER17" i="4"/>
  <c r="EZ17" i="4" s="1"/>
  <c r="FD17" i="4" s="1"/>
  <c r="FF17" i="4" s="1"/>
  <c r="EP15" i="4"/>
  <c r="ER15" i="4"/>
  <c r="EZ15" i="4" s="1"/>
  <c r="FD15" i="4" s="1"/>
  <c r="FF15" i="4" s="1"/>
  <c r="EP10" i="4"/>
  <c r="ER10" i="4"/>
  <c r="EZ10" i="4" s="1"/>
  <c r="FD10" i="4" s="1"/>
  <c r="FF10" i="4" s="1"/>
  <c r="EP5" i="4"/>
  <c r="ER5" i="4"/>
  <c r="EZ5" i="4" s="1"/>
  <c r="FD5" i="4" s="1"/>
  <c r="FF5" i="4" s="1"/>
  <c r="EP21" i="4"/>
  <c r="ER21" i="4"/>
  <c r="EZ21" i="4" s="1"/>
  <c r="FD21" i="4" s="1"/>
  <c r="FF21" i="4" s="1"/>
  <c r="EP9" i="4"/>
  <c r="ER9" i="4"/>
  <c r="EZ9" i="4" s="1"/>
  <c r="FD9" i="4" s="1"/>
  <c r="FF9" i="4" s="1"/>
  <c r="EP23" i="4"/>
  <c r="ER23" i="4"/>
  <c r="EZ23" i="4" s="1"/>
  <c r="FD23" i="4" s="1"/>
  <c r="FF23" i="4" s="1"/>
  <c r="EP20" i="4"/>
  <c r="ER20" i="4"/>
  <c r="EZ20" i="4" s="1"/>
  <c r="FD20" i="4" s="1"/>
  <c r="FF20" i="4" s="1"/>
  <c r="EP24" i="4"/>
  <c r="ER24" i="4"/>
  <c r="EZ24" i="4" s="1"/>
  <c r="FD24" i="4" s="1"/>
  <c r="FF24" i="4" s="1"/>
  <c r="EP30" i="4"/>
  <c r="ER30" i="4"/>
  <c r="EZ30" i="4" s="1"/>
  <c r="FD30" i="4" s="1"/>
  <c r="FF30" i="4" s="1"/>
  <c r="EP18" i="4"/>
  <c r="ER18" i="4"/>
  <c r="EZ18" i="4" s="1"/>
  <c r="FD18" i="4" s="1"/>
  <c r="FF18" i="4" s="1"/>
  <c r="EM4" i="4"/>
  <c r="EL36" i="4"/>
  <c r="EM25" i="4" s="1"/>
  <c r="EN25" i="4" s="1"/>
  <c r="EO25" i="4" s="1"/>
  <c r="EP8" i="4"/>
  <c r="ER8" i="4"/>
  <c r="EZ8" i="4" s="1"/>
  <c r="FD8" i="4" s="1"/>
  <c r="FF8" i="4" s="1"/>
  <c r="EP6" i="4"/>
  <c r="ER6" i="4"/>
  <c r="EZ6" i="4" s="1"/>
  <c r="FD6" i="4" s="1"/>
  <c r="FF6" i="4" s="1"/>
  <c r="EP14" i="4"/>
  <c r="ER14" i="4"/>
  <c r="EZ14" i="4" s="1"/>
  <c r="FD14" i="4" s="1"/>
  <c r="FF14" i="4" s="1"/>
  <c r="EP7" i="4"/>
  <c r="ER7" i="4"/>
  <c r="EZ7" i="4" s="1"/>
  <c r="FD7" i="4" s="1"/>
  <c r="FF7" i="4" s="1"/>
  <c r="EP33" i="4"/>
  <c r="ER33" i="4"/>
  <c r="EZ33" i="4" s="1"/>
  <c r="FD33" i="4" s="1"/>
  <c r="FF33" i="4" s="1"/>
  <c r="EP13" i="4"/>
  <c r="ER13" i="4"/>
  <c r="EZ13" i="4" s="1"/>
  <c r="FD13" i="4" s="1"/>
  <c r="FF13" i="4" s="1"/>
  <c r="EP25" i="4" l="1"/>
  <c r="ER25" i="4"/>
  <c r="EZ25" i="4" s="1"/>
  <c r="FD25" i="4" s="1"/>
  <c r="FF25" i="4" s="1"/>
  <c r="FL29" i="4"/>
  <c r="FH29" i="4"/>
  <c r="FI29" i="4" s="1"/>
  <c r="FJ29" i="4" s="1"/>
  <c r="FH22" i="4"/>
  <c r="FI22" i="4" s="1"/>
  <c r="FJ22" i="4" s="1"/>
  <c r="FL22" i="4"/>
  <c r="FH30" i="4"/>
  <c r="FI30" i="4" s="1"/>
  <c r="FJ30" i="4" s="1"/>
  <c r="FL30" i="4"/>
  <c r="FH9" i="4"/>
  <c r="FI9" i="4" s="1"/>
  <c r="FJ9" i="4" s="1"/>
  <c r="FL9" i="4"/>
  <c r="FH15" i="4"/>
  <c r="FI15" i="4" s="1"/>
  <c r="FJ15" i="4" s="1"/>
  <c r="FL15" i="4"/>
  <c r="FL28" i="4"/>
  <c r="FH28" i="4"/>
  <c r="FI28" i="4" s="1"/>
  <c r="FJ28" i="4" s="1"/>
  <c r="FH12" i="4"/>
  <c r="FI12" i="4" s="1"/>
  <c r="FJ12" i="4" s="1"/>
  <c r="FL12" i="4"/>
  <c r="FH31" i="4"/>
  <c r="FI31" i="4" s="1"/>
  <c r="FJ31" i="4" s="1"/>
  <c r="FL31" i="4"/>
  <c r="FL20" i="4"/>
  <c r="FH20" i="4"/>
  <c r="FI20" i="4" s="1"/>
  <c r="FJ20" i="4" s="1"/>
  <c r="FH18" i="4"/>
  <c r="FI18" i="4" s="1"/>
  <c r="FJ18" i="4" s="1"/>
  <c r="FL18" i="4"/>
  <c r="FH10" i="4"/>
  <c r="FI10" i="4" s="1"/>
  <c r="FJ10" i="4" s="1"/>
  <c r="FL10" i="4"/>
  <c r="FH13" i="4"/>
  <c r="FI13" i="4" s="1"/>
  <c r="FJ13" i="4" s="1"/>
  <c r="FL13" i="4"/>
  <c r="FL33" i="4"/>
  <c r="FH33" i="4"/>
  <c r="FI33" i="4" s="1"/>
  <c r="FJ33" i="4" s="1"/>
  <c r="FH8" i="4"/>
  <c r="FI8" i="4" s="1"/>
  <c r="FJ8" i="4" s="1"/>
  <c r="FL8" i="4"/>
  <c r="FH24" i="4"/>
  <c r="FI24" i="4" s="1"/>
  <c r="FJ24" i="4" s="1"/>
  <c r="FL24" i="4"/>
  <c r="FH5" i="4"/>
  <c r="FI5" i="4" s="1"/>
  <c r="FJ5" i="4" s="1"/>
  <c r="FL5" i="4"/>
  <c r="FH23" i="4"/>
  <c r="FI23" i="4" s="1"/>
  <c r="FJ23" i="4" s="1"/>
  <c r="FL23" i="4"/>
  <c r="FL35" i="4"/>
  <c r="FH35" i="4"/>
  <c r="FI35" i="4" s="1"/>
  <c r="FJ35" i="4" s="1"/>
  <c r="FH17" i="4"/>
  <c r="FI17" i="4" s="1"/>
  <c r="FJ17" i="4" s="1"/>
  <c r="FL17" i="4"/>
  <c r="FH26" i="4"/>
  <c r="FI26" i="4" s="1"/>
  <c r="FJ26" i="4" s="1"/>
  <c r="FL26" i="4"/>
  <c r="FH32" i="4"/>
  <c r="FI32" i="4" s="1"/>
  <c r="FJ32" i="4" s="1"/>
  <c r="FL32" i="4"/>
  <c r="FH16" i="4"/>
  <c r="FI16" i="4" s="1"/>
  <c r="FJ16" i="4" s="1"/>
  <c r="FL16" i="4"/>
  <c r="EM36" i="4"/>
  <c r="EM45" i="4" s="1"/>
  <c r="EN4" i="4"/>
  <c r="EO4" i="4" s="1"/>
  <c r="FH14" i="4"/>
  <c r="FI14" i="4" s="1"/>
  <c r="FJ14" i="4" s="1"/>
  <c r="FL14" i="4"/>
  <c r="FH19" i="4"/>
  <c r="FI19" i="4" s="1"/>
  <c r="FJ19" i="4" s="1"/>
  <c r="FL19" i="4"/>
  <c r="FH6" i="4"/>
  <c r="FI6" i="4" s="1"/>
  <c r="FJ6" i="4" s="1"/>
  <c r="FL6" i="4"/>
  <c r="FH21" i="4"/>
  <c r="FI21" i="4" s="1"/>
  <c r="FJ21" i="4" s="1"/>
  <c r="FL21" i="4"/>
  <c r="FH7" i="4"/>
  <c r="FI7" i="4" s="1"/>
  <c r="FJ7" i="4" s="1"/>
  <c r="FL7" i="4"/>
  <c r="FH34" i="4"/>
  <c r="FI34" i="4" s="1"/>
  <c r="FJ34" i="4" s="1"/>
  <c r="FL34" i="4"/>
  <c r="FH27" i="4"/>
  <c r="FI27" i="4" s="1"/>
  <c r="FJ27" i="4" s="1"/>
  <c r="FL27" i="4"/>
  <c r="FH11" i="4"/>
  <c r="FI11" i="4" s="1"/>
  <c r="FJ11" i="4" s="1"/>
  <c r="FL11" i="4"/>
  <c r="FK27" i="4" l="1"/>
  <c r="FM27" i="4" s="1"/>
  <c r="FN27" i="4" s="1"/>
  <c r="FK6" i="4"/>
  <c r="FM6" i="4" s="1"/>
  <c r="FN6" i="4" s="1"/>
  <c r="FK21" i="4"/>
  <c r="FO21" i="4" s="1"/>
  <c r="FK30" i="4"/>
  <c r="FO30" i="4" s="1"/>
  <c r="FK17" i="4"/>
  <c r="FM17" i="4" s="1"/>
  <c r="FN17" i="4" s="1"/>
  <c r="FK5" i="4"/>
  <c r="FM5" i="4" s="1"/>
  <c r="FN5" i="4" s="1"/>
  <c r="FK16" i="4"/>
  <c r="FO16" i="4" s="1"/>
  <c r="FK13" i="4"/>
  <c r="FO13" i="4" s="1"/>
  <c r="FK19" i="4"/>
  <c r="FK32" i="4"/>
  <c r="FO32" i="4" s="1"/>
  <c r="FK10" i="4"/>
  <c r="FO10" i="4" s="1"/>
  <c r="FK31" i="4"/>
  <c r="FO31" i="4" s="1"/>
  <c r="FK15" i="4"/>
  <c r="FM15" i="4" s="1"/>
  <c r="FN15" i="4" s="1"/>
  <c r="FK29" i="4"/>
  <c r="FO29" i="4" s="1"/>
  <c r="FK11" i="4"/>
  <c r="FO11" i="4" s="1"/>
  <c r="FK14" i="4"/>
  <c r="FO14" i="4" s="1"/>
  <c r="FK8" i="4"/>
  <c r="FO8" i="4" s="1"/>
  <c r="FK9" i="4"/>
  <c r="FO9" i="4" s="1"/>
  <c r="FK33" i="4"/>
  <c r="FO33" i="4" s="1"/>
  <c r="FM32" i="4"/>
  <c r="FN32" i="4" s="1"/>
  <c r="FK24" i="4"/>
  <c r="FO24" i="4" s="1"/>
  <c r="FM33" i="4"/>
  <c r="FN33" i="4" s="1"/>
  <c r="FO18" i="4"/>
  <c r="FK12" i="4"/>
  <c r="FO12" i="4" s="1"/>
  <c r="FM22" i="4"/>
  <c r="FN22" i="4" s="1"/>
  <c r="EO36" i="4"/>
  <c r="EO45" i="4" s="1"/>
  <c r="EP4" i="4"/>
  <c r="EP36" i="4" s="1"/>
  <c r="ER4" i="4"/>
  <c r="FM26" i="4"/>
  <c r="FN26" i="4" s="1"/>
  <c r="FM35" i="4"/>
  <c r="FN35" i="4" s="1"/>
  <c r="FM24" i="4"/>
  <c r="FN24" i="4" s="1"/>
  <c r="FM12" i="4"/>
  <c r="FN12" i="4" s="1"/>
  <c r="FK34" i="4"/>
  <c r="FO34" i="4" s="1"/>
  <c r="FK35" i="4"/>
  <c r="FO35" i="4" s="1"/>
  <c r="FK18" i="4"/>
  <c r="FM18" i="4" s="1"/>
  <c r="FN18" i="4" s="1"/>
  <c r="FO6" i="4"/>
  <c r="FK7" i="4"/>
  <c r="FM7" i="4" s="1"/>
  <c r="FN7" i="4" s="1"/>
  <c r="FK26" i="4"/>
  <c r="FO26" i="4" s="1"/>
  <c r="FK23" i="4"/>
  <c r="FO23" i="4" s="1"/>
  <c r="FM13" i="4"/>
  <c r="FN13" i="4" s="1"/>
  <c r="FK20" i="4"/>
  <c r="FO20" i="4" s="1"/>
  <c r="FM9" i="4"/>
  <c r="FN9" i="4" s="1"/>
  <c r="FK22" i="4"/>
  <c r="FO22" i="4" s="1"/>
  <c r="FM11" i="4"/>
  <c r="FN11" i="4" s="1"/>
  <c r="FK28" i="4"/>
  <c r="FO28" i="4" s="1"/>
  <c r="FO7" i="4"/>
  <c r="FM23" i="4"/>
  <c r="FN23" i="4" s="1"/>
  <c r="FO19" i="4"/>
  <c r="FM19" i="4"/>
  <c r="FN19" i="4" s="1"/>
  <c r="FM16" i="4"/>
  <c r="FN16" i="4" s="1"/>
  <c r="FM8" i="4"/>
  <c r="FN8" i="4" s="1"/>
  <c r="FM20" i="4"/>
  <c r="FN20" i="4" s="1"/>
  <c r="FO15" i="4"/>
  <c r="FO27" i="4"/>
  <c r="FO17" i="4"/>
  <c r="FM10" i="4"/>
  <c r="FN10" i="4" s="1"/>
  <c r="FM28" i="4"/>
  <c r="FN28" i="4" s="1"/>
  <c r="FM30" i="4"/>
  <c r="FN30" i="4" s="1"/>
  <c r="FL25" i="4"/>
  <c r="FH25" i="4"/>
  <c r="FI25" i="4" s="1"/>
  <c r="FJ25" i="4" s="1"/>
  <c r="FM14" i="4"/>
  <c r="FN14" i="4" s="1"/>
  <c r="FM34" i="4"/>
  <c r="FN34" i="4" s="1"/>
  <c r="FM21" i="4"/>
  <c r="FN21" i="4" s="1"/>
  <c r="FO5" i="4"/>
  <c r="FM31" i="4"/>
  <c r="FN31" i="4" s="1"/>
  <c r="FM29" i="4" l="1"/>
  <c r="FN29" i="4" s="1"/>
  <c r="ER36" i="4"/>
  <c r="EZ4" i="4"/>
  <c r="FK25" i="4"/>
  <c r="FO25" i="4" s="1"/>
  <c r="FM25" i="4"/>
  <c r="FN25" i="4" s="1"/>
  <c r="EZ36" i="4" l="1"/>
  <c r="EZ45" i="4" s="1"/>
  <c r="FD4" i="4"/>
  <c r="FD36" i="4" l="1"/>
  <c r="FD45" i="4" s="1"/>
  <c r="FF4" i="4"/>
  <c r="FL4" i="4" l="1"/>
  <c r="FF36" i="4"/>
  <c r="FH4" i="4"/>
  <c r="FI4" i="4" l="1"/>
  <c r="FH36" i="4"/>
  <c r="FO4" i="4"/>
  <c r="FO36" i="4" s="1"/>
  <c r="FI36" i="4" l="1"/>
  <c r="FJ4" i="4"/>
  <c r="FI45" i="4" l="1"/>
  <c r="FK4" i="4"/>
  <c r="FM4" i="4" s="1"/>
  <c r="FM36" i="4" s="1"/>
  <c r="FM45" i="4" s="1"/>
  <c r="FN4" i="4" l="1"/>
  <c r="FN41" i="4"/>
  <c r="FP5" i="4" l="1"/>
  <c r="FQ5" i="4" s="1"/>
  <c r="FR5" i="4" s="1"/>
  <c r="FS5" i="4" s="1"/>
  <c r="FP15" i="4"/>
  <c r="FQ15" i="4" s="1"/>
  <c r="FR15" i="4" s="1"/>
  <c r="FS15" i="4" s="1"/>
  <c r="FP27" i="4"/>
  <c r="FQ27" i="4" s="1"/>
  <c r="FR27" i="4" s="1"/>
  <c r="FS27" i="4" s="1"/>
  <c r="FP22" i="4"/>
  <c r="FQ22" i="4" s="1"/>
  <c r="FR22" i="4" s="1"/>
  <c r="FS22" i="4" s="1"/>
  <c r="FP16" i="4"/>
  <c r="FQ16" i="4" s="1"/>
  <c r="FR16" i="4" s="1"/>
  <c r="FS16" i="4" s="1"/>
  <c r="FP8" i="4"/>
  <c r="FQ8" i="4" s="1"/>
  <c r="FR8" i="4" s="1"/>
  <c r="FS8" i="4" s="1"/>
  <c r="FP29" i="4"/>
  <c r="FQ29" i="4" s="1"/>
  <c r="FR29" i="4" s="1"/>
  <c r="FS29" i="4" s="1"/>
  <c r="FP13" i="4"/>
  <c r="FQ13" i="4" s="1"/>
  <c r="FR13" i="4" s="1"/>
  <c r="FS13" i="4" s="1"/>
  <c r="FP23" i="4"/>
  <c r="FQ23" i="4" s="1"/>
  <c r="FR23" i="4" s="1"/>
  <c r="FS23" i="4" s="1"/>
  <c r="FP28" i="4"/>
  <c r="FQ28" i="4" s="1"/>
  <c r="FR28" i="4" s="1"/>
  <c r="FS28" i="4" s="1"/>
  <c r="FP14" i="4"/>
  <c r="FQ14" i="4" s="1"/>
  <c r="FR14" i="4" s="1"/>
  <c r="FS14" i="4" s="1"/>
  <c r="FP17" i="4"/>
  <c r="FQ17" i="4" s="1"/>
  <c r="FR17" i="4" s="1"/>
  <c r="FS17" i="4" s="1"/>
  <c r="FP34" i="4"/>
  <c r="FQ34" i="4" s="1"/>
  <c r="FR34" i="4" s="1"/>
  <c r="FS34" i="4" s="1"/>
  <c r="FP24" i="4"/>
  <c r="FQ24" i="4" s="1"/>
  <c r="FR24" i="4" s="1"/>
  <c r="FS24" i="4" s="1"/>
  <c r="FP9" i="4"/>
  <c r="FQ9" i="4" s="1"/>
  <c r="FR9" i="4" s="1"/>
  <c r="FS9" i="4" s="1"/>
  <c r="FP35" i="4"/>
  <c r="FQ35" i="4" s="1"/>
  <c r="FR35" i="4" s="1"/>
  <c r="FS35" i="4" s="1"/>
  <c r="FP30" i="4"/>
  <c r="FQ30" i="4" s="1"/>
  <c r="FR30" i="4" s="1"/>
  <c r="FS30" i="4" s="1"/>
  <c r="FP6" i="4"/>
  <c r="FQ6" i="4" s="1"/>
  <c r="FR6" i="4" s="1"/>
  <c r="FS6" i="4" s="1"/>
  <c r="FP11" i="4"/>
  <c r="FQ11" i="4" s="1"/>
  <c r="FR11" i="4" s="1"/>
  <c r="FS11" i="4" s="1"/>
  <c r="FP21" i="4"/>
  <c r="FQ21" i="4" s="1"/>
  <c r="FR21" i="4" s="1"/>
  <c r="FS21" i="4" s="1"/>
  <c r="FP33" i="4"/>
  <c r="FQ33" i="4" s="1"/>
  <c r="FR33" i="4" s="1"/>
  <c r="FS33" i="4" s="1"/>
  <c r="FP4" i="4"/>
  <c r="FP10" i="4"/>
  <c r="FQ10" i="4" s="1"/>
  <c r="FR10" i="4" s="1"/>
  <c r="FS10" i="4" s="1"/>
  <c r="FP18" i="4"/>
  <c r="FQ18" i="4" s="1"/>
  <c r="FR18" i="4" s="1"/>
  <c r="FS18" i="4" s="1"/>
  <c r="FP31" i="4"/>
  <c r="FQ31" i="4" s="1"/>
  <c r="FR31" i="4" s="1"/>
  <c r="FS31" i="4" s="1"/>
  <c r="FP26" i="4"/>
  <c r="FQ26" i="4" s="1"/>
  <c r="FR26" i="4" s="1"/>
  <c r="FS26" i="4" s="1"/>
  <c r="FP32" i="4"/>
  <c r="FQ32" i="4" s="1"/>
  <c r="FR32" i="4" s="1"/>
  <c r="FS32" i="4" s="1"/>
  <c r="FP20" i="4"/>
  <c r="FQ20" i="4" s="1"/>
  <c r="FR20" i="4" s="1"/>
  <c r="FS20" i="4" s="1"/>
  <c r="FP19" i="4"/>
  <c r="FQ19" i="4" s="1"/>
  <c r="FR19" i="4" s="1"/>
  <c r="FS19" i="4" s="1"/>
  <c r="FP25" i="4"/>
  <c r="FN45" i="4"/>
  <c r="FP12" i="4"/>
  <c r="FQ12" i="4" s="1"/>
  <c r="FR12" i="4" s="1"/>
  <c r="FS12" i="4" s="1"/>
  <c r="FP7" i="4"/>
  <c r="FQ7" i="4" s="1"/>
  <c r="FR7" i="4" s="1"/>
  <c r="FS7" i="4" s="1"/>
  <c r="FO45" i="4"/>
  <c r="FT35" i="4" l="1"/>
  <c r="FV35" i="4"/>
  <c r="GD35" i="4" s="1"/>
  <c r="GH35" i="4" s="1"/>
  <c r="GJ35" i="4" s="1"/>
  <c r="FT10" i="4"/>
  <c r="FV10" i="4"/>
  <c r="GD10" i="4" s="1"/>
  <c r="GH10" i="4" s="1"/>
  <c r="GJ10" i="4" s="1"/>
  <c r="FT9" i="4"/>
  <c r="FV9" i="4"/>
  <c r="GD9" i="4" s="1"/>
  <c r="GH9" i="4" s="1"/>
  <c r="GJ9" i="4" s="1"/>
  <c r="FT29" i="4"/>
  <c r="FV29" i="4"/>
  <c r="GD29" i="4" s="1"/>
  <c r="GH29" i="4" s="1"/>
  <c r="GJ29" i="4" s="1"/>
  <c r="FP36" i="4"/>
  <c r="FQ25" i="4" s="1"/>
  <c r="FR25" i="4" s="1"/>
  <c r="FS25" i="4" s="1"/>
  <c r="FQ4" i="4"/>
  <c r="FT24" i="4"/>
  <c r="FV24" i="4"/>
  <c r="GD24" i="4" s="1"/>
  <c r="GH24" i="4" s="1"/>
  <c r="GJ24" i="4" s="1"/>
  <c r="FT8" i="4"/>
  <c r="FV8" i="4"/>
  <c r="GD8" i="4" s="1"/>
  <c r="GH8" i="4" s="1"/>
  <c r="GJ8" i="4" s="1"/>
  <c r="FT18" i="4"/>
  <c r="FV18" i="4"/>
  <c r="GD18" i="4" s="1"/>
  <c r="GH18" i="4" s="1"/>
  <c r="GJ18" i="4" s="1"/>
  <c r="FT19" i="4"/>
  <c r="FV19" i="4"/>
  <c r="GD19" i="4" s="1"/>
  <c r="GH19" i="4" s="1"/>
  <c r="GJ19" i="4" s="1"/>
  <c r="FT33" i="4"/>
  <c r="FV33" i="4"/>
  <c r="GD33" i="4" s="1"/>
  <c r="GH33" i="4" s="1"/>
  <c r="GJ33" i="4" s="1"/>
  <c r="FT34" i="4"/>
  <c r="FV34" i="4"/>
  <c r="GD34" i="4" s="1"/>
  <c r="GH34" i="4" s="1"/>
  <c r="GJ34" i="4" s="1"/>
  <c r="FT16" i="4"/>
  <c r="FV16" i="4"/>
  <c r="GD16" i="4" s="1"/>
  <c r="GH16" i="4" s="1"/>
  <c r="GJ16" i="4" s="1"/>
  <c r="FT13" i="4"/>
  <c r="FV13" i="4"/>
  <c r="GD13" i="4" s="1"/>
  <c r="GH13" i="4" s="1"/>
  <c r="GJ13" i="4" s="1"/>
  <c r="FT17" i="4"/>
  <c r="FV17" i="4"/>
  <c r="GD17" i="4" s="1"/>
  <c r="GH17" i="4" s="1"/>
  <c r="GJ17" i="4" s="1"/>
  <c r="FT22" i="4"/>
  <c r="FV22" i="4"/>
  <c r="GD22" i="4" s="1"/>
  <c r="GH22" i="4" s="1"/>
  <c r="GJ22" i="4" s="1"/>
  <c r="FT32" i="4"/>
  <c r="FV32" i="4"/>
  <c r="GD32" i="4" s="1"/>
  <c r="GH32" i="4" s="1"/>
  <c r="GJ32" i="4" s="1"/>
  <c r="FT11" i="4"/>
  <c r="FV11" i="4"/>
  <c r="GD11" i="4" s="1"/>
  <c r="GH11" i="4" s="1"/>
  <c r="GJ11" i="4" s="1"/>
  <c r="FT14" i="4"/>
  <c r="FV14" i="4"/>
  <c r="GD14" i="4" s="1"/>
  <c r="GH14" i="4" s="1"/>
  <c r="GJ14" i="4" s="1"/>
  <c r="FT27" i="4"/>
  <c r="FV27" i="4"/>
  <c r="GD27" i="4" s="1"/>
  <c r="GH27" i="4" s="1"/>
  <c r="GJ27" i="4" s="1"/>
  <c r="FT20" i="4"/>
  <c r="FV20" i="4"/>
  <c r="GD20" i="4" s="1"/>
  <c r="GH20" i="4" s="1"/>
  <c r="GJ20" i="4" s="1"/>
  <c r="FT26" i="4"/>
  <c r="FV26" i="4"/>
  <c r="GD26" i="4" s="1"/>
  <c r="GH26" i="4" s="1"/>
  <c r="GJ26" i="4" s="1"/>
  <c r="FT6" i="4"/>
  <c r="FV6" i="4"/>
  <c r="GD6" i="4" s="1"/>
  <c r="GH6" i="4" s="1"/>
  <c r="GJ6" i="4" s="1"/>
  <c r="FT28" i="4"/>
  <c r="FV28" i="4"/>
  <c r="GD28" i="4" s="1"/>
  <c r="GH28" i="4" s="1"/>
  <c r="GJ28" i="4" s="1"/>
  <c r="FT15" i="4"/>
  <c r="FV15" i="4"/>
  <c r="GD15" i="4" s="1"/>
  <c r="GH15" i="4" s="1"/>
  <c r="GJ15" i="4" s="1"/>
  <c r="FT12" i="4"/>
  <c r="FV12" i="4"/>
  <c r="GD12" i="4" s="1"/>
  <c r="GH12" i="4" s="1"/>
  <c r="GJ12" i="4" s="1"/>
  <c r="FT21" i="4"/>
  <c r="FV21" i="4"/>
  <c r="GD21" i="4" s="1"/>
  <c r="GH21" i="4" s="1"/>
  <c r="GJ21" i="4" s="1"/>
  <c r="FT7" i="4"/>
  <c r="FV7" i="4"/>
  <c r="GD7" i="4" s="1"/>
  <c r="GH7" i="4" s="1"/>
  <c r="GJ7" i="4" s="1"/>
  <c r="FT31" i="4"/>
  <c r="FV31" i="4"/>
  <c r="GD31" i="4" s="1"/>
  <c r="GH31" i="4" s="1"/>
  <c r="GJ31" i="4" s="1"/>
  <c r="FT30" i="4"/>
  <c r="FV30" i="4"/>
  <c r="GD30" i="4" s="1"/>
  <c r="GH30" i="4" s="1"/>
  <c r="GJ30" i="4" s="1"/>
  <c r="FT23" i="4"/>
  <c r="FV23" i="4"/>
  <c r="GD23" i="4" s="1"/>
  <c r="GH23" i="4" s="1"/>
  <c r="GJ23" i="4" s="1"/>
  <c r="FT5" i="4"/>
  <c r="FV5" i="4"/>
  <c r="GD5" i="4" s="1"/>
  <c r="GH5" i="4" s="1"/>
  <c r="GJ5" i="4" s="1"/>
  <c r="FT25" i="4" l="1"/>
  <c r="FV25" i="4"/>
  <c r="GD25" i="4" s="1"/>
  <c r="GH25" i="4" s="1"/>
  <c r="GJ25" i="4" s="1"/>
  <c r="GL30" i="4"/>
  <c r="GM30" i="4" s="1"/>
  <c r="GN30" i="4" s="1"/>
  <c r="GP30" i="4"/>
  <c r="GP19" i="4"/>
  <c r="GL19" i="4"/>
  <c r="GM19" i="4" s="1"/>
  <c r="GN19" i="4" s="1"/>
  <c r="GP5" i="4"/>
  <c r="GL5" i="4"/>
  <c r="GM5" i="4" s="1"/>
  <c r="GN5" i="4" s="1"/>
  <c r="GP7" i="4"/>
  <c r="GL7" i="4"/>
  <c r="GM7" i="4" s="1"/>
  <c r="GN7" i="4" s="1"/>
  <c r="GL28" i="4"/>
  <c r="GM28" i="4" s="1"/>
  <c r="GN28" i="4" s="1"/>
  <c r="GP28" i="4"/>
  <c r="GP27" i="4"/>
  <c r="GL27" i="4"/>
  <c r="GM27" i="4" s="1"/>
  <c r="GN27" i="4" s="1"/>
  <c r="GP22" i="4"/>
  <c r="GL22" i="4"/>
  <c r="GM22" i="4" s="1"/>
  <c r="GN22" i="4" s="1"/>
  <c r="GL34" i="4"/>
  <c r="GM34" i="4" s="1"/>
  <c r="GN34" i="4" s="1"/>
  <c r="GP34" i="4"/>
  <c r="GL8" i="4"/>
  <c r="GM8" i="4" s="1"/>
  <c r="GN8" i="4" s="1"/>
  <c r="GP8" i="4"/>
  <c r="GL9" i="4"/>
  <c r="GM9" i="4" s="1"/>
  <c r="GN9" i="4" s="1"/>
  <c r="GP9" i="4"/>
  <c r="GP11" i="4"/>
  <c r="GL11" i="4"/>
  <c r="GM11" i="4" s="1"/>
  <c r="GN11" i="4" s="1"/>
  <c r="GP15" i="4"/>
  <c r="GL15" i="4"/>
  <c r="GM15" i="4" s="1"/>
  <c r="GN15" i="4" s="1"/>
  <c r="GP23" i="4"/>
  <c r="GL23" i="4"/>
  <c r="GM23" i="4" s="1"/>
  <c r="GN23" i="4" s="1"/>
  <c r="GL6" i="4"/>
  <c r="GM6" i="4" s="1"/>
  <c r="GN6" i="4" s="1"/>
  <c r="GP6" i="4"/>
  <c r="GL17" i="4"/>
  <c r="GM17" i="4" s="1"/>
  <c r="GN17" i="4" s="1"/>
  <c r="GP17" i="4"/>
  <c r="GL24" i="4"/>
  <c r="GM24" i="4" s="1"/>
  <c r="GN24" i="4" s="1"/>
  <c r="GP24" i="4"/>
  <c r="GL26" i="4"/>
  <c r="GM26" i="4" s="1"/>
  <c r="GN26" i="4" s="1"/>
  <c r="GP26" i="4"/>
  <c r="GL31" i="4"/>
  <c r="GM31" i="4" s="1"/>
  <c r="GN31" i="4" s="1"/>
  <c r="GP31" i="4"/>
  <c r="GL29" i="4"/>
  <c r="GM29" i="4" s="1"/>
  <c r="GN29" i="4" s="1"/>
  <c r="GP29" i="4"/>
  <c r="GP21" i="4"/>
  <c r="GL21" i="4"/>
  <c r="GM21" i="4" s="1"/>
  <c r="GN21" i="4" s="1"/>
  <c r="GP14" i="4"/>
  <c r="GL14" i="4"/>
  <c r="GM14" i="4" s="1"/>
  <c r="GN14" i="4" s="1"/>
  <c r="GL33" i="4"/>
  <c r="GM33" i="4" s="1"/>
  <c r="GN33" i="4" s="1"/>
  <c r="GP33" i="4"/>
  <c r="GL10" i="4"/>
  <c r="GM10" i="4" s="1"/>
  <c r="GN10" i="4" s="1"/>
  <c r="GP10" i="4"/>
  <c r="FQ36" i="4"/>
  <c r="FQ45" i="4" s="1"/>
  <c r="FR4" i="4"/>
  <c r="FS4" i="4" s="1"/>
  <c r="GP13" i="4"/>
  <c r="GL13" i="4"/>
  <c r="GM13" i="4" s="1"/>
  <c r="GN13" i="4" s="1"/>
  <c r="GL35" i="4"/>
  <c r="GM35" i="4" s="1"/>
  <c r="GN35" i="4" s="1"/>
  <c r="GP35" i="4"/>
  <c r="GL12" i="4"/>
  <c r="GM12" i="4" s="1"/>
  <c r="GN12" i="4" s="1"/>
  <c r="GP12" i="4"/>
  <c r="GL20" i="4"/>
  <c r="GM20" i="4" s="1"/>
  <c r="GN20" i="4" s="1"/>
  <c r="GP20" i="4"/>
  <c r="GP32" i="4"/>
  <c r="GL32" i="4"/>
  <c r="GM32" i="4" s="1"/>
  <c r="GN32" i="4" s="1"/>
  <c r="GL16" i="4"/>
  <c r="GM16" i="4" s="1"/>
  <c r="GN16" i="4" s="1"/>
  <c r="GP16" i="4"/>
  <c r="GL18" i="4"/>
  <c r="GM18" i="4" s="1"/>
  <c r="GN18" i="4" s="1"/>
  <c r="GP18" i="4"/>
  <c r="GO13" i="4" l="1"/>
  <c r="GS13" i="4" s="1"/>
  <c r="GO20" i="4"/>
  <c r="GS20" i="4" s="1"/>
  <c r="GO29" i="4"/>
  <c r="GS29" i="4" s="1"/>
  <c r="GO27" i="4"/>
  <c r="GQ27" i="4" s="1"/>
  <c r="GR27" i="4" s="1"/>
  <c r="GO15" i="4"/>
  <c r="GQ15" i="4" s="1"/>
  <c r="GR15" i="4" s="1"/>
  <c r="GO26" i="4"/>
  <c r="GS26" i="4" s="1"/>
  <c r="GO33" i="4"/>
  <c r="GS33" i="4" s="1"/>
  <c r="GO18" i="4"/>
  <c r="GQ18" i="4" s="1"/>
  <c r="GR18" i="4" s="1"/>
  <c r="GO21" i="4"/>
  <c r="GS21" i="4" s="1"/>
  <c r="GO30" i="4"/>
  <c r="GS30" i="4" s="1"/>
  <c r="GO8" i="4"/>
  <c r="GS8" i="4" s="1"/>
  <c r="GO11" i="4"/>
  <c r="GS11" i="4" s="1"/>
  <c r="GO6" i="4"/>
  <c r="GQ6" i="4" s="1"/>
  <c r="GR6" i="4" s="1"/>
  <c r="GO7" i="4"/>
  <c r="GQ7" i="4" s="1"/>
  <c r="GR7" i="4" s="1"/>
  <c r="GO5" i="4"/>
  <c r="GQ5" i="4" s="1"/>
  <c r="GR5" i="4" s="1"/>
  <c r="GO16" i="4"/>
  <c r="GS16" i="4" s="1"/>
  <c r="GQ13" i="4"/>
  <c r="GR13" i="4" s="1"/>
  <c r="GO24" i="4"/>
  <c r="GS24" i="4" s="1"/>
  <c r="GL25" i="4"/>
  <c r="GM25" i="4" s="1"/>
  <c r="GN25" i="4" s="1"/>
  <c r="GP25" i="4"/>
  <c r="FS36" i="4"/>
  <c r="FS45" i="4" s="1"/>
  <c r="FT4" i="4"/>
  <c r="FT36" i="4" s="1"/>
  <c r="FV4" i="4"/>
  <c r="GQ24" i="4"/>
  <c r="GR24" i="4" s="1"/>
  <c r="GQ11" i="4"/>
  <c r="GR11" i="4" s="1"/>
  <c r="GS5" i="4"/>
  <c r="GO32" i="4"/>
  <c r="GS32" i="4" s="1"/>
  <c r="GQ28" i="4"/>
  <c r="GR28" i="4" s="1"/>
  <c r="GO35" i="4"/>
  <c r="GS35" i="4" s="1"/>
  <c r="GO17" i="4"/>
  <c r="GQ17" i="4" s="1"/>
  <c r="GR17" i="4" s="1"/>
  <c r="GO34" i="4"/>
  <c r="GS34" i="4" s="1"/>
  <c r="GS27" i="4"/>
  <c r="GO23" i="4"/>
  <c r="GS23" i="4" s="1"/>
  <c r="GQ34" i="4"/>
  <c r="GR34" i="4" s="1"/>
  <c r="GO19" i="4"/>
  <c r="GQ19" i="4" s="1"/>
  <c r="GR19" i="4" s="1"/>
  <c r="GQ14" i="4"/>
  <c r="GR14" i="4" s="1"/>
  <c r="GQ23" i="4"/>
  <c r="GR23" i="4" s="1"/>
  <c r="GQ32" i="4"/>
  <c r="GR32" i="4" s="1"/>
  <c r="GQ35" i="4"/>
  <c r="GR35" i="4" s="1"/>
  <c r="GQ10" i="4"/>
  <c r="GR10" i="4" s="1"/>
  <c r="GS17" i="4"/>
  <c r="GS19" i="4"/>
  <c r="GO31" i="4"/>
  <c r="GS31" i="4" s="1"/>
  <c r="GQ9" i="4"/>
  <c r="GR9" i="4" s="1"/>
  <c r="GO10" i="4"/>
  <c r="GS10" i="4" s="1"/>
  <c r="GQ31" i="4"/>
  <c r="GR31" i="4" s="1"/>
  <c r="GO9" i="4"/>
  <c r="GS9" i="4" s="1"/>
  <c r="GO22" i="4"/>
  <c r="GS22" i="4" s="1"/>
  <c r="GS18" i="4"/>
  <c r="GQ22" i="4"/>
  <c r="GR22" i="4" s="1"/>
  <c r="GQ20" i="4"/>
  <c r="GR20" i="4" s="1"/>
  <c r="GQ21" i="4"/>
  <c r="GR21" i="4" s="1"/>
  <c r="GQ26" i="4"/>
  <c r="GR26" i="4" s="1"/>
  <c r="GS15" i="4"/>
  <c r="GS7" i="4"/>
  <c r="GQ30" i="4"/>
  <c r="GR30" i="4" s="1"/>
  <c r="GO12" i="4"/>
  <c r="GS12" i="4" s="1"/>
  <c r="GQ12" i="4"/>
  <c r="GR12" i="4" s="1"/>
  <c r="GO14" i="4"/>
  <c r="GS14" i="4" s="1"/>
  <c r="GO28" i="4"/>
  <c r="GS28" i="4" s="1"/>
  <c r="GQ16" i="4"/>
  <c r="GR16" i="4" s="1"/>
  <c r="GQ33" i="4"/>
  <c r="GR33" i="4" s="1"/>
  <c r="GS6" i="4"/>
  <c r="GQ29" i="4"/>
  <c r="GR29" i="4" s="1"/>
  <c r="GQ8" i="4" l="1"/>
  <c r="GR8" i="4" s="1"/>
  <c r="GQ25" i="4"/>
  <c r="GR25" i="4" s="1"/>
  <c r="GO25" i="4"/>
  <c r="GS25" i="4" s="1"/>
  <c r="FV36" i="4"/>
  <c r="GD4" i="4"/>
  <c r="GD36" i="4" l="1"/>
  <c r="GD45" i="4" s="1"/>
  <c r="GH4" i="4"/>
  <c r="GH36" i="4" l="1"/>
  <c r="GH45" i="4" s="1"/>
  <c r="GJ4" i="4"/>
  <c r="GJ36" i="4" l="1"/>
  <c r="GL4" i="4"/>
  <c r="GP4" i="4"/>
  <c r="GL36" i="4" l="1"/>
  <c r="GM4" i="4"/>
  <c r="GS4" i="4"/>
  <c r="GS36" i="4" s="1"/>
  <c r="GM36" i="4" l="1"/>
  <c r="GN4" i="4"/>
  <c r="GO4" i="4" l="1"/>
  <c r="GQ4" i="4" s="1"/>
  <c r="GQ36" i="4" s="1"/>
  <c r="GQ45" i="4" s="1"/>
  <c r="GM45" i="4"/>
  <c r="GR41" i="4" l="1"/>
  <c r="GR4" i="4"/>
  <c r="GT29" i="4" l="1"/>
  <c r="GU29" i="4" s="1"/>
  <c r="GV29" i="4" s="1"/>
  <c r="GW29" i="4" s="1"/>
  <c r="GT22" i="4"/>
  <c r="GU22" i="4" s="1"/>
  <c r="GV22" i="4" s="1"/>
  <c r="GW22" i="4" s="1"/>
  <c r="GT5" i="4"/>
  <c r="GU5" i="4" s="1"/>
  <c r="GV5" i="4" s="1"/>
  <c r="GW5" i="4" s="1"/>
  <c r="GT6" i="4"/>
  <c r="GU6" i="4" s="1"/>
  <c r="GV6" i="4" s="1"/>
  <c r="GW6" i="4" s="1"/>
  <c r="GT16" i="4"/>
  <c r="GU16" i="4" s="1"/>
  <c r="GV16" i="4" s="1"/>
  <c r="GW16" i="4" s="1"/>
  <c r="GT25" i="4"/>
  <c r="GT12" i="4"/>
  <c r="GU12" i="4" s="1"/>
  <c r="GV12" i="4" s="1"/>
  <c r="GW12" i="4" s="1"/>
  <c r="GT23" i="4"/>
  <c r="GU23" i="4" s="1"/>
  <c r="GV23" i="4" s="1"/>
  <c r="GW23" i="4" s="1"/>
  <c r="GT10" i="4"/>
  <c r="GU10" i="4" s="1"/>
  <c r="GV10" i="4" s="1"/>
  <c r="GW10" i="4" s="1"/>
  <c r="GT32" i="4"/>
  <c r="GU32" i="4" s="1"/>
  <c r="GV32" i="4" s="1"/>
  <c r="GW32" i="4" s="1"/>
  <c r="GT24" i="4"/>
  <c r="GU24" i="4" s="1"/>
  <c r="GV24" i="4" s="1"/>
  <c r="GW24" i="4" s="1"/>
  <c r="GT27" i="4"/>
  <c r="GU27" i="4" s="1"/>
  <c r="GV27" i="4" s="1"/>
  <c r="GW27" i="4" s="1"/>
  <c r="GT19" i="4"/>
  <c r="GU19" i="4" s="1"/>
  <c r="GV19" i="4" s="1"/>
  <c r="GW19" i="4" s="1"/>
  <c r="GT31" i="4"/>
  <c r="GU31" i="4" s="1"/>
  <c r="GV31" i="4" s="1"/>
  <c r="GW31" i="4" s="1"/>
  <c r="GT21" i="4"/>
  <c r="GU21" i="4" s="1"/>
  <c r="GV21" i="4" s="1"/>
  <c r="GW21" i="4" s="1"/>
  <c r="GT11" i="4"/>
  <c r="GU11" i="4" s="1"/>
  <c r="GV11" i="4" s="1"/>
  <c r="GW11" i="4" s="1"/>
  <c r="GT17" i="4"/>
  <c r="GU17" i="4" s="1"/>
  <c r="GV17" i="4" s="1"/>
  <c r="GW17" i="4" s="1"/>
  <c r="GT8" i="4"/>
  <c r="GU8" i="4" s="1"/>
  <c r="GV8" i="4" s="1"/>
  <c r="GW8" i="4" s="1"/>
  <c r="GT7" i="4"/>
  <c r="GU7" i="4" s="1"/>
  <c r="GV7" i="4" s="1"/>
  <c r="GW7" i="4" s="1"/>
  <c r="GT15" i="4"/>
  <c r="GU15" i="4" s="1"/>
  <c r="GV15" i="4" s="1"/>
  <c r="GW15" i="4" s="1"/>
  <c r="GT4" i="4"/>
  <c r="GT13" i="4"/>
  <c r="GU13" i="4" s="1"/>
  <c r="GV13" i="4" s="1"/>
  <c r="GW13" i="4" s="1"/>
  <c r="GT20" i="4"/>
  <c r="GU20" i="4" s="1"/>
  <c r="GV20" i="4" s="1"/>
  <c r="GW20" i="4" s="1"/>
  <c r="GT35" i="4"/>
  <c r="GU35" i="4" s="1"/>
  <c r="GV35" i="4" s="1"/>
  <c r="GW35" i="4" s="1"/>
  <c r="GT30" i="4"/>
  <c r="GU30" i="4" s="1"/>
  <c r="GV30" i="4" s="1"/>
  <c r="GW30" i="4" s="1"/>
  <c r="GT14" i="4"/>
  <c r="GU14" i="4" s="1"/>
  <c r="GV14" i="4" s="1"/>
  <c r="GW14" i="4" s="1"/>
  <c r="GT34" i="4"/>
  <c r="GU34" i="4" s="1"/>
  <c r="GV34" i="4" s="1"/>
  <c r="GW34" i="4" s="1"/>
  <c r="GT28" i="4"/>
  <c r="GU28" i="4" s="1"/>
  <c r="GV28" i="4" s="1"/>
  <c r="GW28" i="4" s="1"/>
  <c r="GR45" i="4"/>
  <c r="GT18" i="4"/>
  <c r="GU18" i="4" s="1"/>
  <c r="GV18" i="4" s="1"/>
  <c r="GW18" i="4" s="1"/>
  <c r="GT9" i="4"/>
  <c r="GU9" i="4" s="1"/>
  <c r="GV9" i="4" s="1"/>
  <c r="GW9" i="4" s="1"/>
  <c r="GT26" i="4"/>
  <c r="GU26" i="4" s="1"/>
  <c r="GV26" i="4" s="1"/>
  <c r="GW26" i="4" s="1"/>
  <c r="GT33" i="4"/>
  <c r="GU33" i="4" s="1"/>
  <c r="GV33" i="4" s="1"/>
  <c r="GW33" i="4" s="1"/>
  <c r="GS45" i="4"/>
  <c r="GX35" i="4" l="1"/>
  <c r="GZ35" i="4"/>
  <c r="HH35" i="4" s="1"/>
  <c r="HL35" i="4" s="1"/>
  <c r="HN35" i="4" s="1"/>
  <c r="GX11" i="4"/>
  <c r="GZ11" i="4"/>
  <c r="HH11" i="4" s="1"/>
  <c r="HL11" i="4" s="1"/>
  <c r="HN11" i="4" s="1"/>
  <c r="GX23" i="4"/>
  <c r="GZ23" i="4"/>
  <c r="HH23" i="4" s="1"/>
  <c r="HL23" i="4" s="1"/>
  <c r="HN23" i="4" s="1"/>
  <c r="GX9" i="4"/>
  <c r="GZ9" i="4"/>
  <c r="HH9" i="4" s="1"/>
  <c r="HL9" i="4" s="1"/>
  <c r="HN9" i="4" s="1"/>
  <c r="GX20" i="4"/>
  <c r="GZ20" i="4"/>
  <c r="HH20" i="4" s="1"/>
  <c r="HL20" i="4" s="1"/>
  <c r="HN20" i="4" s="1"/>
  <c r="GX21" i="4"/>
  <c r="GZ21" i="4"/>
  <c r="HH21" i="4" s="1"/>
  <c r="HL21" i="4" s="1"/>
  <c r="HN21" i="4" s="1"/>
  <c r="GX12" i="4"/>
  <c r="GZ12" i="4"/>
  <c r="HH12" i="4" s="1"/>
  <c r="HL12" i="4" s="1"/>
  <c r="HN12" i="4" s="1"/>
  <c r="GX26" i="4"/>
  <c r="GZ26" i="4"/>
  <c r="HH26" i="4" s="1"/>
  <c r="HL26" i="4" s="1"/>
  <c r="HN26" i="4" s="1"/>
  <c r="GX13" i="4"/>
  <c r="GZ13" i="4"/>
  <c r="HH13" i="4" s="1"/>
  <c r="HL13" i="4" s="1"/>
  <c r="HN13" i="4" s="1"/>
  <c r="GX31" i="4"/>
  <c r="GZ31" i="4"/>
  <c r="HH31" i="4" s="1"/>
  <c r="HL31" i="4" s="1"/>
  <c r="HN31" i="4" s="1"/>
  <c r="GT36" i="4"/>
  <c r="GU25" i="4" s="1"/>
  <c r="GV25" i="4" s="1"/>
  <c r="GW25" i="4" s="1"/>
  <c r="GU4" i="4"/>
  <c r="GX19" i="4"/>
  <c r="GZ19" i="4"/>
  <c r="HH19" i="4" s="1"/>
  <c r="HL19" i="4" s="1"/>
  <c r="HN19" i="4" s="1"/>
  <c r="GX16" i="4"/>
  <c r="GZ16" i="4"/>
  <c r="HH16" i="4" s="1"/>
  <c r="HL16" i="4" s="1"/>
  <c r="HN16" i="4" s="1"/>
  <c r="GX28" i="4"/>
  <c r="GZ28" i="4"/>
  <c r="HH28" i="4" s="1"/>
  <c r="HL28" i="4" s="1"/>
  <c r="HN28" i="4" s="1"/>
  <c r="GX27" i="4"/>
  <c r="GZ27" i="4"/>
  <c r="HH27" i="4" s="1"/>
  <c r="HL27" i="4" s="1"/>
  <c r="HN27" i="4" s="1"/>
  <c r="GX6" i="4"/>
  <c r="GZ6" i="4"/>
  <c r="HH6" i="4" s="1"/>
  <c r="HL6" i="4" s="1"/>
  <c r="HN6" i="4" s="1"/>
  <c r="GX18" i="4"/>
  <c r="GZ18" i="4"/>
  <c r="HH18" i="4" s="1"/>
  <c r="HL18" i="4" s="1"/>
  <c r="HN18" i="4" s="1"/>
  <c r="GX15" i="4"/>
  <c r="GZ15" i="4"/>
  <c r="HH15" i="4" s="1"/>
  <c r="HL15" i="4" s="1"/>
  <c r="HN15" i="4" s="1"/>
  <c r="GX34" i="4"/>
  <c r="GZ34" i="4"/>
  <c r="HH34" i="4" s="1"/>
  <c r="HL34" i="4" s="1"/>
  <c r="HN34" i="4" s="1"/>
  <c r="GX7" i="4"/>
  <c r="GZ7" i="4"/>
  <c r="HH7" i="4" s="1"/>
  <c r="HL7" i="4" s="1"/>
  <c r="HN7" i="4" s="1"/>
  <c r="GX24" i="4"/>
  <c r="GZ24" i="4"/>
  <c r="HH24" i="4" s="1"/>
  <c r="HL24" i="4" s="1"/>
  <c r="HN24" i="4" s="1"/>
  <c r="GX5" i="4"/>
  <c r="GZ5" i="4"/>
  <c r="HH5" i="4" s="1"/>
  <c r="HL5" i="4" s="1"/>
  <c r="HN5" i="4" s="1"/>
  <c r="GX8" i="4"/>
  <c r="GZ8" i="4"/>
  <c r="HH8" i="4" s="1"/>
  <c r="HL8" i="4" s="1"/>
  <c r="HN8" i="4" s="1"/>
  <c r="GX32" i="4"/>
  <c r="GZ32" i="4"/>
  <c r="HH32" i="4" s="1"/>
  <c r="HL32" i="4" s="1"/>
  <c r="HN32" i="4" s="1"/>
  <c r="GX22" i="4"/>
  <c r="GZ22" i="4"/>
  <c r="HH22" i="4" s="1"/>
  <c r="HL22" i="4" s="1"/>
  <c r="HN22" i="4" s="1"/>
  <c r="GX14" i="4"/>
  <c r="GZ14" i="4"/>
  <c r="HH14" i="4" s="1"/>
  <c r="HL14" i="4" s="1"/>
  <c r="HN14" i="4" s="1"/>
  <c r="GX33" i="4"/>
  <c r="GZ33" i="4"/>
  <c r="HH33" i="4" s="1"/>
  <c r="HL33" i="4" s="1"/>
  <c r="HN33" i="4" s="1"/>
  <c r="GX30" i="4"/>
  <c r="GZ30" i="4"/>
  <c r="HH30" i="4" s="1"/>
  <c r="HL30" i="4" s="1"/>
  <c r="HN30" i="4" s="1"/>
  <c r="GX17" i="4"/>
  <c r="GZ17" i="4"/>
  <c r="HH17" i="4" s="1"/>
  <c r="HL17" i="4" s="1"/>
  <c r="HN17" i="4" s="1"/>
  <c r="GX10" i="4"/>
  <c r="GZ10" i="4"/>
  <c r="HH10" i="4" s="1"/>
  <c r="HL10" i="4" s="1"/>
  <c r="HN10" i="4" s="1"/>
  <c r="GX29" i="4"/>
  <c r="GZ29" i="4"/>
  <c r="HH29" i="4" s="1"/>
  <c r="HL29" i="4" s="1"/>
  <c r="HN29" i="4" s="1"/>
  <c r="GX25" i="4" l="1"/>
  <c r="GZ25" i="4"/>
  <c r="HH25" i="4" s="1"/>
  <c r="HL25" i="4" s="1"/>
  <c r="HN25" i="4" s="1"/>
  <c r="HP26" i="4"/>
  <c r="HQ26" i="4" s="1"/>
  <c r="HR26" i="4" s="1"/>
  <c r="HT26" i="4"/>
  <c r="HT9" i="4"/>
  <c r="HP9" i="4"/>
  <c r="HQ9" i="4" s="1"/>
  <c r="HR9" i="4" s="1"/>
  <c r="HT29" i="4"/>
  <c r="HP29" i="4"/>
  <c r="HQ29" i="4" s="1"/>
  <c r="HR29" i="4" s="1"/>
  <c r="HP33" i="4"/>
  <c r="HQ33" i="4" s="1"/>
  <c r="HR33" i="4" s="1"/>
  <c r="HT33" i="4"/>
  <c r="HP8" i="4"/>
  <c r="HQ8" i="4" s="1"/>
  <c r="HR8" i="4" s="1"/>
  <c r="HT8" i="4"/>
  <c r="HT34" i="4"/>
  <c r="HP34" i="4"/>
  <c r="HQ34" i="4" s="1"/>
  <c r="HR34" i="4" s="1"/>
  <c r="HP27" i="4"/>
  <c r="HQ27" i="4" s="1"/>
  <c r="HR27" i="4" s="1"/>
  <c r="HT27" i="4"/>
  <c r="GU36" i="4"/>
  <c r="GU45" i="4" s="1"/>
  <c r="GV4" i="4"/>
  <c r="GW4" i="4" s="1"/>
  <c r="HT12" i="4"/>
  <c r="HP12" i="4"/>
  <c r="HQ12" i="4" s="1"/>
  <c r="HR12" i="4" s="1"/>
  <c r="HP23" i="4"/>
  <c r="HQ23" i="4" s="1"/>
  <c r="HR23" i="4" s="1"/>
  <c r="HT23" i="4"/>
  <c r="HP14" i="4"/>
  <c r="HQ14" i="4" s="1"/>
  <c r="HR14" i="4" s="1"/>
  <c r="HT14" i="4"/>
  <c r="HT28" i="4"/>
  <c r="HP28" i="4"/>
  <c r="HQ28" i="4" s="1"/>
  <c r="HR28" i="4" s="1"/>
  <c r="HP21" i="4"/>
  <c r="HQ21" i="4" s="1"/>
  <c r="HR21" i="4" s="1"/>
  <c r="HT21" i="4"/>
  <c r="HP11" i="4"/>
  <c r="HQ11" i="4" s="1"/>
  <c r="HR11" i="4" s="1"/>
  <c r="HT11" i="4"/>
  <c r="HP15" i="4"/>
  <c r="HQ15" i="4" s="1"/>
  <c r="HR15" i="4" s="1"/>
  <c r="HT15" i="4"/>
  <c r="HP17" i="4"/>
  <c r="HQ17" i="4" s="1"/>
  <c r="HR17" i="4" s="1"/>
  <c r="HT17" i="4"/>
  <c r="HP24" i="4"/>
  <c r="HQ24" i="4" s="1"/>
  <c r="HR24" i="4" s="1"/>
  <c r="HT24" i="4"/>
  <c r="HT18" i="4"/>
  <c r="HP18" i="4"/>
  <c r="HQ18" i="4" s="1"/>
  <c r="HR18" i="4" s="1"/>
  <c r="HT16" i="4"/>
  <c r="HP16" i="4"/>
  <c r="HQ16" i="4" s="1"/>
  <c r="HR16" i="4" s="1"/>
  <c r="HP5" i="4"/>
  <c r="HQ5" i="4" s="1"/>
  <c r="HR5" i="4" s="1"/>
  <c r="HT5" i="4"/>
  <c r="HP22" i="4"/>
  <c r="HQ22" i="4" s="1"/>
  <c r="HR22" i="4" s="1"/>
  <c r="HT22" i="4"/>
  <c r="HP13" i="4"/>
  <c r="HQ13" i="4" s="1"/>
  <c r="HR13" i="4" s="1"/>
  <c r="HT13" i="4"/>
  <c r="HT20" i="4"/>
  <c r="HP20" i="4"/>
  <c r="HQ20" i="4" s="1"/>
  <c r="HR20" i="4" s="1"/>
  <c r="HP35" i="4"/>
  <c r="HQ35" i="4" s="1"/>
  <c r="HR35" i="4" s="1"/>
  <c r="HT35" i="4"/>
  <c r="HP10" i="4"/>
  <c r="HQ10" i="4" s="1"/>
  <c r="HR10" i="4" s="1"/>
  <c r="HT10" i="4"/>
  <c r="HP31" i="4"/>
  <c r="HQ31" i="4" s="1"/>
  <c r="HR31" i="4" s="1"/>
  <c r="HT31" i="4"/>
  <c r="HP30" i="4"/>
  <c r="HQ30" i="4" s="1"/>
  <c r="HR30" i="4" s="1"/>
  <c r="HT30" i="4"/>
  <c r="HP32" i="4"/>
  <c r="HQ32" i="4" s="1"/>
  <c r="HR32" i="4" s="1"/>
  <c r="HT32" i="4"/>
  <c r="HP7" i="4"/>
  <c r="HQ7" i="4" s="1"/>
  <c r="HR7" i="4" s="1"/>
  <c r="HT7" i="4"/>
  <c r="HP6" i="4"/>
  <c r="HQ6" i="4" s="1"/>
  <c r="HR6" i="4" s="1"/>
  <c r="HT6" i="4"/>
  <c r="HP19" i="4"/>
  <c r="HQ19" i="4" s="1"/>
  <c r="HR19" i="4" s="1"/>
  <c r="HT19" i="4"/>
  <c r="HS12" i="4" l="1"/>
  <c r="HW12" i="4" s="1"/>
  <c r="HS21" i="4"/>
  <c r="HW21" i="4" s="1"/>
  <c r="HS30" i="4"/>
  <c r="HW30" i="4" s="1"/>
  <c r="HS24" i="4"/>
  <c r="HW24" i="4" s="1"/>
  <c r="HS31" i="4"/>
  <c r="HW31" i="4" s="1"/>
  <c r="HS17" i="4"/>
  <c r="HU17" i="4" s="1"/>
  <c r="HV17" i="4" s="1"/>
  <c r="HS28" i="4"/>
  <c r="HW28" i="4" s="1"/>
  <c r="HS9" i="4"/>
  <c r="HW9" i="4" s="1"/>
  <c r="HS10" i="4"/>
  <c r="HW10" i="4" s="1"/>
  <c r="HS15" i="4"/>
  <c r="HU15" i="4" s="1"/>
  <c r="HV15" i="4" s="1"/>
  <c r="HS18" i="4"/>
  <c r="HU18" i="4" s="1"/>
  <c r="HV18" i="4" s="1"/>
  <c r="HS14" i="4"/>
  <c r="HW14" i="4" s="1"/>
  <c r="HS35" i="4"/>
  <c r="HW35" i="4" s="1"/>
  <c r="HS33" i="4"/>
  <c r="HW33" i="4" s="1"/>
  <c r="HS20" i="4"/>
  <c r="HW20" i="4" s="1"/>
  <c r="HS23" i="4"/>
  <c r="HW23" i="4" s="1"/>
  <c r="HS8" i="4"/>
  <c r="HW8" i="4" s="1"/>
  <c r="HW7" i="4"/>
  <c r="HU31" i="4"/>
  <c r="HV31" i="4" s="1"/>
  <c r="HW27" i="4"/>
  <c r="HU21" i="4"/>
  <c r="HV21" i="4" s="1"/>
  <c r="HS22" i="4"/>
  <c r="HU22" i="4" s="1"/>
  <c r="HV22" i="4" s="1"/>
  <c r="HW15" i="4"/>
  <c r="HU23" i="4"/>
  <c r="HV23" i="4" s="1"/>
  <c r="HS27" i="4"/>
  <c r="HU27" i="4" s="1"/>
  <c r="HV27" i="4" s="1"/>
  <c r="HU9" i="4"/>
  <c r="HV9" i="4" s="1"/>
  <c r="HW22" i="4"/>
  <c r="HW19" i="4"/>
  <c r="HS5" i="4"/>
  <c r="HU5" i="4" s="1"/>
  <c r="HV5" i="4" s="1"/>
  <c r="HW18" i="4"/>
  <c r="HU33" i="4"/>
  <c r="HV33" i="4" s="1"/>
  <c r="HU26" i="4"/>
  <c r="HV26" i="4" s="1"/>
  <c r="HU35" i="4"/>
  <c r="HV35" i="4" s="1"/>
  <c r="HU10" i="4"/>
  <c r="HV10" i="4" s="1"/>
  <c r="HW5" i="4"/>
  <c r="HS34" i="4"/>
  <c r="HW34" i="4" s="1"/>
  <c r="HS26" i="4"/>
  <c r="HW26" i="4" s="1"/>
  <c r="HU16" i="4"/>
  <c r="HV16" i="4" s="1"/>
  <c r="HS32" i="4"/>
  <c r="HW32" i="4" s="1"/>
  <c r="HU20" i="4"/>
  <c r="HV20" i="4" s="1"/>
  <c r="HU24" i="4"/>
  <c r="HV24" i="4" s="1"/>
  <c r="HW6" i="4"/>
  <c r="HS13" i="4"/>
  <c r="HW13" i="4" s="1"/>
  <c r="HS11" i="4"/>
  <c r="HW11" i="4" s="1"/>
  <c r="HU28" i="4"/>
  <c r="HV28" i="4" s="1"/>
  <c r="HU32" i="4"/>
  <c r="HV32" i="4" s="1"/>
  <c r="HU11" i="4"/>
  <c r="HV11" i="4" s="1"/>
  <c r="HP25" i="4"/>
  <c r="HQ25" i="4" s="1"/>
  <c r="HR25" i="4" s="1"/>
  <c r="HT25" i="4"/>
  <c r="HS7" i="4"/>
  <c r="HU7" i="4" s="1"/>
  <c r="HV7" i="4" s="1"/>
  <c r="HW17" i="4"/>
  <c r="HS19" i="4"/>
  <c r="HU19" i="4" s="1"/>
  <c r="HV19" i="4" s="1"/>
  <c r="HS6" i="4"/>
  <c r="HU6" i="4" s="1"/>
  <c r="HV6" i="4" s="1"/>
  <c r="HU30" i="4"/>
  <c r="HV30" i="4" s="1"/>
  <c r="HU13" i="4"/>
  <c r="HV13" i="4" s="1"/>
  <c r="HS16" i="4"/>
  <c r="HW16" i="4" s="1"/>
  <c r="HU12" i="4"/>
  <c r="HV12" i="4" s="1"/>
  <c r="HU34" i="4"/>
  <c r="HV34" i="4" s="1"/>
  <c r="HS29" i="4"/>
  <c r="HW29" i="4" s="1"/>
  <c r="HU14" i="4"/>
  <c r="HV14" i="4" s="1"/>
  <c r="GX4" i="4"/>
  <c r="GX36" i="4" s="1"/>
  <c r="GW36" i="4"/>
  <c r="GW45" i="4" s="1"/>
  <c r="GZ4" i="4"/>
  <c r="HU8" i="4"/>
  <c r="HV8" i="4" s="1"/>
  <c r="HU29" i="4" l="1"/>
  <c r="HV29" i="4" s="1"/>
  <c r="GZ36" i="4"/>
  <c r="HH4" i="4"/>
  <c r="HU25" i="4"/>
  <c r="HV25" i="4" s="1"/>
  <c r="HS25" i="4"/>
  <c r="HW25" i="4" s="1"/>
  <c r="HH36" i="4" l="1"/>
  <c r="HH45" i="4" s="1"/>
  <c r="HL4" i="4"/>
  <c r="HL36" i="4" l="1"/>
  <c r="HL45" i="4" s="1"/>
  <c r="HN4" i="4"/>
  <c r="HT4" i="4" l="1"/>
  <c r="HN36" i="4"/>
  <c r="HP4" i="4"/>
  <c r="HW4" i="4" l="1"/>
  <c r="HW36" i="4" s="1"/>
  <c r="HP36" i="4"/>
  <c r="HQ4" i="4"/>
  <c r="HQ36" i="4" l="1"/>
  <c r="HR4" i="4"/>
  <c r="HQ45" i="4" l="1"/>
  <c r="HS4" i="4"/>
  <c r="HU4" i="4" s="1"/>
  <c r="HU36" i="4" s="1"/>
  <c r="HU45" i="4" s="1"/>
  <c r="HV41" i="4" l="1"/>
  <c r="HV4" i="4"/>
  <c r="HX9" i="4" l="1"/>
  <c r="HY9" i="4" s="1"/>
  <c r="HZ9" i="4" s="1"/>
  <c r="IA9" i="4" s="1"/>
  <c r="HX30" i="4"/>
  <c r="HY30" i="4" s="1"/>
  <c r="HZ30" i="4" s="1"/>
  <c r="IA30" i="4" s="1"/>
  <c r="HX14" i="4"/>
  <c r="HY14" i="4" s="1"/>
  <c r="HZ14" i="4" s="1"/>
  <c r="IA14" i="4" s="1"/>
  <c r="HX10" i="4"/>
  <c r="HY10" i="4" s="1"/>
  <c r="HZ10" i="4" s="1"/>
  <c r="IA10" i="4" s="1"/>
  <c r="HX5" i="4"/>
  <c r="HY5" i="4" s="1"/>
  <c r="HZ5" i="4" s="1"/>
  <c r="IA5" i="4" s="1"/>
  <c r="HX32" i="4"/>
  <c r="HY32" i="4" s="1"/>
  <c r="HZ32" i="4" s="1"/>
  <c r="IA32" i="4" s="1"/>
  <c r="HX35" i="4"/>
  <c r="HY35" i="4" s="1"/>
  <c r="HZ35" i="4" s="1"/>
  <c r="IA35" i="4" s="1"/>
  <c r="HX12" i="4"/>
  <c r="HY12" i="4" s="1"/>
  <c r="HZ12" i="4" s="1"/>
  <c r="IA12" i="4" s="1"/>
  <c r="HX16" i="4"/>
  <c r="HY16" i="4" s="1"/>
  <c r="HZ16" i="4" s="1"/>
  <c r="IA16" i="4" s="1"/>
  <c r="HX33" i="4"/>
  <c r="HY33" i="4" s="1"/>
  <c r="HZ33" i="4" s="1"/>
  <c r="IA33" i="4" s="1"/>
  <c r="HX31" i="4"/>
  <c r="HY31" i="4" s="1"/>
  <c r="HZ31" i="4" s="1"/>
  <c r="IA31" i="4" s="1"/>
  <c r="HX15" i="4"/>
  <c r="HY15" i="4" s="1"/>
  <c r="HZ15" i="4" s="1"/>
  <c r="IA15" i="4" s="1"/>
  <c r="HX27" i="4"/>
  <c r="HY27" i="4" s="1"/>
  <c r="HZ27" i="4" s="1"/>
  <c r="IA27" i="4" s="1"/>
  <c r="HX28" i="4"/>
  <c r="HY28" i="4" s="1"/>
  <c r="HZ28" i="4" s="1"/>
  <c r="IA28" i="4" s="1"/>
  <c r="HX13" i="4"/>
  <c r="HY13" i="4" s="1"/>
  <c r="HZ13" i="4" s="1"/>
  <c r="IA13" i="4" s="1"/>
  <c r="HX6" i="4"/>
  <c r="HY6" i="4" s="1"/>
  <c r="HZ6" i="4" s="1"/>
  <c r="IA6" i="4" s="1"/>
  <c r="HX20" i="4"/>
  <c r="HY20" i="4" s="1"/>
  <c r="HZ20" i="4" s="1"/>
  <c r="IA20" i="4" s="1"/>
  <c r="HX17" i="4"/>
  <c r="HY17" i="4" s="1"/>
  <c r="HZ17" i="4" s="1"/>
  <c r="IA17" i="4" s="1"/>
  <c r="HX11" i="4"/>
  <c r="HY11" i="4" s="1"/>
  <c r="HZ11" i="4" s="1"/>
  <c r="IA11" i="4" s="1"/>
  <c r="HX22" i="4"/>
  <c r="HY22" i="4" s="1"/>
  <c r="HZ22" i="4" s="1"/>
  <c r="IA22" i="4" s="1"/>
  <c r="HX21" i="4"/>
  <c r="HY21" i="4" s="1"/>
  <c r="HZ21" i="4" s="1"/>
  <c r="IA21" i="4" s="1"/>
  <c r="HX18" i="4"/>
  <c r="HY18" i="4" s="1"/>
  <c r="HZ18" i="4" s="1"/>
  <c r="IA18" i="4" s="1"/>
  <c r="HX19" i="4"/>
  <c r="HY19" i="4" s="1"/>
  <c r="HZ19" i="4" s="1"/>
  <c r="IA19" i="4" s="1"/>
  <c r="HX7" i="4"/>
  <c r="HY7" i="4" s="1"/>
  <c r="HZ7" i="4" s="1"/>
  <c r="IA7" i="4" s="1"/>
  <c r="HX26" i="4"/>
  <c r="HY26" i="4" s="1"/>
  <c r="HZ26" i="4" s="1"/>
  <c r="IA26" i="4" s="1"/>
  <c r="HX29" i="4"/>
  <c r="HY29" i="4" s="1"/>
  <c r="HZ29" i="4" s="1"/>
  <c r="IA29" i="4" s="1"/>
  <c r="HV45" i="4"/>
  <c r="HX23" i="4"/>
  <c r="HY23" i="4" s="1"/>
  <c r="HZ23" i="4" s="1"/>
  <c r="IA23" i="4" s="1"/>
  <c r="HX25" i="4"/>
  <c r="HX34" i="4"/>
  <c r="HY34" i="4" s="1"/>
  <c r="HZ34" i="4" s="1"/>
  <c r="IA34" i="4" s="1"/>
  <c r="HX4" i="4"/>
  <c r="HX24" i="4"/>
  <c r="HY24" i="4" s="1"/>
  <c r="HZ24" i="4" s="1"/>
  <c r="IA24" i="4" s="1"/>
  <c r="HX8" i="4"/>
  <c r="HY8" i="4" s="1"/>
  <c r="HZ8" i="4" s="1"/>
  <c r="IA8" i="4" s="1"/>
  <c r="HW45" i="4"/>
  <c r="IB28" i="4" l="1"/>
  <c r="ID28" i="4"/>
  <c r="IL28" i="4" s="1"/>
  <c r="ID5" i="4"/>
  <c r="IL5" i="4" s="1"/>
  <c r="IB5" i="4"/>
  <c r="ID26" i="4"/>
  <c r="IL26" i="4" s="1"/>
  <c r="IB26" i="4"/>
  <c r="ID7" i="4"/>
  <c r="IL7" i="4" s="1"/>
  <c r="IB7" i="4"/>
  <c r="HY4" i="4"/>
  <c r="HX36" i="4"/>
  <c r="HY25" i="4" s="1"/>
  <c r="HZ25" i="4" s="1"/>
  <c r="IA25" i="4" s="1"/>
  <c r="ID19" i="4"/>
  <c r="IL19" i="4" s="1"/>
  <c r="IB19" i="4"/>
  <c r="ID13" i="4"/>
  <c r="IL13" i="4" s="1"/>
  <c r="IB13" i="4"/>
  <c r="ID35" i="4"/>
  <c r="IL35" i="4" s="1"/>
  <c r="IB35" i="4"/>
  <c r="IB18" i="4"/>
  <c r="ID18" i="4"/>
  <c r="IL18" i="4" s="1"/>
  <c r="IB22" i="4"/>
  <c r="ID22" i="4"/>
  <c r="IL22" i="4" s="1"/>
  <c r="IB15" i="4"/>
  <c r="ID15" i="4"/>
  <c r="IL15" i="4" s="1"/>
  <c r="ID10" i="4"/>
  <c r="IL10" i="4" s="1"/>
  <c r="IB10" i="4"/>
  <c r="IB32" i="4"/>
  <c r="ID32" i="4"/>
  <c r="IL32" i="4" s="1"/>
  <c r="IB23" i="4"/>
  <c r="ID23" i="4"/>
  <c r="IL23" i="4" s="1"/>
  <c r="ID11" i="4"/>
  <c r="IL11" i="4" s="1"/>
  <c r="IB11" i="4"/>
  <c r="ID31" i="4"/>
  <c r="IL31" i="4" s="1"/>
  <c r="IB31" i="4"/>
  <c r="IB14" i="4"/>
  <c r="ID14" i="4"/>
  <c r="IL14" i="4" s="1"/>
  <c r="IB34" i="4"/>
  <c r="ID34" i="4"/>
  <c r="IL34" i="4" s="1"/>
  <c r="ID27" i="4"/>
  <c r="IL27" i="4" s="1"/>
  <c r="IB27" i="4"/>
  <c r="IB29" i="4"/>
  <c r="ID29" i="4"/>
  <c r="IL29" i="4" s="1"/>
  <c r="ID17" i="4"/>
  <c r="IL17" i="4" s="1"/>
  <c r="IB17" i="4"/>
  <c r="ID33" i="4"/>
  <c r="IL33" i="4" s="1"/>
  <c r="IB33" i="4"/>
  <c r="IB30" i="4"/>
  <c r="ID30" i="4"/>
  <c r="IL30" i="4" s="1"/>
  <c r="IB8" i="4"/>
  <c r="ID8" i="4"/>
  <c r="IL8" i="4" s="1"/>
  <c r="ID20" i="4"/>
  <c r="IL20" i="4" s="1"/>
  <c r="IB20" i="4"/>
  <c r="ID16" i="4"/>
  <c r="IL16" i="4" s="1"/>
  <c r="IB16" i="4"/>
  <c r="ID9" i="4"/>
  <c r="IL9" i="4" s="1"/>
  <c r="IB9" i="4"/>
  <c r="IB21" i="4"/>
  <c r="ID21" i="4"/>
  <c r="IL21" i="4" s="1"/>
  <c r="ID24" i="4"/>
  <c r="IL24" i="4" s="1"/>
  <c r="IB24" i="4"/>
  <c r="ID6" i="4"/>
  <c r="IL6" i="4" s="1"/>
  <c r="IB6" i="4"/>
  <c r="IB12" i="4"/>
  <c r="ID12" i="4"/>
  <c r="IL12" i="4" s="1"/>
  <c r="ID25" i="4" l="1"/>
  <c r="IL25" i="4" s="1"/>
  <c r="IB25" i="4"/>
  <c r="HY36" i="4"/>
  <c r="HY45" i="4" s="1"/>
  <c r="HZ4" i="4"/>
  <c r="IA4" i="4" s="1"/>
  <c r="IB4" i="4" l="1"/>
  <c r="IB36" i="4" s="1"/>
  <c r="IA36" i="4"/>
  <c r="IA45" i="4" s="1"/>
  <c r="ID4" i="4"/>
  <c r="IL4" i="4" l="1"/>
  <c r="IL36" i="4" s="1"/>
  <c r="ID36" i="4"/>
  <c r="IL45" i="4" l="1"/>
</calcChain>
</file>

<file path=xl/sharedStrings.xml><?xml version="1.0" encoding="utf-8"?>
<sst xmlns="http://schemas.openxmlformats.org/spreadsheetml/2006/main" count="2889" uniqueCount="517">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</sst>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324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23" dataDxfId="322" tableBorderDxfId="321">
  <autoFilter ref="A2:V218" xr:uid="{94B9071F-A8F0-40DF-8EE0-3537B44128CC}"/>
  <tableColumns count="22">
    <tableColumn id="1" xr3:uid="{1456FD51-FA27-42C3-8F19-BF4A71CB6C9A}" name="Date_i" dataDxfId="320"/>
    <tableColumn id="2" xr3:uid="{AF7F3C5C-34F6-469F-A108-D85EB6687E69}" name="Description_i" dataDxfId="319"/>
    <tableColumn id="3" xr3:uid="{757142C9-C4A8-45AC-9237-BF154F553D5D}" name="Original Description_i" dataDxfId="318"/>
    <tableColumn id="4" xr3:uid="{3D883421-A9FC-44E4-95D6-7856341E0049}" name="Category_i" dataDxfId="317"/>
    <tableColumn id="5" xr3:uid="{030FF39C-C88D-4147-A73A-D33B454A2C6B}" name="Amount_i" dataDxfId="316"/>
    <tableColumn id="6" xr3:uid="{630EE027-0147-4C23-90A5-EC90B8772B73}" name="Status_i" dataDxfId="315"/>
    <tableColumn id="7" xr3:uid="{AB1B2A5A-5A25-4B93-955F-6D14B9671478}" name="Account" dataDxfId="314"/>
    <tableColumn id="8" xr3:uid="{C3D84B83-F8B1-431A-9B82-36FB2730D31D}" name="Date_o" dataDxfId="313"/>
    <tableColumn id="9" xr3:uid="{E56094F8-5279-44FA-96A2-2CFF936C2128}" name="Description_o" dataDxfId="312"/>
    <tableColumn id="10" xr3:uid="{7CCE5AA7-A124-412D-9061-1FA3B6ED4B8D}" name="Original Description_o" dataDxfId="311"/>
    <tableColumn id="11" xr3:uid="{6082683B-227E-40FD-9369-4EC2B345447A}" name="Category_o" dataDxfId="310"/>
    <tableColumn id="12" xr3:uid="{B082494B-D328-4E0D-9A84-FFAEA41ECE59}" name="Amount_o" dataDxfId="309"/>
    <tableColumn id="13" xr3:uid="{790B845E-E229-4929-A236-D0F151700A8B}" name="Status_o" dataDxfId="308"/>
    <tableColumn id="14" xr3:uid="{A4ECAB93-DC57-4072-962F-127551297341}" name="Date" dataDxfId="307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06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05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04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03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02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01"/>
    <tableColumn id="22" xr3:uid="{F0EC4A1E-3071-40E7-9608-4F270F376858}" name="E" dataDxfId="300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2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298" tableBorderDxfId="297">
  <autoFilter ref="A2:AI6" xr:uid="{50D3C16B-42C7-4810-B70F-5FC7C51E1B1A}"/>
  <tableColumns count="35">
    <tableColumn id="1" xr3:uid="{D2C7390E-8EAE-45A6-954D-0A89783E0E5C}" name="Start" dataDxfId="296">
      <calculatedColumnFormula>EDATE($C$1, ROW(AggregateTable2023[[#This Row],[Start]])-3)</calculatedColumnFormula>
    </tableColumn>
    <tableColumn id="36" xr3:uid="{BF166E5F-6C98-496A-878E-037B3DDF6569}" name="End" totalsRowLabel="Total" dataDxfId="295">
      <calculatedColumnFormula>EDATE($C$1, ROW(AggregateTable2023[[#This Row],[Start]])-2)-1</calculatedColumnFormula>
    </tableColumn>
    <tableColumn id="2" xr3:uid="{1E2D0247-E988-49A4-B1E7-087BCA0F35AD}" name="Car - Note" totalsRowFunction="custom" dataDxfId="294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293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92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291" dataDxfId="290" tableBorderDxfId="289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288"/>
    <tableColumn id="2" xr3:uid="{C4E161B1-7EC0-4B5A-B627-5F4CD0D3F69D}" name="Description_i" dataDxfId="287"/>
    <tableColumn id="3" xr3:uid="{D87CBB1E-40B0-46A1-BF9F-B71D1D36953B}" name="Original Description_i" dataDxfId="286"/>
    <tableColumn id="4" xr3:uid="{1F8EA09F-F922-4D75-9BF8-2A688E248E83}" name="Category_i" dataDxfId="285"/>
    <tableColumn id="5" xr3:uid="{342607B4-67DB-4AE4-AE82-D221FECBDA04}" name="Amount_i" dataDxfId="284"/>
    <tableColumn id="6" xr3:uid="{A891E1EE-8666-4BE3-AD19-1E7E8EC6C461}" name="Status_i" dataDxfId="283"/>
    <tableColumn id="7" xr3:uid="{AD4643DC-63C3-442D-842F-43415922D12E}" name="Account" dataDxfId="282"/>
    <tableColumn id="8" xr3:uid="{6C533F92-784F-45FC-966D-50BC2E4A1210}" name="Date_o" dataDxfId="281"/>
    <tableColumn id="9" xr3:uid="{45467360-0D62-456C-B2BA-9B991A3A5382}" name="Description_o" dataDxfId="280"/>
    <tableColumn id="10" xr3:uid="{19A84DFE-5CD3-4E2C-9C5C-B25420C85630}" name="Original Description_o" dataDxfId="279"/>
    <tableColumn id="11" xr3:uid="{76B3F91C-FD9B-4D78-AD4A-7F77D26B6DCB}" name="Category_o" dataDxfId="278"/>
    <tableColumn id="12" xr3:uid="{247075B3-D888-4516-9151-DE8A293E72DC}" name="Amount_o" dataDxfId="277"/>
    <tableColumn id="13" xr3:uid="{6A8BAE22-8BD2-45C8-BFAF-C180689CC976}" name="Status_o" dataDxfId="276"/>
    <tableColumn id="14" xr3:uid="{5D74B7B5-4875-4547-94AA-4E70285D77FF}" name="Date" dataDxfId="275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74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73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72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71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70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69"/>
    <tableColumn id="22" xr3:uid="{85B37286-156B-408D-9B9C-80972C23A441}" name="E" dataDxfId="268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66" tableBorderDxfId="265">
  <autoFilter ref="A2:AI6" xr:uid="{50D3C16B-42C7-4810-B70F-5FC7C51E1B1A}"/>
  <tableColumns count="35">
    <tableColumn id="1" xr3:uid="{87891042-87C7-43CD-A777-91AFD41DE3F9}" name="Start" dataDxfId="264">
      <calculatedColumnFormula>EDATE($C$1, ROW(AggregateTable2024[[#This Row],[Start]])-3)</calculatedColumnFormula>
    </tableColumn>
    <tableColumn id="36" xr3:uid="{9DFCAA47-E867-479A-AF5E-7C220CB06EC6}" name="End" totalsRowLabel="Total" dataDxfId="263">
      <calculatedColumnFormula>EDATE($C$1, ROW(AggregateTable2024[[#This Row],[Start]])-2)-1</calculatedColumnFormula>
    </tableColumn>
    <tableColumn id="2" xr3:uid="{D1B0515E-B383-4AD7-9C82-02FD11C064D0}" name="Car - Note" totalsRowFunction="custom" dataDxfId="262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61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60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59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58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57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56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55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54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53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52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51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50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49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48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47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46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45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44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43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42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41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40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39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38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37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36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35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34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33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32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31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30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29" totalsRowDxfId="228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27" totalsRowDxfId="226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25" totalsRowDxfId="224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23" totalsRowDxfId="222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21" totalsRowDxfId="220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19" totalsRowDxfId="218" dataCellStyle="Currency">
      <calculatedColumnFormula>MAX(-Buckets_9_23[[#This Row],[Cap Diff]], 0)</calculatedColumnFormula>
      <totalsRowFormula>SUBTOTAL(9, Buckets_9_23[Slush])</totalsRowFormula>
    </tableColumn>
    <tableColumn id="10" xr3:uid="{9D504B2A-F61F-430A-BFA9-F74BC001E07B}" name="Before Fill" dataDxfId="217" totalsRowDxfId="216" dataCellStyle="Currency">
      <calculatedColumnFormula>Buckets_9_23[[#This Row],[After T]]-Buckets_9_23[[#This Row],[Slush]]</calculatedColumnFormula>
    </tableColumn>
    <tableColumn id="12" xr3:uid="{681D5640-D79E-4B7C-868E-C1313E631A28}" name="S Cap Diff" dataDxfId="215" totalsRowDxfId="214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13" totalsRowDxfId="212">
      <calculatedColumnFormula>OR(H4, Buckets_9_23[[#This Row],[After T]]&lt;0)</calculatedColumnFormula>
    </tableColumn>
    <tableColumn id="7" xr3:uid="{3D2682D3-82E9-4FCE-81AF-3307428CF180}" name="Crit To Fill" totalsRowFunction="custom" dataDxfId="211" totalsRowDxfId="210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09" totalsRowDxfId="208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07" totalsRowDxfId="206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205" totalsRowDxfId="204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203" totalsRowDxfId="202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201" totalsRowDxfId="200">
      <calculatedColumnFormula>Buckets_9_23[[#This Row],[Crit Filled]]+Buckets_9_23[[#This Row],[Scaled]]</calculatedColumnFormula>
    </tableColumn>
    <tableColumn id="15" xr3:uid="{59462133-8D91-40F3-B0B6-1C9547FC94EC}" name="Final" totalsRowFunction="custom" dataDxfId="199" totalsRowDxfId="198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197" totalsRowDxfId="196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195" totalsRowDxfId="194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193" totalsRowDxfId="192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191" totalsRowDxfId="190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189" totalsRowDxfId="188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87" totalsRowDxfId="186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85" totalsRowDxfId="184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83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82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81" totalsRowDxfId="180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79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78" totalsRowDxfId="177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176" totalsRowDxfId="175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174" totalsRowDxfId="173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17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71" totalsRowDxfId="17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69" totalsRowDxfId="168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67" totalsRowDxfId="166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65" totalsRowDxfId="164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63" totalsRowDxfId="162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1" totalsRowDxfId="160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59" totalsRowDxfId="158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57" totalsRowDxfId="156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55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54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3" totalsRowDxfId="152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1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0" totalsRowDxfId="149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148" totalsRowDxfId="147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146" totalsRowDxfId="145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144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3" totalsRowDxfId="142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1" totalsRowDxfId="140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39" totalsRowDxfId="138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37" totalsRowDxfId="136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5" totalsRowDxfId="134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3" totalsRowDxfId="132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1" totalsRowDxfId="130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29" totalsRowDxfId="128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27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6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5" totalsRowDxfId="124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20" totalsRowDxfId="119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118" totalsRowDxfId="117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116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5" totalsRowDxfId="114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3" totalsRowDxfId="112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92" totalsRowDxfId="91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90" totalsRowDxfId="89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88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7" totalsRowDxfId="86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5" totalsRowDxfId="84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64" totalsRowDxfId="63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62" totalsRowDxfId="61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60">
      <calculatedColumnFormula>Buckets_2_24[[#This Row],[Crit Filled]]+Buckets_2_24[[#This Row],[Scaled]]</calculatedColumnFormula>
    </tableColumn>
    <tableColumn id="15" xr3:uid="{D3BE9DC6-BEBC-484A-8726-23E7C93CA855}" name="Final" totalsRowFunction="custom" dataDxfId="59" totalsRowDxfId="58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7" totalsRowDxfId="56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36" totalsRowDxfId="35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34" totalsRowDxfId="33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32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1" totalsRowDxfId="30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29" totalsRowDxfId="28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8" totalsRowDxfId="7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6" totalsRowDxfId="5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4">
      <calculatedColumnFormula>Buckets_4_24[[#This Row],[Crit Filled]]+Buckets_4_24[[#This Row],[Scaled]]</calculatedColumnFormula>
    </tableColumn>
    <tableColumn id="15" xr3:uid="{49E2DD40-5F01-48E3-B32C-2A808AA5EBAD}" name="Final" totalsRowFunction="custom" dataDxfId="3" totalsRowDxfId="2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1" totalsRowDxfId="0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514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437</v>
      </c>
    </row>
    <row r="5" spans="1:22" x14ac:dyDescent="0.25">
      <c r="A5" s="4">
        <v>45289</v>
      </c>
      <c r="B5" s="5" t="s">
        <v>406</v>
      </c>
      <c r="C5" s="5" t="s">
        <v>407</v>
      </c>
      <c r="D5" s="5" t="s">
        <v>408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437</v>
      </c>
    </row>
    <row r="6" spans="1:22" x14ac:dyDescent="0.25">
      <c r="A6" s="4">
        <v>45289</v>
      </c>
      <c r="B6" s="5" t="s">
        <v>409</v>
      </c>
      <c r="C6" s="5" t="s">
        <v>410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411</v>
      </c>
      <c r="C8" s="5" t="s">
        <v>412</v>
      </c>
      <c r="D8" s="5" t="s">
        <v>413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414</v>
      </c>
      <c r="C10" s="5" t="s">
        <v>415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432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416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417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437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418</v>
      </c>
      <c r="C17" s="5" t="s">
        <v>419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420</v>
      </c>
      <c r="C19" s="5" t="s">
        <v>421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436</v>
      </c>
    </row>
    <row r="20" spans="1:22" x14ac:dyDescent="0.25">
      <c r="A20" s="4">
        <v>45277</v>
      </c>
      <c r="B20" s="5" t="s">
        <v>422</v>
      </c>
      <c r="C20" s="5" t="s">
        <v>423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436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424</v>
      </c>
      <c r="C23" s="5" t="s">
        <v>425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426</v>
      </c>
      <c r="C27" s="5" t="s">
        <v>427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435</v>
      </c>
    </row>
    <row r="28" spans="1:22" x14ac:dyDescent="0.25">
      <c r="A28" s="4">
        <v>45271</v>
      </c>
      <c r="B28" s="5" t="s">
        <v>420</v>
      </c>
      <c r="C28" s="5" t="s">
        <v>428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435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429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402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403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404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405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430</v>
      </c>
      <c r="C42" s="5" t="s">
        <v>431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434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433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449</v>
      </c>
      <c r="C8" t="s">
        <v>450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480</v>
      </c>
      <c r="C9" t="s">
        <v>481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498</v>
      </c>
      <c r="C11" t="s">
        <v>499</v>
      </c>
      <c r="D11" t="s">
        <v>500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463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501</v>
      </c>
      <c r="C15" t="s">
        <v>502</v>
      </c>
      <c r="D15" t="s">
        <v>503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454</v>
      </c>
      <c r="C21" t="s">
        <v>455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463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482</v>
      </c>
      <c r="C24" t="s">
        <v>483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464</v>
      </c>
      <c r="U24" t="str">
        <f>IF( _xlfn.IFNA(MATCH(LogTable2024[[#This Row],[My Category]], Buckets!$D$4:$D$35, 0), FALSE), ".", "E")</f>
        <v>.</v>
      </c>
      <c r="V24" t="s">
        <v>512</v>
      </c>
    </row>
    <row r="25" spans="1:22" hidden="1" x14ac:dyDescent="0.25">
      <c r="A25" s="1">
        <v>45390</v>
      </c>
      <c r="B25" t="s">
        <v>504</v>
      </c>
      <c r="C25" t="s">
        <v>505</v>
      </c>
      <c r="D25" t="s">
        <v>506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513</v>
      </c>
    </row>
    <row r="26" spans="1:22" hidden="1" x14ac:dyDescent="0.25">
      <c r="A26" s="1">
        <v>45389</v>
      </c>
      <c r="B26" t="s">
        <v>42</v>
      </c>
      <c r="C26" t="s">
        <v>484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464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485</v>
      </c>
      <c r="C30" s="5" t="s">
        <v>486</v>
      </c>
      <c r="D30" s="5" t="s">
        <v>487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488</v>
      </c>
      <c r="C33" s="5" t="s">
        <v>489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507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490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463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472</v>
      </c>
      <c r="C44" s="5" t="s">
        <v>473</v>
      </c>
      <c r="D44" s="5" t="s">
        <v>474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454</v>
      </c>
      <c r="C50" s="5" t="s">
        <v>455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463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491</v>
      </c>
      <c r="C52" s="5" t="s">
        <v>492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409</v>
      </c>
      <c r="C54" s="5" t="s">
        <v>410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508</v>
      </c>
      <c r="C55" s="5" t="s">
        <v>509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464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461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510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493</v>
      </c>
      <c r="C62" s="5" t="s">
        <v>494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495</v>
      </c>
      <c r="C63" s="5" t="s">
        <v>496</v>
      </c>
      <c r="D63" s="5" t="s">
        <v>497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461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470</v>
      </c>
      <c r="C68" s="5" t="s">
        <v>471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463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472</v>
      </c>
      <c r="C72" s="5" t="s">
        <v>473</v>
      </c>
      <c r="D72" s="5" t="s">
        <v>474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511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479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454</v>
      </c>
      <c r="C82" s="5" t="s">
        <v>455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463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475</v>
      </c>
      <c r="C85" s="5" t="s">
        <v>476</v>
      </c>
      <c r="D85" s="5" t="s">
        <v>474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464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477</v>
      </c>
      <c r="C88" s="5" t="s">
        <v>478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461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468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449</v>
      </c>
      <c r="C92" s="5" t="s">
        <v>450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469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439</v>
      </c>
      <c r="C102" s="5" t="s">
        <v>440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441</v>
      </c>
      <c r="C103" s="5" t="s">
        <v>442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409</v>
      </c>
      <c r="C104" s="5" t="s">
        <v>410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452</v>
      </c>
      <c r="C105" s="5" t="s">
        <v>453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443</v>
      </c>
      <c r="C107" s="5" t="s">
        <v>444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445</v>
      </c>
      <c r="C109" s="5" t="s">
        <v>446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461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463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447</v>
      </c>
      <c r="C112" s="5" t="s">
        <v>448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461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454</v>
      </c>
      <c r="C114" s="5" t="s">
        <v>455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449</v>
      </c>
      <c r="C115" s="5" t="s">
        <v>450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463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464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451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456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457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458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462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459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438</v>
      </c>
    </row>
    <row r="133" spans="1:22" hidden="1" x14ac:dyDescent="0.25">
      <c r="A133" s="4">
        <v>45293</v>
      </c>
      <c r="B133" s="5" t="s">
        <v>221</v>
      </c>
      <c r="C133" s="5" t="s">
        <v>460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IC4" activePane="bottomRight" state="frozen"/>
      <selection pane="topRight" activeCell="E1" sqref="E1"/>
      <selection pane="bottomLeft" activeCell="A5" sqref="A5"/>
      <selection pane="bottomRight" activeCell="IS13" sqref="IS13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3.28515625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401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6" t="s">
        <v>400</v>
      </c>
      <c r="G2" s="46"/>
      <c r="H2" s="46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516</v>
      </c>
      <c r="W2" t="s">
        <v>390</v>
      </c>
      <c r="X2" t="s">
        <v>392</v>
      </c>
      <c r="Y2" t="s">
        <v>396</v>
      </c>
      <c r="AB2" s="46" t="s">
        <v>398</v>
      </c>
      <c r="AC2" s="46"/>
      <c r="AD2" s="46"/>
      <c r="AE2" s="46" t="s">
        <v>399</v>
      </c>
      <c r="AF2" s="46"/>
      <c r="AG2" s="46"/>
      <c r="AH2" s="46"/>
      <c r="AI2" s="46"/>
      <c r="AJ2" s="46" t="s">
        <v>400</v>
      </c>
      <c r="AK2" s="46"/>
      <c r="AL2" s="46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516</v>
      </c>
      <c r="BA2" t="s">
        <v>390</v>
      </c>
      <c r="BB2" t="s">
        <v>392</v>
      </c>
      <c r="BC2" t="s">
        <v>396</v>
      </c>
      <c r="BF2" s="46" t="s">
        <v>398</v>
      </c>
      <c r="BG2" s="46"/>
      <c r="BH2" s="46"/>
      <c r="BI2" s="46" t="s">
        <v>399</v>
      </c>
      <c r="BJ2" s="46"/>
      <c r="BK2" s="46"/>
      <c r="BL2" s="46"/>
      <c r="BM2" s="46"/>
      <c r="BN2" s="46" t="s">
        <v>400</v>
      </c>
      <c r="BO2" s="46"/>
      <c r="BP2" s="46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516</v>
      </c>
      <c r="CE2" t="s">
        <v>390</v>
      </c>
      <c r="CF2" t="s">
        <v>392</v>
      </c>
      <c r="CG2" t="s">
        <v>396</v>
      </c>
      <c r="CJ2" s="46" t="s">
        <v>398</v>
      </c>
      <c r="CK2" s="46"/>
      <c r="CL2" s="46"/>
      <c r="CM2" s="46" t="s">
        <v>399</v>
      </c>
      <c r="CN2" s="46"/>
      <c r="CO2" s="46"/>
      <c r="CP2" s="46"/>
      <c r="CQ2" s="46"/>
      <c r="CR2" s="46" t="s">
        <v>400</v>
      </c>
      <c r="CS2" s="46"/>
      <c r="CT2" s="46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516</v>
      </c>
      <c r="DI2" t="s">
        <v>390</v>
      </c>
      <c r="DJ2" t="s">
        <v>392</v>
      </c>
      <c r="DK2" t="s">
        <v>396</v>
      </c>
      <c r="DN2" s="46" t="s">
        <v>398</v>
      </c>
      <c r="DO2" s="46"/>
      <c r="DP2" s="46"/>
      <c r="DQ2" s="46" t="s">
        <v>399</v>
      </c>
      <c r="DR2" s="46"/>
      <c r="DS2" s="46"/>
      <c r="DT2" s="46"/>
      <c r="DU2" s="46"/>
      <c r="DV2" s="46" t="s">
        <v>400</v>
      </c>
      <c r="DW2" s="46"/>
      <c r="DX2" s="46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516</v>
      </c>
      <c r="EM2" t="s">
        <v>390</v>
      </c>
      <c r="EN2" t="s">
        <v>392</v>
      </c>
      <c r="EO2" t="s">
        <v>396</v>
      </c>
      <c r="ER2" s="46" t="s">
        <v>398</v>
      </c>
      <c r="ES2" s="46"/>
      <c r="ET2" s="46"/>
      <c r="EU2" s="46" t="s">
        <v>399</v>
      </c>
      <c r="EV2" s="46"/>
      <c r="EW2" s="46"/>
      <c r="EX2" s="46"/>
      <c r="EY2" s="46"/>
      <c r="EZ2" s="46" t="s">
        <v>400</v>
      </c>
      <c r="FA2" s="46"/>
      <c r="FB2" s="46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516</v>
      </c>
      <c r="FQ2" t="s">
        <v>390</v>
      </c>
      <c r="FR2" t="s">
        <v>392</v>
      </c>
      <c r="FS2" t="s">
        <v>396</v>
      </c>
      <c r="FV2" s="46" t="s">
        <v>398</v>
      </c>
      <c r="FW2" s="46"/>
      <c r="FX2" s="46"/>
      <c r="FY2" s="46" t="s">
        <v>399</v>
      </c>
      <c r="FZ2" s="46"/>
      <c r="GA2" s="46"/>
      <c r="GB2" s="46"/>
      <c r="GC2" s="46"/>
      <c r="GD2" s="46" t="s">
        <v>400</v>
      </c>
      <c r="GE2" s="46"/>
      <c r="GF2" s="46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516</v>
      </c>
      <c r="GU2" t="s">
        <v>390</v>
      </c>
      <c r="GV2" t="s">
        <v>392</v>
      </c>
      <c r="GW2" t="s">
        <v>396</v>
      </c>
      <c r="GZ2" s="46" t="s">
        <v>398</v>
      </c>
      <c r="HA2" s="46"/>
      <c r="HB2" s="46"/>
      <c r="HC2" s="46" t="s">
        <v>399</v>
      </c>
      <c r="HD2" s="46"/>
      <c r="HE2" s="46"/>
      <c r="HF2" s="46"/>
      <c r="HG2" s="46"/>
      <c r="HH2" s="46" t="s">
        <v>400</v>
      </c>
      <c r="HI2" s="46"/>
      <c r="HJ2" s="46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516</v>
      </c>
      <c r="HY2" t="s">
        <v>390</v>
      </c>
      <c r="HZ2" t="s">
        <v>392</v>
      </c>
      <c r="IA2" t="s">
        <v>396</v>
      </c>
      <c r="ID2" s="46" t="s">
        <v>398</v>
      </c>
      <c r="IE2" s="46"/>
      <c r="IF2" s="46"/>
      <c r="IG2" s="46" t="s">
        <v>399</v>
      </c>
      <c r="IH2" s="46"/>
      <c r="II2" s="46"/>
      <c r="IJ2" s="46"/>
      <c r="IK2" s="46"/>
      <c r="IL2" s="46" t="s">
        <v>400</v>
      </c>
      <c r="IM2" s="46"/>
      <c r="IN2" s="46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397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515</v>
      </c>
      <c r="W3" t="s">
        <v>388</v>
      </c>
      <c r="X3" t="s">
        <v>391</v>
      </c>
      <c r="Y3" t="s">
        <v>394</v>
      </c>
      <c r="Z3" t="s">
        <v>395</v>
      </c>
      <c r="AB3" t="s">
        <v>397</v>
      </c>
      <c r="AC3" t="s">
        <v>333</v>
      </c>
      <c r="AD3" t="s">
        <v>332</v>
      </c>
      <c r="AE3" t="s">
        <v>465</v>
      </c>
      <c r="AF3" t="s">
        <v>466</v>
      </c>
      <c r="AG3" t="s">
        <v>370</v>
      </c>
      <c r="AH3" t="s">
        <v>467</v>
      </c>
      <c r="AI3" t="s">
        <v>332</v>
      </c>
      <c r="AJ3" t="s">
        <v>397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515</v>
      </c>
      <c r="BA3" t="s">
        <v>388</v>
      </c>
      <c r="BB3" t="s">
        <v>391</v>
      </c>
      <c r="BC3" t="s">
        <v>394</v>
      </c>
      <c r="BD3" t="s">
        <v>395</v>
      </c>
      <c r="BF3" t="s">
        <v>397</v>
      </c>
      <c r="BG3" t="s">
        <v>333</v>
      </c>
      <c r="BH3" t="s">
        <v>332</v>
      </c>
      <c r="BI3" t="s">
        <v>465</v>
      </c>
      <c r="BJ3" t="s">
        <v>466</v>
      </c>
      <c r="BK3" t="s">
        <v>370</v>
      </c>
      <c r="BL3" t="s">
        <v>467</v>
      </c>
      <c r="BM3" t="s">
        <v>332</v>
      </c>
      <c r="BN3" t="s">
        <v>397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515</v>
      </c>
      <c r="CE3" t="s">
        <v>388</v>
      </c>
      <c r="CF3" t="s">
        <v>391</v>
      </c>
      <c r="CG3" t="s">
        <v>394</v>
      </c>
      <c r="CH3" t="s">
        <v>395</v>
      </c>
      <c r="CJ3" t="s">
        <v>397</v>
      </c>
      <c r="CK3" t="s">
        <v>333</v>
      </c>
      <c r="CL3" t="s">
        <v>332</v>
      </c>
      <c r="CM3" t="s">
        <v>465</v>
      </c>
      <c r="CN3" t="s">
        <v>466</v>
      </c>
      <c r="CO3" t="s">
        <v>370</v>
      </c>
      <c r="CP3" t="s">
        <v>467</v>
      </c>
      <c r="CQ3" t="s">
        <v>332</v>
      </c>
      <c r="CR3" t="s">
        <v>397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515</v>
      </c>
      <c r="DI3" t="s">
        <v>388</v>
      </c>
      <c r="DJ3" t="s">
        <v>391</v>
      </c>
      <c r="DK3" t="s">
        <v>394</v>
      </c>
      <c r="DL3" t="s">
        <v>395</v>
      </c>
      <c r="DN3" t="s">
        <v>397</v>
      </c>
      <c r="DO3" t="s">
        <v>333</v>
      </c>
      <c r="DP3" t="s">
        <v>332</v>
      </c>
      <c r="DQ3" t="s">
        <v>465</v>
      </c>
      <c r="DR3" t="s">
        <v>466</v>
      </c>
      <c r="DS3" t="s">
        <v>370</v>
      </c>
      <c r="DT3" t="s">
        <v>467</v>
      </c>
      <c r="DU3" t="s">
        <v>332</v>
      </c>
      <c r="DV3" t="s">
        <v>397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515</v>
      </c>
      <c r="EM3" t="s">
        <v>388</v>
      </c>
      <c r="EN3" t="s">
        <v>391</v>
      </c>
      <c r="EO3" t="s">
        <v>394</v>
      </c>
      <c r="EP3" t="s">
        <v>395</v>
      </c>
      <c r="ER3" t="s">
        <v>397</v>
      </c>
      <c r="ES3" t="s">
        <v>333</v>
      </c>
      <c r="ET3" t="s">
        <v>332</v>
      </c>
      <c r="EU3" t="s">
        <v>465</v>
      </c>
      <c r="EV3" t="s">
        <v>466</v>
      </c>
      <c r="EW3" t="s">
        <v>370</v>
      </c>
      <c r="EX3" t="s">
        <v>467</v>
      </c>
      <c r="EY3" t="s">
        <v>332</v>
      </c>
      <c r="EZ3" t="s">
        <v>397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515</v>
      </c>
      <c r="FQ3" t="s">
        <v>388</v>
      </c>
      <c r="FR3" t="s">
        <v>391</v>
      </c>
      <c r="FS3" t="s">
        <v>394</v>
      </c>
      <c r="FT3" t="s">
        <v>395</v>
      </c>
      <c r="FV3" t="s">
        <v>397</v>
      </c>
      <c r="FW3" t="s">
        <v>333</v>
      </c>
      <c r="FX3" t="s">
        <v>332</v>
      </c>
      <c r="FY3" t="s">
        <v>465</v>
      </c>
      <c r="FZ3" t="s">
        <v>466</v>
      </c>
      <c r="GA3" t="s">
        <v>370</v>
      </c>
      <c r="GB3" t="s">
        <v>467</v>
      </c>
      <c r="GC3" t="s">
        <v>332</v>
      </c>
      <c r="GD3" t="s">
        <v>397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515</v>
      </c>
      <c r="GU3" t="s">
        <v>388</v>
      </c>
      <c r="GV3" t="s">
        <v>391</v>
      </c>
      <c r="GW3" t="s">
        <v>394</v>
      </c>
      <c r="GX3" t="s">
        <v>395</v>
      </c>
      <c r="GZ3" t="s">
        <v>397</v>
      </c>
      <c r="HA3" t="s">
        <v>333</v>
      </c>
      <c r="HB3" t="s">
        <v>332</v>
      </c>
      <c r="HC3" t="s">
        <v>465</v>
      </c>
      <c r="HD3" t="s">
        <v>466</v>
      </c>
      <c r="HE3" t="s">
        <v>370</v>
      </c>
      <c r="HF3" t="s">
        <v>467</v>
      </c>
      <c r="HG3" t="s">
        <v>332</v>
      </c>
      <c r="HH3" t="s">
        <v>397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515</v>
      </c>
      <c r="HY3" t="s">
        <v>388</v>
      </c>
      <c r="HZ3" t="s">
        <v>391</v>
      </c>
      <c r="IA3" t="s">
        <v>394</v>
      </c>
      <c r="IB3" t="s">
        <v>395</v>
      </c>
      <c r="ID3" t="s">
        <v>397</v>
      </c>
      <c r="IE3" t="s">
        <v>333</v>
      </c>
      <c r="IF3" t="s">
        <v>332</v>
      </c>
      <c r="IG3" t="s">
        <v>465</v>
      </c>
      <c r="IH3" t="s">
        <v>466</v>
      </c>
      <c r="II3" t="s">
        <v>370</v>
      </c>
      <c r="IJ3" t="s">
        <v>467</v>
      </c>
      <c r="IK3" t="s">
        <v>332</v>
      </c>
      <c r="IL3" t="s">
        <v>397</v>
      </c>
      <c r="IM3" t="s">
        <v>333</v>
      </c>
      <c r="IN3" t="s">
        <v>332</v>
      </c>
    </row>
    <row r="4" spans="1:24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MAX(-Buckets_9_23[[#This Row],[Cap Diff]], 0)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>OR(H4, Buckets_9_23[[#This Row],[After T]]&lt;0)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0">H4</f>
        <v>1</v>
      </c>
      <c r="AE4" s="42"/>
      <c r="AF4" s="41"/>
      <c r="AG4" s="41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1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1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 t="shared" ref="CL4:CL35" si="3"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 t="shared" ref="DP4:DP35" si="5"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 t="shared" ref="ET4:ET35" si="7"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8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 t="shared" ref="FX4:FX35" si="9"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10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 t="shared" ref="HB4:HB35" si="11"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12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 t="shared" ref="IF4:IF35" si="13"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14">IF(ISBLANK(IK4), IF4, IK4)</f>
        <v>1</v>
      </c>
    </row>
    <row r="5" spans="1:24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15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6">G5</f>
        <v>400</v>
      </c>
      <c r="N5" s="29">
        <f>Buckets_9_23[[#This Row],[Capacity]]-Buckets_9_23[[#This Row],[After T]]</f>
        <v>395.84000000000003</v>
      </c>
      <c r="O5" s="29">
        <f>MAX(-Buckets_9_23[[#This Row],[Cap Diff]], 0)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>OR(H5, Buckets_9_23[[#This Row],[After T]]&lt;0)</f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0"/>
        <v>1</v>
      </c>
      <c r="AE5" s="42"/>
      <c r="AF5" s="41"/>
      <c r="AG5" s="41"/>
      <c r="AH5" s="41"/>
      <c r="AI5" s="42"/>
      <c r="AJ5" s="39">
        <f t="shared" ref="AJ5:AJ35" si="17">IF(NOT(ISBLANK(AF5)), AF5,
IF(NOT(ISBLANK(AE5)), AB5+AE5,
AB5))</f>
        <v>400</v>
      </c>
      <c r="AK5" s="39">
        <f t="shared" ref="AK5:AK35" si="18">IF(NOT(ISBLANK(AH5)), AH5,
IF(NOT(ISBLANK(AG5)), AC5+AG5,
AC5))</f>
        <v>400</v>
      </c>
      <c r="AL5" s="40" t="b">
        <f t="shared" si="1"/>
        <v>1</v>
      </c>
      <c r="AN5" s="29">
        <f t="shared" ref="AN5:AN35" si="19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20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1">AL5</f>
        <v>1</v>
      </c>
      <c r="BI5" s="42"/>
      <c r="BJ5" s="41"/>
      <c r="BK5" s="41"/>
      <c r="BL5" s="41"/>
      <c r="BM5" s="42"/>
      <c r="BN5" s="39">
        <f t="shared" ref="BN5:BN35" si="22">IF(NOT(ISBLANK(BJ5)), BJ5,
IF(NOT(ISBLANK(BI5)), BF5+BI5,
BF5))</f>
        <v>400</v>
      </c>
      <c r="BO5" s="39">
        <f t="shared" ref="BO5:BO35" si="23">IF(NOT(ISBLANK(BL5)), BL5,
IF(NOT(ISBLANK(BK5)), BG5+BK5,
BG5))</f>
        <v>400</v>
      </c>
      <c r="BP5" s="40" t="b">
        <f t="shared" si="2"/>
        <v>1</v>
      </c>
      <c r="BR5" s="29">
        <f t="shared" ref="BR5:BR35" si="24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5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 t="shared" si="3"/>
        <v>1</v>
      </c>
      <c r="CM5" s="41"/>
      <c r="CN5" s="41"/>
      <c r="CO5" s="41"/>
      <c r="CP5" s="41"/>
      <c r="CQ5" s="42"/>
      <c r="CR5" s="39">
        <f t="shared" ref="CR5:CR35" si="26">IF(NOT(ISBLANK(CN5)), CN5,
IF(NOT(ISBLANK(CM5)), CJ5+CM5,
CJ5))</f>
        <v>400</v>
      </c>
      <c r="CS5" s="39">
        <f t="shared" ref="CS5:CS35" si="27">IF(NOT(ISBLANK(CP5)), CP5,
IF(NOT(ISBLANK(CO5)), CK5+CO5,
CK5))</f>
        <v>400</v>
      </c>
      <c r="CT5" s="40" t="b">
        <f t="shared" si="4"/>
        <v>1</v>
      </c>
      <c r="CV5" s="29">
        <f t="shared" ref="CV5:CV35" si="28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9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 t="shared" si="5"/>
        <v>1</v>
      </c>
      <c r="DQ5" s="41"/>
      <c r="DR5" s="41"/>
      <c r="DS5" s="41"/>
      <c r="DT5" s="41"/>
      <c r="DU5" s="42"/>
      <c r="DV5" s="39">
        <f t="shared" ref="DV5:DV35" si="30">IF(NOT(ISBLANK(DR5)), DR5,
IF(NOT(ISBLANK(DQ5)), DN5+DQ5,
DN5))</f>
        <v>400</v>
      </c>
      <c r="DW5" s="39">
        <f t="shared" ref="DW5:DW35" si="31">IF(NOT(ISBLANK(DT5)), DT5,
IF(NOT(ISBLANK(DS5)), DO5+DS5,
DO5))</f>
        <v>400</v>
      </c>
      <c r="DX5" s="40" t="b">
        <f t="shared" si="6"/>
        <v>1</v>
      </c>
      <c r="DZ5" s="29">
        <f t="shared" ref="DZ5:DZ35" si="32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3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 t="shared" si="7"/>
        <v>1</v>
      </c>
      <c r="EU5" s="41"/>
      <c r="EV5" s="41"/>
      <c r="EW5" s="41"/>
      <c r="EX5" s="41"/>
      <c r="EY5" s="42"/>
      <c r="EZ5" s="39">
        <f t="shared" ref="EZ5:EZ35" si="34">IF(NOT(ISBLANK(EV5)), EV5,
IF(NOT(ISBLANK(EU5)), ER5+EU5,
ER5))</f>
        <v>400</v>
      </c>
      <c r="FA5" s="39">
        <f t="shared" ref="FA5:FA35" si="35">IF(NOT(ISBLANK(EX5)), EX5,
IF(NOT(ISBLANK(EW5)), ES5+EW5,
ES5))</f>
        <v>400</v>
      </c>
      <c r="FB5" s="40" t="b">
        <f t="shared" si="8"/>
        <v>1</v>
      </c>
      <c r="FD5" s="29">
        <f t="shared" ref="FD5:FD35" si="36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7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 t="shared" si="9"/>
        <v>1</v>
      </c>
      <c r="FY5" s="41"/>
      <c r="FZ5" s="41"/>
      <c r="GA5" s="41"/>
      <c r="GB5" s="41"/>
      <c r="GC5" s="42"/>
      <c r="GD5" s="39">
        <f t="shared" ref="GD5:GD35" si="38">IF(NOT(ISBLANK(FZ5)), FZ5,
IF(NOT(ISBLANK(FY5)), FV5+FY5,
FV5))</f>
        <v>400</v>
      </c>
      <c r="GE5" s="39">
        <f t="shared" ref="GE5:GE35" si="39">IF(NOT(ISBLANK(GB5)), GB5,
IF(NOT(ISBLANK(GA5)), FW5+GA5,
FW5))</f>
        <v>400</v>
      </c>
      <c r="GF5" s="40" t="b">
        <f t="shared" si="10"/>
        <v>1</v>
      </c>
      <c r="GH5" s="29">
        <f t="shared" ref="GH5:GH35" si="40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1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 t="shared" si="11"/>
        <v>1</v>
      </c>
      <c r="HC5" s="41"/>
      <c r="HD5" s="41"/>
      <c r="HE5" s="41"/>
      <c r="HF5" s="41"/>
      <c r="HG5" s="42"/>
      <c r="HH5" s="39">
        <f t="shared" ref="HH5:HH35" si="42">IF(NOT(ISBLANK(HD5)), HD5,
IF(NOT(ISBLANK(HC5)), GZ5+HC5,
GZ5))</f>
        <v>400</v>
      </c>
      <c r="HI5" s="39">
        <f t="shared" ref="HI5:HI35" si="43">IF(NOT(ISBLANK(HF5)), HF5,
IF(NOT(ISBLANK(HE5)), HA5+HE5,
HA5))</f>
        <v>400</v>
      </c>
      <c r="HJ5" s="40" t="b">
        <f t="shared" si="12"/>
        <v>1</v>
      </c>
      <c r="HL5" s="29">
        <f t="shared" ref="HL5:HL35" si="44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5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 t="shared" si="13"/>
        <v>1</v>
      </c>
      <c r="IG5" s="41"/>
      <c r="IH5" s="41"/>
      <c r="II5" s="41"/>
      <c r="IJ5" s="41"/>
      <c r="IK5" s="42"/>
      <c r="IL5" s="39">
        <f t="shared" ref="IL5:IL35" si="46">IF(NOT(ISBLANK(IH5)), IH5,
IF(NOT(ISBLANK(IG5)), ID5+IG5,
ID5))</f>
        <v>400</v>
      </c>
      <c r="IM5" s="39">
        <f t="shared" ref="IM5:IM35" si="47">IF(NOT(ISBLANK(IJ5)), IJ5,
IF(NOT(ISBLANK(II5)), IE5+II5,
IE5))</f>
        <v>400</v>
      </c>
      <c r="IN5" s="40" t="b">
        <f t="shared" si="14"/>
        <v>1</v>
      </c>
    </row>
    <row r="6" spans="1:24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15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6"/>
        <v>300</v>
      </c>
      <c r="N6" s="29">
        <f>Buckets_9_23[[#This Row],[Capacity]]-Buckets_9_23[[#This Row],[After T]]</f>
        <v>280.97000000000003</v>
      </c>
      <c r="O6" s="29">
        <f>MAX(-Buckets_9_23[[#This Row],[Cap Diff]], 0)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>OR(H6, Buckets_9_23[[#This Row],[After T]]&lt;0)</f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0"/>
        <v>0</v>
      </c>
      <c r="AE6" s="42"/>
      <c r="AF6" s="41"/>
      <c r="AG6" s="41"/>
      <c r="AH6" s="41"/>
      <c r="AI6" s="42"/>
      <c r="AJ6" s="39">
        <f t="shared" si="17"/>
        <v>264.27</v>
      </c>
      <c r="AK6" s="39">
        <f t="shared" si="18"/>
        <v>300</v>
      </c>
      <c r="AL6" s="40" t="b">
        <f t="shared" si="1"/>
        <v>0</v>
      </c>
      <c r="AN6" s="29">
        <f t="shared" si="19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20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 t="shared" si="21"/>
        <v>0</v>
      </c>
      <c r="BI6" s="42"/>
      <c r="BJ6" s="41"/>
      <c r="BK6" s="41"/>
      <c r="BL6" s="41"/>
      <c r="BM6" s="42"/>
      <c r="BN6" s="39">
        <f t="shared" si="22"/>
        <v>269.95999999999998</v>
      </c>
      <c r="BO6" s="39">
        <f t="shared" si="23"/>
        <v>300</v>
      </c>
      <c r="BP6" s="40" t="b">
        <f t="shared" si="2"/>
        <v>0</v>
      </c>
      <c r="BR6" s="29">
        <f t="shared" si="24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25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 t="shared" si="3"/>
        <v>0</v>
      </c>
      <c r="CM6" s="41"/>
      <c r="CN6" s="41"/>
      <c r="CO6" s="41"/>
      <c r="CP6" s="41"/>
      <c r="CQ6" s="42" t="b">
        <v>1</v>
      </c>
      <c r="CR6" s="39">
        <f t="shared" si="26"/>
        <v>296.73999999999995</v>
      </c>
      <c r="CS6" s="39">
        <f t="shared" si="27"/>
        <v>300</v>
      </c>
      <c r="CT6" s="40" t="b">
        <f t="shared" si="4"/>
        <v>1</v>
      </c>
      <c r="CV6" s="29">
        <f t="shared" si="28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29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 t="shared" si="5"/>
        <v>1</v>
      </c>
      <c r="DQ6" s="41"/>
      <c r="DR6" s="41"/>
      <c r="DS6" s="41"/>
      <c r="DT6" s="41"/>
      <c r="DU6" s="42"/>
      <c r="DV6" s="39">
        <f t="shared" si="30"/>
        <v>300</v>
      </c>
      <c r="DW6" s="39">
        <f t="shared" si="31"/>
        <v>300</v>
      </c>
      <c r="DX6" s="40" t="b">
        <f t="shared" si="6"/>
        <v>1</v>
      </c>
      <c r="DZ6" s="29">
        <f t="shared" si="32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3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 t="shared" si="7"/>
        <v>1</v>
      </c>
      <c r="EU6" s="41"/>
      <c r="EV6" s="41"/>
      <c r="EW6" s="41"/>
      <c r="EX6" s="41"/>
      <c r="EY6" s="42"/>
      <c r="EZ6" s="39">
        <f t="shared" si="34"/>
        <v>300</v>
      </c>
      <c r="FA6" s="39">
        <f t="shared" si="35"/>
        <v>300</v>
      </c>
      <c r="FB6" s="40" t="b">
        <f t="shared" si="8"/>
        <v>1</v>
      </c>
      <c r="FD6" s="29">
        <f t="shared" si="36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7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 t="shared" si="9"/>
        <v>1</v>
      </c>
      <c r="FY6" s="41"/>
      <c r="FZ6" s="41"/>
      <c r="GA6" s="41"/>
      <c r="GB6" s="41">
        <v>500</v>
      </c>
      <c r="GC6" s="42"/>
      <c r="GD6" s="39">
        <f t="shared" si="38"/>
        <v>300</v>
      </c>
      <c r="GE6" s="39">
        <f t="shared" si="39"/>
        <v>500</v>
      </c>
      <c r="GF6" s="40" t="b">
        <f t="shared" si="10"/>
        <v>1</v>
      </c>
      <c r="GH6" s="29">
        <f t="shared" si="40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1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 t="shared" si="11"/>
        <v>1</v>
      </c>
      <c r="HC6" s="41"/>
      <c r="HD6" s="41"/>
      <c r="HE6" s="41"/>
      <c r="HF6" s="41"/>
      <c r="HG6" s="42"/>
      <c r="HH6" s="39">
        <f t="shared" si="42"/>
        <v>500</v>
      </c>
      <c r="HI6" s="39">
        <f t="shared" si="43"/>
        <v>500</v>
      </c>
      <c r="HJ6" s="40" t="b">
        <f t="shared" si="12"/>
        <v>1</v>
      </c>
      <c r="HL6" s="29">
        <f t="shared" si="44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5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 t="shared" si="13"/>
        <v>1</v>
      </c>
      <c r="IG6" s="41"/>
      <c r="IH6" s="41"/>
      <c r="II6" s="41"/>
      <c r="IJ6" s="41"/>
      <c r="IK6" s="42"/>
      <c r="IL6" s="39">
        <f t="shared" si="46"/>
        <v>500</v>
      </c>
      <c r="IM6" s="39">
        <f t="shared" si="47"/>
        <v>500</v>
      </c>
      <c r="IN6" s="40" t="b">
        <f t="shared" si="14"/>
        <v>1</v>
      </c>
    </row>
    <row r="7" spans="1:24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15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6"/>
        <v>100</v>
      </c>
      <c r="N7" s="29">
        <f>Buckets_9_23[[#This Row],[Capacity]]-Buckets_9_23[[#This Row],[After T]]</f>
        <v>50</v>
      </c>
      <c r="O7" s="29">
        <f>MAX(-Buckets_9_23[[#This Row],[Cap Diff]], 0)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>OR(H7, Buckets_9_23[[#This Row],[After T]]&lt;0)</f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0"/>
        <v>1</v>
      </c>
      <c r="AE7" s="42"/>
      <c r="AF7" s="41"/>
      <c r="AG7" s="41"/>
      <c r="AH7" s="41"/>
      <c r="AI7" s="42"/>
      <c r="AJ7" s="39">
        <f t="shared" si="17"/>
        <v>100</v>
      </c>
      <c r="AK7" s="39">
        <f t="shared" si="18"/>
        <v>100</v>
      </c>
      <c r="AL7" s="40" t="b">
        <f t="shared" si="1"/>
        <v>1</v>
      </c>
      <c r="AN7" s="29">
        <f t="shared" si="19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20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1"/>
        <v>1</v>
      </c>
      <c r="BI7" s="42"/>
      <c r="BJ7" s="41"/>
      <c r="BK7" s="41"/>
      <c r="BL7" s="41"/>
      <c r="BM7" s="42"/>
      <c r="BN7" s="39">
        <f t="shared" si="22"/>
        <v>100</v>
      </c>
      <c r="BO7" s="39">
        <f t="shared" si="23"/>
        <v>100</v>
      </c>
      <c r="BP7" s="40" t="b">
        <f t="shared" si="2"/>
        <v>1</v>
      </c>
      <c r="BR7" s="29">
        <f t="shared" si="24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5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 t="shared" si="3"/>
        <v>1</v>
      </c>
      <c r="CM7" s="41"/>
      <c r="CN7" s="41"/>
      <c r="CO7" s="41"/>
      <c r="CP7" s="41"/>
      <c r="CQ7" s="42"/>
      <c r="CR7" s="39">
        <f t="shared" si="26"/>
        <v>100</v>
      </c>
      <c r="CS7" s="39">
        <f t="shared" si="27"/>
        <v>100</v>
      </c>
      <c r="CT7" s="40" t="b">
        <f t="shared" si="4"/>
        <v>1</v>
      </c>
      <c r="CV7" s="29">
        <f t="shared" si="28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9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 t="shared" si="5"/>
        <v>1</v>
      </c>
      <c r="DQ7" s="41"/>
      <c r="DR7" s="41"/>
      <c r="DS7" s="41"/>
      <c r="DT7" s="41"/>
      <c r="DU7" s="42"/>
      <c r="DV7" s="39">
        <f t="shared" si="30"/>
        <v>100</v>
      </c>
      <c r="DW7" s="39">
        <f t="shared" si="31"/>
        <v>100</v>
      </c>
      <c r="DX7" s="40" t="b">
        <f t="shared" si="6"/>
        <v>1</v>
      </c>
      <c r="DZ7" s="29">
        <f t="shared" si="32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3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 t="shared" si="7"/>
        <v>1</v>
      </c>
      <c r="EU7" s="41"/>
      <c r="EV7" s="41"/>
      <c r="EW7" s="41"/>
      <c r="EX7" s="41"/>
      <c r="EY7" s="42"/>
      <c r="EZ7" s="39">
        <f t="shared" si="34"/>
        <v>100</v>
      </c>
      <c r="FA7" s="39">
        <f t="shared" si="35"/>
        <v>100</v>
      </c>
      <c r="FB7" s="40" t="b">
        <f t="shared" si="8"/>
        <v>1</v>
      </c>
      <c r="FD7" s="29">
        <f t="shared" si="36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7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 t="shared" si="9"/>
        <v>1</v>
      </c>
      <c r="FY7" s="41"/>
      <c r="FZ7" s="41"/>
      <c r="GA7" s="41"/>
      <c r="GB7" s="41"/>
      <c r="GC7" s="42"/>
      <c r="GD7" s="39">
        <f t="shared" si="38"/>
        <v>100</v>
      </c>
      <c r="GE7" s="39">
        <f t="shared" si="39"/>
        <v>100</v>
      </c>
      <c r="GF7" s="40" t="b">
        <f t="shared" si="10"/>
        <v>1</v>
      </c>
      <c r="GH7" s="29">
        <f t="shared" si="40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1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 t="shared" si="11"/>
        <v>1</v>
      </c>
      <c r="HC7" s="41"/>
      <c r="HD7" s="41"/>
      <c r="HE7" s="41"/>
      <c r="HF7" s="41"/>
      <c r="HG7" s="42"/>
      <c r="HH7" s="39">
        <f t="shared" si="42"/>
        <v>100</v>
      </c>
      <c r="HI7" s="39">
        <f t="shared" si="43"/>
        <v>100</v>
      </c>
      <c r="HJ7" s="40" t="b">
        <f t="shared" si="12"/>
        <v>1</v>
      </c>
      <c r="HL7" s="29">
        <f t="shared" si="44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5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 t="shared" si="13"/>
        <v>1</v>
      </c>
      <c r="IG7" s="41"/>
      <c r="IH7" s="41"/>
      <c r="II7" s="41"/>
      <c r="IJ7" s="41"/>
      <c r="IK7" s="42"/>
      <c r="IL7" s="39">
        <f t="shared" si="46"/>
        <v>100</v>
      </c>
      <c r="IM7" s="39">
        <f t="shared" si="47"/>
        <v>100</v>
      </c>
      <c r="IN7" s="40" t="b">
        <f t="shared" si="14"/>
        <v>1</v>
      </c>
    </row>
    <row r="8" spans="1:24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15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6"/>
        <v>500</v>
      </c>
      <c r="N8" s="29">
        <f>Buckets_9_23[[#This Row],[Capacity]]-Buckets_9_23[[#This Row],[After T]]</f>
        <v>500</v>
      </c>
      <c r="O8" s="29">
        <f>MAX(-Buckets_9_23[[#This Row],[Cap Diff]], 0)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>OR(H8, Buckets_9_23[[#This Row],[After T]]&lt;0)</f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0"/>
        <v>0</v>
      </c>
      <c r="AE8" s="42"/>
      <c r="AF8" s="41"/>
      <c r="AG8" s="41"/>
      <c r="AH8" s="41"/>
      <c r="AI8" s="42"/>
      <c r="AJ8" s="39">
        <f t="shared" si="17"/>
        <v>436.41</v>
      </c>
      <c r="AK8" s="39">
        <f t="shared" si="18"/>
        <v>500</v>
      </c>
      <c r="AL8" s="40" t="b">
        <f t="shared" si="1"/>
        <v>0</v>
      </c>
      <c r="AN8" s="29">
        <f t="shared" si="19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20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 t="shared" si="21"/>
        <v>0</v>
      </c>
      <c r="BI8" s="42"/>
      <c r="BJ8" s="41"/>
      <c r="BK8" s="41"/>
      <c r="BL8" s="41"/>
      <c r="BM8" s="42"/>
      <c r="BN8" s="39">
        <f t="shared" si="22"/>
        <v>474.18</v>
      </c>
      <c r="BO8" s="39">
        <f t="shared" si="23"/>
        <v>500</v>
      </c>
      <c r="BP8" s="40" t="b">
        <f t="shared" si="2"/>
        <v>0</v>
      </c>
      <c r="BR8" s="29">
        <f t="shared" si="24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25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 t="shared" si="3"/>
        <v>0</v>
      </c>
      <c r="CM8" s="41">
        <v>1790</v>
      </c>
      <c r="CN8" s="41"/>
      <c r="CO8" s="41"/>
      <c r="CP8" s="41"/>
      <c r="CQ8" s="42"/>
      <c r="CR8" s="39">
        <f t="shared" si="26"/>
        <v>2290</v>
      </c>
      <c r="CS8" s="39">
        <f t="shared" si="27"/>
        <v>500</v>
      </c>
      <c r="CT8" s="40" t="b">
        <f t="shared" si="4"/>
        <v>0</v>
      </c>
      <c r="CV8" s="29">
        <f t="shared" si="28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9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 t="shared" si="5"/>
        <v>0</v>
      </c>
      <c r="DQ8" s="41"/>
      <c r="DR8" s="41"/>
      <c r="DS8" s="41"/>
      <c r="DT8" s="41"/>
      <c r="DU8" s="42"/>
      <c r="DV8" s="39">
        <f t="shared" si="30"/>
        <v>267.69</v>
      </c>
      <c r="DW8" s="39">
        <f t="shared" si="31"/>
        <v>500</v>
      </c>
      <c r="DX8" s="40" t="b">
        <f t="shared" si="6"/>
        <v>0</v>
      </c>
      <c r="DZ8" s="29">
        <f t="shared" si="32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33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 t="shared" si="7"/>
        <v>0</v>
      </c>
      <c r="EU8" s="41"/>
      <c r="EV8" s="41"/>
      <c r="EW8" s="41"/>
      <c r="EX8" s="41"/>
      <c r="EY8" s="42"/>
      <c r="EZ8" s="39">
        <f t="shared" si="34"/>
        <v>499.99999999999994</v>
      </c>
      <c r="FA8" s="39">
        <f t="shared" si="35"/>
        <v>500</v>
      </c>
      <c r="FB8" s="40" t="b">
        <f t="shared" si="8"/>
        <v>0</v>
      </c>
      <c r="FD8" s="29">
        <f t="shared" si="36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7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 t="shared" si="9"/>
        <v>0</v>
      </c>
      <c r="FY8" s="41"/>
      <c r="FZ8" s="41"/>
      <c r="GA8" s="41"/>
      <c r="GB8" s="41"/>
      <c r="GC8" s="42"/>
      <c r="GD8" s="39">
        <f t="shared" si="38"/>
        <v>481.67</v>
      </c>
      <c r="GE8" s="39">
        <f t="shared" si="39"/>
        <v>500</v>
      </c>
      <c r="GF8" s="40" t="b">
        <f t="shared" si="10"/>
        <v>0</v>
      </c>
      <c r="GH8" s="29">
        <f t="shared" si="40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41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 t="shared" si="11"/>
        <v>0</v>
      </c>
      <c r="HC8" s="41"/>
      <c r="HD8" s="41"/>
      <c r="HE8" s="41"/>
      <c r="HF8" s="41">
        <v>1500</v>
      </c>
      <c r="HG8" s="42"/>
      <c r="HH8" s="39">
        <f t="shared" si="42"/>
        <v>499.99999999999994</v>
      </c>
      <c r="HI8" s="39">
        <f t="shared" si="43"/>
        <v>1500</v>
      </c>
      <c r="HJ8" s="40" t="b">
        <f t="shared" si="12"/>
        <v>0</v>
      </c>
      <c r="HL8" s="29">
        <f t="shared" si="44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5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 t="shared" si="13"/>
        <v>0</v>
      </c>
      <c r="IG8" s="41"/>
      <c r="IH8" s="41"/>
      <c r="II8" s="41"/>
      <c r="IJ8" s="41"/>
      <c r="IK8" s="42"/>
      <c r="IL8" s="39">
        <f t="shared" si="46"/>
        <v>978.87</v>
      </c>
      <c r="IM8" s="39">
        <f t="shared" si="47"/>
        <v>1500</v>
      </c>
      <c r="IN8" s="40" t="b">
        <f t="shared" si="14"/>
        <v>0</v>
      </c>
    </row>
    <row r="9" spans="1:24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15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6"/>
        <v>300</v>
      </c>
      <c r="N9" s="29">
        <f>Buckets_9_23[[#This Row],[Capacity]]-Buckets_9_23[[#This Row],[After T]]</f>
        <v>200</v>
      </c>
      <c r="O9" s="29">
        <f>MAX(-Buckets_9_23[[#This Row],[Cap Diff]], 0)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>OR(H9, Buckets_9_23[[#This Row],[After T]]&lt;0)</f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0"/>
        <v>0</v>
      </c>
      <c r="AE9" s="42"/>
      <c r="AF9" s="41"/>
      <c r="AG9" s="41"/>
      <c r="AH9" s="41"/>
      <c r="AI9" s="42"/>
      <c r="AJ9" s="39">
        <f t="shared" si="17"/>
        <v>274.56</v>
      </c>
      <c r="AK9" s="39">
        <f t="shared" si="18"/>
        <v>300</v>
      </c>
      <c r="AL9" s="40" t="b">
        <f t="shared" si="1"/>
        <v>0</v>
      </c>
      <c r="AN9" s="29">
        <f t="shared" si="19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20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 t="shared" si="21"/>
        <v>0</v>
      </c>
      <c r="BI9" s="42"/>
      <c r="BJ9" s="41"/>
      <c r="BK9" s="41"/>
      <c r="BL9" s="41"/>
      <c r="BM9" s="42"/>
      <c r="BN9" s="39">
        <f t="shared" si="22"/>
        <v>279.52</v>
      </c>
      <c r="BO9" s="39">
        <f t="shared" si="23"/>
        <v>300</v>
      </c>
      <c r="BP9" s="40" t="b">
        <f t="shared" si="2"/>
        <v>0</v>
      </c>
      <c r="BR9" s="29">
        <f t="shared" si="24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25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 t="shared" si="3"/>
        <v>0</v>
      </c>
      <c r="CM9" s="41"/>
      <c r="CN9" s="41"/>
      <c r="CO9" s="41"/>
      <c r="CP9" s="41">
        <v>500</v>
      </c>
      <c r="CQ9" s="42"/>
      <c r="CR9" s="39">
        <f t="shared" si="26"/>
        <v>298.65999999999997</v>
      </c>
      <c r="CS9" s="39">
        <f t="shared" si="27"/>
        <v>500</v>
      </c>
      <c r="CT9" s="40" t="b">
        <f t="shared" si="4"/>
        <v>0</v>
      </c>
      <c r="CV9" s="29">
        <f t="shared" si="28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29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 t="shared" si="5"/>
        <v>0</v>
      </c>
      <c r="DQ9" s="41"/>
      <c r="DR9" s="41"/>
      <c r="DS9" s="41"/>
      <c r="DT9" s="41"/>
      <c r="DU9" s="42"/>
      <c r="DV9" s="39">
        <f t="shared" si="30"/>
        <v>341.45</v>
      </c>
      <c r="DW9" s="39">
        <f t="shared" si="31"/>
        <v>500</v>
      </c>
      <c r="DX9" s="40" t="b">
        <f t="shared" si="6"/>
        <v>0</v>
      </c>
      <c r="DZ9" s="29">
        <f t="shared" si="32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33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 t="shared" si="7"/>
        <v>0</v>
      </c>
      <c r="EU9" s="41"/>
      <c r="EV9" s="41"/>
      <c r="EW9" s="41"/>
      <c r="EX9" s="41"/>
      <c r="EY9" s="42"/>
      <c r="EZ9" s="39">
        <f t="shared" si="34"/>
        <v>418.76</v>
      </c>
      <c r="FA9" s="39">
        <f t="shared" si="35"/>
        <v>500</v>
      </c>
      <c r="FB9" s="40" t="b">
        <f t="shared" si="8"/>
        <v>0</v>
      </c>
      <c r="FD9" s="29">
        <f t="shared" si="36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37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 t="shared" si="9"/>
        <v>0</v>
      </c>
      <c r="FY9" s="41"/>
      <c r="FZ9" s="41"/>
      <c r="GA9" s="41"/>
      <c r="GB9" s="41"/>
      <c r="GC9" s="42"/>
      <c r="GD9" s="39">
        <f t="shared" si="38"/>
        <v>497.02</v>
      </c>
      <c r="GE9" s="39">
        <f t="shared" si="39"/>
        <v>500</v>
      </c>
      <c r="GF9" s="40" t="b">
        <f t="shared" si="10"/>
        <v>0</v>
      </c>
      <c r="GH9" s="29">
        <f t="shared" si="40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41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 t="shared" si="11"/>
        <v>0</v>
      </c>
      <c r="HC9" s="41"/>
      <c r="HD9" s="41"/>
      <c r="HE9" s="41"/>
      <c r="HF9" s="41"/>
      <c r="HG9" s="42"/>
      <c r="HH9" s="39">
        <f t="shared" si="42"/>
        <v>499.90999999999997</v>
      </c>
      <c r="HI9" s="39">
        <f t="shared" si="43"/>
        <v>500</v>
      </c>
      <c r="HJ9" s="40" t="b">
        <f t="shared" si="12"/>
        <v>0</v>
      </c>
      <c r="HL9" s="29">
        <f t="shared" si="44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45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 t="shared" si="13"/>
        <v>0</v>
      </c>
      <c r="IG9" s="41"/>
      <c r="IH9" s="41"/>
      <c r="II9" s="41"/>
      <c r="IJ9" s="41"/>
      <c r="IK9" s="42"/>
      <c r="IL9" s="39">
        <f t="shared" si="46"/>
        <v>499.96999999999997</v>
      </c>
      <c r="IM9" s="39">
        <f t="shared" si="47"/>
        <v>500</v>
      </c>
      <c r="IN9" s="40" t="b">
        <f t="shared" si="14"/>
        <v>0</v>
      </c>
    </row>
    <row r="10" spans="1:24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15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6"/>
        <v>200</v>
      </c>
      <c r="N10" s="29">
        <f>Buckets_9_23[[#This Row],[Capacity]]-Buckets_9_23[[#This Row],[After T]]</f>
        <v>163.9</v>
      </c>
      <c r="O10" s="29">
        <f>MAX(-Buckets_9_23[[#This Row],[Cap Diff]], 0)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>OR(H10, Buckets_9_23[[#This Row],[After T]]&lt;0)</f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0"/>
        <v>0</v>
      </c>
      <c r="AE10" s="42"/>
      <c r="AF10" s="41"/>
      <c r="AG10" s="41"/>
      <c r="AH10" s="41"/>
      <c r="AI10" s="42"/>
      <c r="AJ10" s="39">
        <f t="shared" si="17"/>
        <v>179.15</v>
      </c>
      <c r="AK10" s="39">
        <f t="shared" si="18"/>
        <v>200</v>
      </c>
      <c r="AL10" s="40" t="b">
        <f t="shared" si="1"/>
        <v>0</v>
      </c>
      <c r="AN10" s="29">
        <f t="shared" si="19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20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 t="shared" si="21"/>
        <v>0</v>
      </c>
      <c r="BI10" s="42"/>
      <c r="BJ10" s="41"/>
      <c r="BK10" s="41"/>
      <c r="BL10" s="41"/>
      <c r="BM10" s="42"/>
      <c r="BN10" s="39">
        <f t="shared" si="22"/>
        <v>185.89</v>
      </c>
      <c r="BO10" s="39">
        <f t="shared" si="23"/>
        <v>200</v>
      </c>
      <c r="BP10" s="40" t="b">
        <f t="shared" si="2"/>
        <v>0</v>
      </c>
      <c r="BR10" s="29">
        <f t="shared" si="24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25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 t="shared" si="3"/>
        <v>0</v>
      </c>
      <c r="CM10" s="41"/>
      <c r="CN10" s="41"/>
      <c r="CO10" s="41"/>
      <c r="CP10" s="41">
        <v>500</v>
      </c>
      <c r="CQ10" s="42"/>
      <c r="CR10" s="39">
        <f t="shared" si="26"/>
        <v>199.60999999999999</v>
      </c>
      <c r="CS10" s="39">
        <f t="shared" si="27"/>
        <v>500</v>
      </c>
      <c r="CT10" s="40" t="b">
        <f t="shared" si="4"/>
        <v>0</v>
      </c>
      <c r="CV10" s="29">
        <f t="shared" si="28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29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 t="shared" si="5"/>
        <v>0</v>
      </c>
      <c r="DQ10" s="41"/>
      <c r="DR10" s="41"/>
      <c r="DS10" s="41"/>
      <c r="DT10" s="41"/>
      <c r="DU10" s="42"/>
      <c r="DV10" s="39">
        <f t="shared" si="30"/>
        <v>329.40999999999997</v>
      </c>
      <c r="DW10" s="39">
        <f t="shared" si="31"/>
        <v>500</v>
      </c>
      <c r="DX10" s="40" t="b">
        <f t="shared" si="6"/>
        <v>0</v>
      </c>
      <c r="DZ10" s="29">
        <f t="shared" si="32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33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 t="shared" si="7"/>
        <v>0</v>
      </c>
      <c r="EU10" s="41"/>
      <c r="EV10" s="41"/>
      <c r="EW10" s="41"/>
      <c r="EX10" s="41"/>
      <c r="EY10" s="42"/>
      <c r="EZ10" s="39">
        <f t="shared" si="34"/>
        <v>428.78999999999996</v>
      </c>
      <c r="FA10" s="39">
        <f t="shared" si="35"/>
        <v>500</v>
      </c>
      <c r="FB10" s="40" t="b">
        <f t="shared" si="8"/>
        <v>0</v>
      </c>
      <c r="FD10" s="29">
        <f t="shared" si="36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37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 t="shared" si="9"/>
        <v>0</v>
      </c>
      <c r="FY10" s="41"/>
      <c r="FZ10" s="41"/>
      <c r="GA10" s="41"/>
      <c r="GB10" s="41"/>
      <c r="GC10" s="42"/>
      <c r="GD10" s="39">
        <f t="shared" si="38"/>
        <v>496.88</v>
      </c>
      <c r="GE10" s="39">
        <f t="shared" si="39"/>
        <v>500</v>
      </c>
      <c r="GF10" s="40" t="b">
        <f t="shared" si="10"/>
        <v>0</v>
      </c>
      <c r="GH10" s="29">
        <f t="shared" si="40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41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 t="shared" si="11"/>
        <v>0</v>
      </c>
      <c r="HC10" s="41"/>
      <c r="HD10" s="41"/>
      <c r="HE10" s="41"/>
      <c r="HF10" s="41"/>
      <c r="HG10" s="42"/>
      <c r="HH10" s="39">
        <f t="shared" si="42"/>
        <v>499.51</v>
      </c>
      <c r="HI10" s="39">
        <f t="shared" si="43"/>
        <v>500</v>
      </c>
      <c r="HJ10" s="40" t="b">
        <f t="shared" si="12"/>
        <v>0</v>
      </c>
      <c r="HL10" s="29">
        <f t="shared" si="44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45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 t="shared" si="13"/>
        <v>0</v>
      </c>
      <c r="IG10" s="41"/>
      <c r="IH10" s="41"/>
      <c r="II10" s="41"/>
      <c r="IJ10" s="41"/>
      <c r="IK10" s="42"/>
      <c r="IL10" s="39">
        <f t="shared" si="46"/>
        <v>495</v>
      </c>
      <c r="IM10" s="39">
        <f t="shared" si="47"/>
        <v>500</v>
      </c>
      <c r="IN10" s="40" t="b">
        <f t="shared" si="14"/>
        <v>0</v>
      </c>
    </row>
    <row r="11" spans="1:24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15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6"/>
        <v>200</v>
      </c>
      <c r="N11" s="29">
        <f>Buckets_9_23[[#This Row],[Capacity]]-Buckets_9_23[[#This Row],[After T]]</f>
        <v>160.81</v>
      </c>
      <c r="O11" s="29">
        <f>MAX(-Buckets_9_23[[#This Row],[Cap Diff]], 0)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>OR(H11, Buckets_9_23[[#This Row],[After T]]&lt;0)</f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0"/>
        <v>0</v>
      </c>
      <c r="AE11" s="42"/>
      <c r="AF11" s="41"/>
      <c r="AG11" s="41"/>
      <c r="AH11" s="41"/>
      <c r="AI11" s="42"/>
      <c r="AJ11" s="39">
        <f t="shared" si="17"/>
        <v>179.55</v>
      </c>
      <c r="AK11" s="39">
        <f t="shared" si="18"/>
        <v>200</v>
      </c>
      <c r="AL11" s="40" t="b">
        <f t="shared" si="1"/>
        <v>0</v>
      </c>
      <c r="AN11" s="29">
        <f t="shared" si="19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20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 t="shared" si="21"/>
        <v>0</v>
      </c>
      <c r="BI11" s="42"/>
      <c r="BJ11" s="41"/>
      <c r="BK11" s="41"/>
      <c r="BL11" s="41"/>
      <c r="BM11" s="42"/>
      <c r="BN11" s="39">
        <f t="shared" si="22"/>
        <v>185.11</v>
      </c>
      <c r="BO11" s="39">
        <f t="shared" si="23"/>
        <v>200</v>
      </c>
      <c r="BP11" s="40" t="b">
        <f t="shared" si="2"/>
        <v>0</v>
      </c>
      <c r="BR11" s="29">
        <f t="shared" si="24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25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 t="shared" si="3"/>
        <v>0</v>
      </c>
      <c r="CM11" s="41">
        <v>-70</v>
      </c>
      <c r="CN11" s="41"/>
      <c r="CO11" s="41"/>
      <c r="CP11" s="41">
        <v>500</v>
      </c>
      <c r="CQ11" s="42"/>
      <c r="CR11" s="39">
        <f t="shared" si="26"/>
        <v>129.79000000000002</v>
      </c>
      <c r="CS11" s="39">
        <f t="shared" si="27"/>
        <v>500</v>
      </c>
      <c r="CT11" s="40" t="b">
        <f t="shared" si="4"/>
        <v>0</v>
      </c>
      <c r="CV11" s="29">
        <f t="shared" si="28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29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 t="shared" si="5"/>
        <v>0</v>
      </c>
      <c r="DQ11" s="41"/>
      <c r="DR11" s="41"/>
      <c r="DS11" s="41"/>
      <c r="DT11" s="41"/>
      <c r="DU11" s="42"/>
      <c r="DV11" s="39">
        <f t="shared" si="30"/>
        <v>287.31</v>
      </c>
      <c r="DW11" s="39">
        <f t="shared" si="31"/>
        <v>500</v>
      </c>
      <c r="DX11" s="40" t="b">
        <f t="shared" si="6"/>
        <v>0</v>
      </c>
      <c r="DZ11" s="29">
        <f t="shared" si="32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33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 t="shared" si="7"/>
        <v>0</v>
      </c>
      <c r="EU11" s="41"/>
      <c r="EV11" s="41"/>
      <c r="EW11" s="41"/>
      <c r="EX11" s="41"/>
      <c r="EY11" s="42"/>
      <c r="EZ11" s="39">
        <f t="shared" si="34"/>
        <v>417.9</v>
      </c>
      <c r="FA11" s="39">
        <f t="shared" si="35"/>
        <v>500</v>
      </c>
      <c r="FB11" s="40" t="b">
        <f t="shared" si="8"/>
        <v>0</v>
      </c>
      <c r="FD11" s="29">
        <f t="shared" si="36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37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 t="shared" si="9"/>
        <v>0</v>
      </c>
      <c r="FY11" s="41"/>
      <c r="FZ11" s="41"/>
      <c r="GA11" s="41"/>
      <c r="GB11" s="41"/>
      <c r="GC11" s="42"/>
      <c r="GD11" s="39">
        <f t="shared" si="38"/>
        <v>495.4</v>
      </c>
      <c r="GE11" s="39">
        <f t="shared" si="39"/>
        <v>500</v>
      </c>
      <c r="GF11" s="40" t="b">
        <f t="shared" si="10"/>
        <v>0</v>
      </c>
      <c r="GH11" s="29">
        <f t="shared" si="40"/>
        <v>495.4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</v>
      </c>
      <c r="GK11" s="29">
        <f t="shared" si="41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 t="shared" si="11"/>
        <v>0</v>
      </c>
      <c r="HC11" s="41"/>
      <c r="HD11" s="41"/>
      <c r="HE11" s="41"/>
      <c r="HF11" s="41"/>
      <c r="HG11" s="42"/>
      <c r="HH11" s="39">
        <f t="shared" si="42"/>
        <v>498.48999999999995</v>
      </c>
      <c r="HI11" s="39">
        <f t="shared" si="43"/>
        <v>500</v>
      </c>
      <c r="HJ11" s="40" t="b">
        <f t="shared" si="12"/>
        <v>0</v>
      </c>
      <c r="HL11" s="29">
        <f t="shared" si="44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45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 t="shared" si="13"/>
        <v>0</v>
      </c>
      <c r="IG11" s="41"/>
      <c r="IH11" s="41"/>
      <c r="II11" s="41"/>
      <c r="IJ11" s="41"/>
      <c r="IK11" s="42"/>
      <c r="IL11" s="39">
        <f t="shared" si="46"/>
        <v>493.15999999999997</v>
      </c>
      <c r="IM11" s="39">
        <f t="shared" si="47"/>
        <v>500</v>
      </c>
      <c r="IN11" s="40" t="b">
        <f t="shared" si="14"/>
        <v>0</v>
      </c>
    </row>
    <row r="12" spans="1:24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15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6"/>
        <v>300</v>
      </c>
      <c r="N12" s="29">
        <f>Buckets_9_23[[#This Row],[Capacity]]-Buckets_9_23[[#This Row],[After T]]</f>
        <v>300</v>
      </c>
      <c r="O12" s="29">
        <f>MAX(-Buckets_9_23[[#This Row],[Cap Diff]], 0)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>OR(H12, Buckets_9_23[[#This Row],[After T]]&lt;0)</f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0"/>
        <v>0</v>
      </c>
      <c r="AE12" s="42"/>
      <c r="AF12" s="41"/>
      <c r="AG12" s="41"/>
      <c r="AH12" s="41"/>
      <c r="AI12" s="42"/>
      <c r="AJ12" s="39">
        <f t="shared" si="17"/>
        <v>261.85000000000002</v>
      </c>
      <c r="AK12" s="39">
        <f t="shared" si="18"/>
        <v>300</v>
      </c>
      <c r="AL12" s="40" t="b">
        <f t="shared" si="1"/>
        <v>0</v>
      </c>
      <c r="AN12" s="29">
        <f t="shared" si="19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20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 t="shared" si="21"/>
        <v>0</v>
      </c>
      <c r="BI12" s="42"/>
      <c r="BJ12" s="41"/>
      <c r="BK12" s="41"/>
      <c r="BL12" s="41"/>
      <c r="BM12" s="42"/>
      <c r="BN12" s="39">
        <f t="shared" si="22"/>
        <v>251.26000000000005</v>
      </c>
      <c r="BO12" s="39">
        <f t="shared" si="23"/>
        <v>300</v>
      </c>
      <c r="BP12" s="40" t="b">
        <f t="shared" si="2"/>
        <v>0</v>
      </c>
      <c r="BR12" s="29">
        <f t="shared" si="24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25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 t="shared" si="3"/>
        <v>0</v>
      </c>
      <c r="CM12" s="41">
        <v>-120</v>
      </c>
      <c r="CN12" s="41"/>
      <c r="CO12" s="41"/>
      <c r="CP12" s="41">
        <v>500</v>
      </c>
      <c r="CQ12" s="42"/>
      <c r="CR12" s="39">
        <f t="shared" si="26"/>
        <v>179.33000000000004</v>
      </c>
      <c r="CS12" s="39">
        <f t="shared" si="27"/>
        <v>500</v>
      </c>
      <c r="CT12" s="40" t="b">
        <f t="shared" si="4"/>
        <v>0</v>
      </c>
      <c r="CV12" s="29">
        <f t="shared" si="28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29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 t="shared" si="5"/>
        <v>0</v>
      </c>
      <c r="DQ12" s="41"/>
      <c r="DR12" s="41"/>
      <c r="DS12" s="41"/>
      <c r="DT12" s="41"/>
      <c r="DU12" s="42"/>
      <c r="DV12" s="39">
        <f t="shared" si="30"/>
        <v>320.17000000000007</v>
      </c>
      <c r="DW12" s="39">
        <f t="shared" si="31"/>
        <v>500</v>
      </c>
      <c r="DX12" s="40" t="b">
        <f t="shared" si="6"/>
        <v>0</v>
      </c>
      <c r="DZ12" s="29">
        <f t="shared" si="32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33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 t="shared" si="7"/>
        <v>0</v>
      </c>
      <c r="EU12" s="41"/>
      <c r="EV12" s="41"/>
      <c r="EW12" s="41"/>
      <c r="EX12" s="41"/>
      <c r="EY12" s="42"/>
      <c r="EZ12" s="39">
        <f t="shared" si="34"/>
        <v>422.36000000000007</v>
      </c>
      <c r="FA12" s="39">
        <f t="shared" si="35"/>
        <v>500</v>
      </c>
      <c r="FB12" s="40" t="b">
        <f t="shared" si="8"/>
        <v>0</v>
      </c>
      <c r="FD12" s="29">
        <f t="shared" si="36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37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 t="shared" si="9"/>
        <v>0</v>
      </c>
      <c r="FY12" s="41"/>
      <c r="FZ12" s="41"/>
      <c r="GA12" s="41"/>
      <c r="GB12" s="41"/>
      <c r="GC12" s="42"/>
      <c r="GD12" s="39">
        <f t="shared" si="38"/>
        <v>497.15000000000009</v>
      </c>
      <c r="GE12" s="39">
        <f t="shared" si="39"/>
        <v>500</v>
      </c>
      <c r="GF12" s="40" t="b">
        <f t="shared" si="10"/>
        <v>0</v>
      </c>
      <c r="GH12" s="29">
        <f t="shared" si="40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41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 t="shared" si="11"/>
        <v>0</v>
      </c>
      <c r="HC12" s="41"/>
      <c r="HD12" s="41"/>
      <c r="HE12" s="41"/>
      <c r="HF12" s="41"/>
      <c r="HG12" s="42"/>
      <c r="HH12" s="39">
        <f t="shared" si="42"/>
        <v>499.5800000000001</v>
      </c>
      <c r="HI12" s="39">
        <f t="shared" si="43"/>
        <v>500</v>
      </c>
      <c r="HJ12" s="40" t="b">
        <f t="shared" si="12"/>
        <v>0</v>
      </c>
      <c r="HL12" s="29">
        <f t="shared" si="44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45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 t="shared" si="13"/>
        <v>0</v>
      </c>
      <c r="IG12" s="41"/>
      <c r="IH12" s="41"/>
      <c r="II12" s="41"/>
      <c r="IJ12" s="41"/>
      <c r="IK12" s="42"/>
      <c r="IL12" s="39">
        <f t="shared" si="46"/>
        <v>489.0100000000001</v>
      </c>
      <c r="IM12" s="39">
        <f t="shared" si="47"/>
        <v>500</v>
      </c>
      <c r="IN12" s="40" t="b">
        <f t="shared" si="14"/>
        <v>0</v>
      </c>
    </row>
    <row r="13" spans="1:24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15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6"/>
        <v>200</v>
      </c>
      <c r="N13" s="29">
        <f>Buckets_9_23[[#This Row],[Capacity]]-Buckets_9_23[[#This Row],[After T]]</f>
        <v>200</v>
      </c>
      <c r="O13" s="29">
        <f>MAX(-Buckets_9_23[[#This Row],[Cap Diff]], 0)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>OR(H13, Buckets_9_23[[#This Row],[After T]]&lt;0)</f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0"/>
        <v>0</v>
      </c>
      <c r="AE13" s="42"/>
      <c r="AF13" s="41"/>
      <c r="AG13" s="41"/>
      <c r="AH13" s="41"/>
      <c r="AI13" s="42"/>
      <c r="AJ13" s="39">
        <f t="shared" si="17"/>
        <v>174.56</v>
      </c>
      <c r="AK13" s="39">
        <f t="shared" si="18"/>
        <v>200</v>
      </c>
      <c r="AL13" s="40" t="b">
        <f t="shared" si="1"/>
        <v>0</v>
      </c>
      <c r="AN13" s="29">
        <f t="shared" si="19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20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 t="shared" si="21"/>
        <v>0</v>
      </c>
      <c r="BI13" s="42"/>
      <c r="BJ13" s="41"/>
      <c r="BK13" s="41"/>
      <c r="BL13" s="41"/>
      <c r="BM13" s="42"/>
      <c r="BN13" s="39">
        <f t="shared" si="22"/>
        <v>183.08</v>
      </c>
      <c r="BO13" s="39">
        <f t="shared" si="23"/>
        <v>200</v>
      </c>
      <c r="BP13" s="40" t="b">
        <f t="shared" si="2"/>
        <v>0</v>
      </c>
      <c r="BR13" s="29">
        <f t="shared" si="24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25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 t="shared" si="3"/>
        <v>0</v>
      </c>
      <c r="CM13" s="41"/>
      <c r="CN13" s="41"/>
      <c r="CO13" s="41"/>
      <c r="CP13" s="41"/>
      <c r="CQ13" s="42"/>
      <c r="CR13" s="39">
        <f t="shared" si="26"/>
        <v>199.77</v>
      </c>
      <c r="CS13" s="39">
        <f t="shared" si="27"/>
        <v>200</v>
      </c>
      <c r="CT13" s="40" t="b">
        <f t="shared" si="4"/>
        <v>0</v>
      </c>
      <c r="CV13" s="29">
        <f t="shared" si="28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29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 t="shared" si="5"/>
        <v>0</v>
      </c>
      <c r="DQ13" s="41"/>
      <c r="DR13" s="41"/>
      <c r="DS13" s="41"/>
      <c r="DT13" s="41"/>
      <c r="DU13" s="42"/>
      <c r="DV13" s="39">
        <f t="shared" si="30"/>
        <v>186.38</v>
      </c>
      <c r="DW13" s="39">
        <f t="shared" si="31"/>
        <v>200</v>
      </c>
      <c r="DX13" s="40" t="b">
        <f t="shared" si="6"/>
        <v>0</v>
      </c>
      <c r="DZ13" s="29">
        <f t="shared" si="32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33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 t="shared" si="7"/>
        <v>0</v>
      </c>
      <c r="EU13" s="41"/>
      <c r="EV13" s="41"/>
      <c r="EW13" s="41"/>
      <c r="EX13" s="41"/>
      <c r="EY13" s="42"/>
      <c r="EZ13" s="39">
        <f t="shared" si="34"/>
        <v>194.74</v>
      </c>
      <c r="FA13" s="39">
        <f t="shared" si="35"/>
        <v>200</v>
      </c>
      <c r="FB13" s="40" t="b">
        <f t="shared" si="8"/>
        <v>0</v>
      </c>
      <c r="FD13" s="29">
        <f t="shared" si="36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37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 t="shared" si="9"/>
        <v>0</v>
      </c>
      <c r="FY13" s="41"/>
      <c r="FZ13" s="41"/>
      <c r="GA13" s="41"/>
      <c r="GB13" s="41">
        <v>500</v>
      </c>
      <c r="GC13" s="42"/>
      <c r="GD13" s="39">
        <f t="shared" si="38"/>
        <v>199.81</v>
      </c>
      <c r="GE13" s="39">
        <f t="shared" si="39"/>
        <v>500</v>
      </c>
      <c r="GF13" s="40" t="b">
        <f t="shared" si="10"/>
        <v>0</v>
      </c>
      <c r="GH13" s="29">
        <f t="shared" si="40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41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 t="shared" si="11"/>
        <v>0</v>
      </c>
      <c r="HC13" s="41"/>
      <c r="HD13" s="41"/>
      <c r="HE13" s="41"/>
      <c r="HF13" s="41"/>
      <c r="HG13" s="42"/>
      <c r="HH13" s="39">
        <f t="shared" si="42"/>
        <v>491.37</v>
      </c>
      <c r="HI13" s="39">
        <f t="shared" si="43"/>
        <v>500</v>
      </c>
      <c r="HJ13" s="40" t="b">
        <f t="shared" si="12"/>
        <v>0</v>
      </c>
      <c r="HL13" s="29">
        <f t="shared" si="44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45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 t="shared" si="13"/>
        <v>0</v>
      </c>
      <c r="IG13" s="41"/>
      <c r="IH13" s="41"/>
      <c r="II13" s="41"/>
      <c r="IJ13" s="41"/>
      <c r="IK13" s="42"/>
      <c r="IL13" s="39">
        <f t="shared" si="46"/>
        <v>497</v>
      </c>
      <c r="IM13" s="39">
        <f t="shared" si="47"/>
        <v>500</v>
      </c>
      <c r="IN13" s="40" t="b">
        <f t="shared" si="14"/>
        <v>0</v>
      </c>
    </row>
    <row r="14" spans="1:248" x14ac:dyDescent="0.25">
      <c r="A14" s="48"/>
      <c r="B14" t="s">
        <v>32</v>
      </c>
      <c r="C14" t="s">
        <v>291</v>
      </c>
      <c r="D14" t="s">
        <v>291</v>
      </c>
      <c r="F14" s="30">
        <v>1258.98</v>
      </c>
      <c r="G14" s="37">
        <v>500</v>
      </c>
      <c r="H14" t="b">
        <v>0</v>
      </c>
      <c r="J14" s="29">
        <f t="shared" si="15"/>
        <v>1258.98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0</v>
      </c>
      <c r="M14" s="29">
        <f t="shared" si="16"/>
        <v>500</v>
      </c>
      <c r="N14" s="29">
        <f>Buckets_9_23[[#This Row],[Capacity]]-Buckets_9_23[[#This Row],[After T]]</f>
        <v>500</v>
      </c>
      <c r="O14" s="29">
        <f>MAX(-Buckets_9_23[[#This Row],[Cap Diff]], 0)</f>
        <v>0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>OR(H14, Buckets_9_23[[#This Row],[After T]]&lt;0)</f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0"/>
        <v>0</v>
      </c>
      <c r="AE14" s="42"/>
      <c r="AF14" s="41"/>
      <c r="AG14" s="41"/>
      <c r="AH14" s="41"/>
      <c r="AI14" s="42"/>
      <c r="AJ14" s="39">
        <f t="shared" si="17"/>
        <v>436.41</v>
      </c>
      <c r="AK14" s="39">
        <f t="shared" si="18"/>
        <v>500</v>
      </c>
      <c r="AL14" s="40" t="b">
        <f t="shared" si="1"/>
        <v>0</v>
      </c>
      <c r="AN14" s="29">
        <f t="shared" si="19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20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 t="shared" si="21"/>
        <v>0</v>
      </c>
      <c r="BI14" s="42"/>
      <c r="BJ14" s="41"/>
      <c r="BK14" s="41"/>
      <c r="BL14" s="41"/>
      <c r="BM14" s="42"/>
      <c r="BN14" s="39">
        <f t="shared" si="22"/>
        <v>338.36</v>
      </c>
      <c r="BO14" s="39">
        <f t="shared" si="23"/>
        <v>500</v>
      </c>
      <c r="BP14" s="40" t="b">
        <f t="shared" si="2"/>
        <v>0</v>
      </c>
      <c r="BR14" s="29">
        <f t="shared" si="24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25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 t="shared" si="3"/>
        <v>0</v>
      </c>
      <c r="CM14" s="41">
        <v>-200</v>
      </c>
      <c r="CN14" s="41"/>
      <c r="CO14" s="41">
        <v>100</v>
      </c>
      <c r="CP14" s="41"/>
      <c r="CQ14" s="42"/>
      <c r="CR14" s="39">
        <f t="shared" si="26"/>
        <v>297.77</v>
      </c>
      <c r="CS14" s="39">
        <f t="shared" si="27"/>
        <v>600</v>
      </c>
      <c r="CT14" s="40" t="b">
        <f t="shared" si="4"/>
        <v>0</v>
      </c>
      <c r="CV14" s="29">
        <f t="shared" si="28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29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 t="shared" si="5"/>
        <v>0</v>
      </c>
      <c r="DQ14" s="41"/>
      <c r="DR14" s="41"/>
      <c r="DS14" s="41">
        <v>100</v>
      </c>
      <c r="DT14" s="41"/>
      <c r="DU14" s="42"/>
      <c r="DV14" s="39">
        <f t="shared" si="30"/>
        <v>325.99</v>
      </c>
      <c r="DW14" s="39">
        <f t="shared" si="31"/>
        <v>700</v>
      </c>
      <c r="DX14" s="40" t="b">
        <f t="shared" si="6"/>
        <v>0</v>
      </c>
      <c r="DZ14" s="29">
        <f t="shared" si="32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33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 t="shared" si="7"/>
        <v>0</v>
      </c>
      <c r="EU14" s="41"/>
      <c r="EV14" s="41"/>
      <c r="EW14" s="41">
        <v>100</v>
      </c>
      <c r="EX14" s="41"/>
      <c r="EY14" s="42"/>
      <c r="EZ14" s="39">
        <f t="shared" si="34"/>
        <v>555.63</v>
      </c>
      <c r="FA14" s="39">
        <f t="shared" si="35"/>
        <v>800</v>
      </c>
      <c r="FB14" s="40" t="b">
        <f t="shared" si="8"/>
        <v>0</v>
      </c>
      <c r="FD14" s="29">
        <f t="shared" si="36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37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 t="shared" si="9"/>
        <v>0</v>
      </c>
      <c r="FY14" s="41"/>
      <c r="FZ14" s="41"/>
      <c r="GA14" s="41">
        <v>100</v>
      </c>
      <c r="GB14" s="41"/>
      <c r="GC14" s="42"/>
      <c r="GD14" s="39">
        <f t="shared" si="38"/>
        <v>791.04</v>
      </c>
      <c r="GE14" s="39">
        <f t="shared" si="39"/>
        <v>900</v>
      </c>
      <c r="GF14" s="40" t="b">
        <f t="shared" si="10"/>
        <v>0</v>
      </c>
      <c r="GH14" s="29">
        <f t="shared" si="40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41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 t="shared" si="11"/>
        <v>0</v>
      </c>
      <c r="HC14" s="41"/>
      <c r="HD14" s="41"/>
      <c r="HE14" s="41">
        <v>100</v>
      </c>
      <c r="HF14" s="41"/>
      <c r="HG14" s="42"/>
      <c r="HH14" s="39">
        <f t="shared" si="42"/>
        <v>896.87</v>
      </c>
      <c r="HI14" s="39">
        <f t="shared" si="43"/>
        <v>1000</v>
      </c>
      <c r="HJ14" s="40" t="b">
        <f t="shared" si="12"/>
        <v>0</v>
      </c>
      <c r="HL14" s="29">
        <f t="shared" si="44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45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 t="shared" si="13"/>
        <v>0</v>
      </c>
      <c r="IG14" s="41"/>
      <c r="IH14" s="41"/>
      <c r="II14" s="41">
        <v>100</v>
      </c>
      <c r="IJ14" s="41"/>
      <c r="IK14" s="42"/>
      <c r="IL14" s="39">
        <f t="shared" si="46"/>
        <v>964.17</v>
      </c>
      <c r="IM14" s="39">
        <f t="shared" si="47"/>
        <v>1100</v>
      </c>
      <c r="IN14" s="40" t="b">
        <f t="shared" si="14"/>
        <v>0</v>
      </c>
    </row>
    <row r="15" spans="1:24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15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6"/>
        <v>600</v>
      </c>
      <c r="N15" s="29">
        <f>Buckets_9_23[[#This Row],[Capacity]]-Buckets_9_23[[#This Row],[After T]]</f>
        <v>509.44</v>
      </c>
      <c r="O15" s="29">
        <f>MAX(-Buckets_9_23[[#This Row],[Cap Diff]], 0)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>OR(H15, Buckets_9_23[[#This Row],[After T]]&lt;0)</f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0"/>
        <v>0</v>
      </c>
      <c r="AE15" s="42"/>
      <c r="AF15" s="41"/>
      <c r="AG15" s="41"/>
      <c r="AH15" s="41"/>
      <c r="AI15" s="42"/>
      <c r="AJ15" s="39">
        <f t="shared" si="17"/>
        <v>535.21</v>
      </c>
      <c r="AK15" s="39">
        <f t="shared" si="18"/>
        <v>600</v>
      </c>
      <c r="AL15" s="40" t="b">
        <f t="shared" si="1"/>
        <v>0</v>
      </c>
      <c r="AN15" s="29">
        <f t="shared" si="19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20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 t="shared" si="21"/>
        <v>0</v>
      </c>
      <c r="BI15" s="42"/>
      <c r="BJ15" s="41"/>
      <c r="BK15" s="41"/>
      <c r="BL15" s="41"/>
      <c r="BM15" s="42"/>
      <c r="BN15" s="39">
        <f t="shared" si="22"/>
        <v>484.80000000000007</v>
      </c>
      <c r="BO15" s="39">
        <f t="shared" si="23"/>
        <v>600</v>
      </c>
      <c r="BP15" s="40" t="b">
        <f t="shared" si="2"/>
        <v>0</v>
      </c>
      <c r="BR15" s="29">
        <f t="shared" si="24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25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 t="shared" si="3"/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26"/>
        <v>294.93000000000006</v>
      </c>
      <c r="CS15" s="39">
        <f t="shared" si="27"/>
        <v>600</v>
      </c>
      <c r="CT15" s="40" t="b">
        <f t="shared" si="4"/>
        <v>1</v>
      </c>
      <c r="CV15" s="29">
        <f t="shared" si="28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29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 t="shared" si="5"/>
        <v>1</v>
      </c>
      <c r="DQ15" s="41"/>
      <c r="DR15" s="41"/>
      <c r="DS15" s="41"/>
      <c r="DT15" s="41"/>
      <c r="DU15" s="42"/>
      <c r="DV15" s="39">
        <f t="shared" si="30"/>
        <v>600</v>
      </c>
      <c r="DW15" s="39">
        <f t="shared" si="31"/>
        <v>600</v>
      </c>
      <c r="DX15" s="40" t="b">
        <f t="shared" si="6"/>
        <v>1</v>
      </c>
      <c r="DZ15" s="29">
        <f t="shared" si="32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3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 t="shared" si="7"/>
        <v>1</v>
      </c>
      <c r="EU15" s="41"/>
      <c r="EV15" s="41"/>
      <c r="EW15" s="41"/>
      <c r="EX15" s="41"/>
      <c r="EY15" s="42"/>
      <c r="EZ15" s="39">
        <f t="shared" si="34"/>
        <v>600</v>
      </c>
      <c r="FA15" s="39">
        <f t="shared" si="35"/>
        <v>600</v>
      </c>
      <c r="FB15" s="40" t="b">
        <f t="shared" si="8"/>
        <v>1</v>
      </c>
      <c r="FD15" s="29">
        <f t="shared" si="36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7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 t="shared" si="9"/>
        <v>1</v>
      </c>
      <c r="FY15" s="41"/>
      <c r="FZ15" s="41"/>
      <c r="GA15" s="41"/>
      <c r="GB15" s="41"/>
      <c r="GC15" s="42"/>
      <c r="GD15" s="39">
        <f t="shared" si="38"/>
        <v>600</v>
      </c>
      <c r="GE15" s="39">
        <f t="shared" si="39"/>
        <v>600</v>
      </c>
      <c r="GF15" s="40" t="b">
        <f t="shared" si="10"/>
        <v>1</v>
      </c>
      <c r="GH15" s="29">
        <f t="shared" si="40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1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 t="shared" si="11"/>
        <v>1</v>
      </c>
      <c r="HC15" s="41"/>
      <c r="HD15" s="41"/>
      <c r="HE15" s="41"/>
      <c r="HF15" s="41"/>
      <c r="HG15" s="42"/>
      <c r="HH15" s="39">
        <f t="shared" si="42"/>
        <v>600</v>
      </c>
      <c r="HI15" s="39">
        <f t="shared" si="43"/>
        <v>600</v>
      </c>
      <c r="HJ15" s="40" t="b">
        <f t="shared" si="12"/>
        <v>1</v>
      </c>
      <c r="HL15" s="29">
        <f t="shared" si="44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5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 t="shared" si="13"/>
        <v>1</v>
      </c>
      <c r="IG15" s="41"/>
      <c r="IH15" s="41"/>
      <c r="II15" s="41"/>
      <c r="IJ15" s="41"/>
      <c r="IK15" s="42"/>
      <c r="IL15" s="39">
        <f t="shared" si="46"/>
        <v>600</v>
      </c>
      <c r="IM15" s="39">
        <f t="shared" si="47"/>
        <v>600</v>
      </c>
      <c r="IN15" s="40" t="b">
        <f t="shared" si="14"/>
        <v>1</v>
      </c>
    </row>
    <row r="16" spans="1:24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15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6"/>
        <v>600</v>
      </c>
      <c r="N16" s="29">
        <f>Buckets_9_23[[#This Row],[Capacity]]-Buckets_9_23[[#This Row],[After T]]</f>
        <v>516.61</v>
      </c>
      <c r="O16" s="29">
        <f>MAX(-Buckets_9_23[[#This Row],[Cap Diff]], 0)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>OR(H16, Buckets_9_23[[#This Row],[After T]]&lt;0)</f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0"/>
        <v>0</v>
      </c>
      <c r="AE16" s="42"/>
      <c r="AF16" s="41"/>
      <c r="AG16" s="41"/>
      <c r="AH16" s="41"/>
      <c r="AI16" s="42"/>
      <c r="AJ16" s="39">
        <f t="shared" si="17"/>
        <v>534.30000000000007</v>
      </c>
      <c r="AK16" s="39">
        <f t="shared" si="18"/>
        <v>600</v>
      </c>
      <c r="AL16" s="40" t="b">
        <f t="shared" si="1"/>
        <v>0</v>
      </c>
      <c r="AN16" s="29">
        <f t="shared" si="19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20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 t="shared" si="21"/>
        <v>0</v>
      </c>
      <c r="BI16" s="42"/>
      <c r="BJ16" s="41"/>
      <c r="BK16" s="41"/>
      <c r="BL16" s="41"/>
      <c r="BM16" s="42"/>
      <c r="BN16" s="39">
        <f t="shared" si="22"/>
        <v>390.01000000000016</v>
      </c>
      <c r="BO16" s="39">
        <f t="shared" si="23"/>
        <v>600</v>
      </c>
      <c r="BP16" s="40" t="b">
        <f t="shared" si="2"/>
        <v>0</v>
      </c>
      <c r="BR16" s="29">
        <f t="shared" si="24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25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 t="shared" si="3"/>
        <v>0</v>
      </c>
      <c r="CM16" s="41">
        <v>-300</v>
      </c>
      <c r="CN16" s="41"/>
      <c r="CO16" s="41"/>
      <c r="CP16" s="41"/>
      <c r="CQ16" s="42"/>
      <c r="CR16" s="39">
        <f t="shared" si="26"/>
        <v>294.35000000000014</v>
      </c>
      <c r="CS16" s="39">
        <f t="shared" si="27"/>
        <v>600</v>
      </c>
      <c r="CT16" s="40" t="b">
        <f t="shared" si="4"/>
        <v>0</v>
      </c>
      <c r="CV16" s="29">
        <f t="shared" si="28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29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 t="shared" si="5"/>
        <v>0</v>
      </c>
      <c r="DQ16" s="41"/>
      <c r="DR16" s="41"/>
      <c r="DS16" s="41"/>
      <c r="DT16" s="41"/>
      <c r="DU16" s="42"/>
      <c r="DV16" s="39">
        <f t="shared" si="30"/>
        <v>386.42000000000007</v>
      </c>
      <c r="DW16" s="39">
        <f t="shared" si="31"/>
        <v>600</v>
      </c>
      <c r="DX16" s="40" t="b">
        <f t="shared" si="6"/>
        <v>0</v>
      </c>
      <c r="DZ16" s="29">
        <f t="shared" si="32"/>
        <v>386.42000000000007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201.09000000000009</v>
      </c>
      <c r="EC16" s="29">
        <f t="shared" si="33"/>
        <v>600</v>
      </c>
      <c r="ED16" s="29">
        <f>Buckets_1_24[[#This Row],[Capacity]]-Buckets_1_24[[#This Row],[After T]]</f>
        <v>398.90999999999991</v>
      </c>
      <c r="EE16" s="29">
        <f>MAX(-Buckets_1_24[[#This Row],[Cap Diff]], 0)</f>
        <v>0</v>
      </c>
      <c r="EF16" s="29">
        <f>Buckets_1_24[[#This Row],[After T]]-Buckets_1_24[[#This Row],[Slush]]</f>
        <v>201.09000000000009</v>
      </c>
      <c r="EG16" s="29">
        <f>Buckets_1_24[[#This Row],[Capacity]]-Buckets_1_24[[#This Row],[Before Fill]]</f>
        <v>398.90999999999991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201.09000000000009</v>
      </c>
      <c r="EK16" s="29">
        <f>IF(NOT(Buckets_1_24[[#This Row],[Is Crit]]), Buckets_1_24[[#This Row],[S Cap Diff]], 0)</f>
        <v>398.90999999999991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 t="shared" si="7"/>
        <v>0</v>
      </c>
      <c r="EU16" s="41"/>
      <c r="EV16" s="41"/>
      <c r="EW16" s="41"/>
      <c r="EX16" s="41"/>
      <c r="EY16" s="42"/>
      <c r="EZ16" s="39">
        <f t="shared" si="34"/>
        <v>446.0200000000001</v>
      </c>
      <c r="FA16" s="39">
        <f t="shared" si="35"/>
        <v>600</v>
      </c>
      <c r="FB16" s="40" t="b">
        <f t="shared" si="8"/>
        <v>0</v>
      </c>
      <c r="FD16" s="29">
        <f t="shared" si="36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37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 t="shared" si="9"/>
        <v>0</v>
      </c>
      <c r="FY16" s="41"/>
      <c r="FZ16" s="41"/>
      <c r="GA16" s="41"/>
      <c r="GB16" s="41"/>
      <c r="GC16" s="42"/>
      <c r="GD16" s="39">
        <f t="shared" si="38"/>
        <v>593.0200000000001</v>
      </c>
      <c r="GE16" s="39">
        <f t="shared" si="39"/>
        <v>600</v>
      </c>
      <c r="GF16" s="40" t="b">
        <f t="shared" si="10"/>
        <v>0</v>
      </c>
      <c r="GH16" s="29">
        <f t="shared" si="40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41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 t="shared" si="11"/>
        <v>0</v>
      </c>
      <c r="HC16" s="41"/>
      <c r="HD16" s="41"/>
      <c r="HE16" s="41"/>
      <c r="HF16" s="41"/>
      <c r="HG16" s="42"/>
      <c r="HH16" s="39">
        <f t="shared" si="42"/>
        <v>596.5200000000001</v>
      </c>
      <c r="HI16" s="39">
        <f t="shared" si="43"/>
        <v>600</v>
      </c>
      <c r="HJ16" s="40" t="b">
        <f t="shared" si="12"/>
        <v>0</v>
      </c>
      <c r="HL16" s="29">
        <f t="shared" si="44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45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 t="shared" si="13"/>
        <v>0</v>
      </c>
      <c r="IG16" s="41"/>
      <c r="IH16" s="41"/>
      <c r="II16" s="41"/>
      <c r="IJ16" s="41"/>
      <c r="IK16" s="42"/>
      <c r="IL16" s="39">
        <f t="shared" si="46"/>
        <v>542.46000000000015</v>
      </c>
      <c r="IM16" s="39">
        <f t="shared" si="47"/>
        <v>600</v>
      </c>
      <c r="IN16" s="40" t="b">
        <f t="shared" si="14"/>
        <v>0</v>
      </c>
    </row>
    <row r="17" spans="1:248" x14ac:dyDescent="0.25">
      <c r="A17" s="48"/>
      <c r="B17" t="s">
        <v>324</v>
      </c>
      <c r="C17" t="s">
        <v>293</v>
      </c>
      <c r="D17" t="s">
        <v>293</v>
      </c>
      <c r="F17" s="30">
        <v>3383.67</v>
      </c>
      <c r="G17" s="37">
        <v>2000</v>
      </c>
      <c r="H17" t="b">
        <v>1</v>
      </c>
      <c r="J17" s="29">
        <f t="shared" si="15"/>
        <v>3383.67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0</v>
      </c>
      <c r="M17" s="29">
        <f t="shared" si="16"/>
        <v>2000</v>
      </c>
      <c r="N17" s="29">
        <f>Buckets_9_23[[#This Row],[Capacity]]-Buckets_9_23[[#This Row],[After T]]</f>
        <v>2000</v>
      </c>
      <c r="O17" s="29">
        <f>MAX(-Buckets_9_23[[#This Row],[Cap Diff]], 0)</f>
        <v>0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>OR(H17, Buckets_9_23[[#This Row],[After T]]&lt;0)</f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0"/>
        <v>1</v>
      </c>
      <c r="AE17" s="42"/>
      <c r="AF17" s="41"/>
      <c r="AG17" s="41"/>
      <c r="AH17" s="41"/>
      <c r="AI17" s="42"/>
      <c r="AJ17" s="39">
        <f t="shared" si="17"/>
        <v>2000</v>
      </c>
      <c r="AK17" s="39">
        <f t="shared" si="18"/>
        <v>2000</v>
      </c>
      <c r="AL17" s="40" t="b">
        <f t="shared" si="1"/>
        <v>1</v>
      </c>
      <c r="AN17" s="29">
        <f t="shared" si="19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20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1"/>
        <v>1</v>
      </c>
      <c r="BI17" s="42"/>
      <c r="BJ17" s="41"/>
      <c r="BK17" s="41"/>
      <c r="BL17" s="41"/>
      <c r="BM17" s="42"/>
      <c r="BN17" s="39">
        <f t="shared" si="22"/>
        <v>2000</v>
      </c>
      <c r="BO17" s="39">
        <f t="shared" si="23"/>
        <v>2000</v>
      </c>
      <c r="BP17" s="40" t="b">
        <f t="shared" si="2"/>
        <v>1</v>
      </c>
      <c r="BR17" s="29">
        <f t="shared" si="24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5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 t="shared" si="3"/>
        <v>1</v>
      </c>
      <c r="CM17" s="41"/>
      <c r="CN17" s="41"/>
      <c r="CO17" s="41"/>
      <c r="CP17" s="41">
        <v>2500</v>
      </c>
      <c r="CQ17" s="42"/>
      <c r="CR17" s="39">
        <f t="shared" si="26"/>
        <v>2000</v>
      </c>
      <c r="CS17" s="39">
        <f t="shared" si="27"/>
        <v>2500</v>
      </c>
      <c r="CT17" s="40" t="b">
        <f t="shared" si="4"/>
        <v>1</v>
      </c>
      <c r="CV17" s="29">
        <f t="shared" si="28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9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 t="shared" si="5"/>
        <v>1</v>
      </c>
      <c r="DQ17" s="41"/>
      <c r="DR17" s="41"/>
      <c r="DS17" s="41"/>
      <c r="DT17" s="41"/>
      <c r="DU17" s="42"/>
      <c r="DV17" s="39">
        <f t="shared" si="30"/>
        <v>2500</v>
      </c>
      <c r="DW17" s="39">
        <f t="shared" si="31"/>
        <v>2500</v>
      </c>
      <c r="DX17" s="40" t="b">
        <f t="shared" si="6"/>
        <v>1</v>
      </c>
      <c r="DZ17" s="29">
        <f t="shared" si="32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3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 t="shared" si="7"/>
        <v>1</v>
      </c>
      <c r="EU17" s="41"/>
      <c r="EV17" s="41"/>
      <c r="EW17" s="41"/>
      <c r="EX17" s="41"/>
      <c r="EY17" s="42"/>
      <c r="EZ17" s="39">
        <f t="shared" si="34"/>
        <v>2500</v>
      </c>
      <c r="FA17" s="39">
        <f t="shared" si="35"/>
        <v>2500</v>
      </c>
      <c r="FB17" s="40" t="b">
        <f t="shared" si="8"/>
        <v>1</v>
      </c>
      <c r="FD17" s="29">
        <f t="shared" si="36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7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 t="shared" si="9"/>
        <v>1</v>
      </c>
      <c r="FY17" s="41"/>
      <c r="FZ17" s="41"/>
      <c r="GA17" s="41"/>
      <c r="GB17" s="41"/>
      <c r="GC17" s="42"/>
      <c r="GD17" s="39">
        <f t="shared" si="38"/>
        <v>2500</v>
      </c>
      <c r="GE17" s="39">
        <f t="shared" si="39"/>
        <v>2500</v>
      </c>
      <c r="GF17" s="40" t="b">
        <f t="shared" si="10"/>
        <v>1</v>
      </c>
      <c r="GH17" s="29">
        <f t="shared" si="40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1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 t="shared" si="11"/>
        <v>1</v>
      </c>
      <c r="HC17" s="41"/>
      <c r="HD17" s="41"/>
      <c r="HE17" s="41"/>
      <c r="HF17" s="41"/>
      <c r="HG17" s="42"/>
      <c r="HH17" s="39">
        <f t="shared" si="42"/>
        <v>2500</v>
      </c>
      <c r="HI17" s="39">
        <f t="shared" si="43"/>
        <v>2500</v>
      </c>
      <c r="HJ17" s="40" t="b">
        <f t="shared" si="12"/>
        <v>1</v>
      </c>
      <c r="HL17" s="29">
        <f t="shared" si="44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5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 t="shared" si="13"/>
        <v>1</v>
      </c>
      <c r="IG17" s="41"/>
      <c r="IH17" s="41"/>
      <c r="II17" s="41"/>
      <c r="IJ17" s="41"/>
      <c r="IK17" s="42"/>
      <c r="IL17" s="39">
        <f t="shared" si="46"/>
        <v>2500</v>
      </c>
      <c r="IM17" s="39">
        <f t="shared" si="47"/>
        <v>2500</v>
      </c>
      <c r="IN17" s="40" t="b">
        <f t="shared" si="14"/>
        <v>1</v>
      </c>
    </row>
    <row r="18" spans="1:24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15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6"/>
        <v>200</v>
      </c>
      <c r="N18" s="29">
        <f>Buckets_9_23[[#This Row],[Capacity]]-Buckets_9_23[[#This Row],[After T]]</f>
        <v>176.98</v>
      </c>
      <c r="O18" s="29">
        <f>MAX(-Buckets_9_23[[#This Row],[Cap Diff]], 0)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>OR(H18, Buckets_9_23[[#This Row],[After T]]&lt;0)</f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0"/>
        <v>1</v>
      </c>
      <c r="AE18" s="42"/>
      <c r="AF18" s="41"/>
      <c r="AG18" s="41"/>
      <c r="AH18" s="41"/>
      <c r="AI18" s="42"/>
      <c r="AJ18" s="39">
        <f t="shared" si="17"/>
        <v>200</v>
      </c>
      <c r="AK18" s="39">
        <f t="shared" si="18"/>
        <v>200</v>
      </c>
      <c r="AL18" s="40" t="b">
        <f t="shared" si="1"/>
        <v>1</v>
      </c>
      <c r="AN18" s="29">
        <f t="shared" si="19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20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1"/>
        <v>1</v>
      </c>
      <c r="BI18" s="42"/>
      <c r="BJ18" s="41"/>
      <c r="BK18" s="41"/>
      <c r="BL18" s="41"/>
      <c r="BM18" s="42"/>
      <c r="BN18" s="39">
        <f t="shared" si="22"/>
        <v>200</v>
      </c>
      <c r="BO18" s="39">
        <f t="shared" si="23"/>
        <v>200</v>
      </c>
      <c r="BP18" s="40" t="b">
        <f t="shared" si="2"/>
        <v>1</v>
      </c>
      <c r="BR18" s="29">
        <f t="shared" si="24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5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 t="shared" si="3"/>
        <v>1</v>
      </c>
      <c r="CM18" s="41"/>
      <c r="CN18" s="41"/>
      <c r="CO18" s="41"/>
      <c r="CP18" s="41">
        <v>300</v>
      </c>
      <c r="CQ18" s="42"/>
      <c r="CR18" s="39">
        <f t="shared" si="26"/>
        <v>200</v>
      </c>
      <c r="CS18" s="39">
        <f t="shared" si="27"/>
        <v>300</v>
      </c>
      <c r="CT18" s="40" t="b">
        <f t="shared" si="4"/>
        <v>1</v>
      </c>
      <c r="CV18" s="29">
        <f t="shared" si="28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9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 t="shared" si="5"/>
        <v>1</v>
      </c>
      <c r="DQ18" s="41"/>
      <c r="DR18" s="41"/>
      <c r="DS18" s="41"/>
      <c r="DT18" s="41"/>
      <c r="DU18" s="42"/>
      <c r="DV18" s="39">
        <f t="shared" si="30"/>
        <v>300</v>
      </c>
      <c r="DW18" s="39">
        <f t="shared" si="31"/>
        <v>300</v>
      </c>
      <c r="DX18" s="40" t="b">
        <f t="shared" si="6"/>
        <v>1</v>
      </c>
      <c r="DZ18" s="29">
        <f t="shared" si="32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3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 t="shared" si="7"/>
        <v>1</v>
      </c>
      <c r="EU18" s="41"/>
      <c r="EV18" s="41"/>
      <c r="EW18" s="41"/>
      <c r="EX18" s="41"/>
      <c r="EY18" s="42"/>
      <c r="EZ18" s="39">
        <f t="shared" si="34"/>
        <v>300</v>
      </c>
      <c r="FA18" s="39">
        <f t="shared" si="35"/>
        <v>300</v>
      </c>
      <c r="FB18" s="40" t="b">
        <f t="shared" si="8"/>
        <v>1</v>
      </c>
      <c r="FD18" s="29">
        <f t="shared" si="36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7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 t="shared" si="9"/>
        <v>1</v>
      </c>
      <c r="FY18" s="41"/>
      <c r="FZ18" s="41"/>
      <c r="GA18" s="41"/>
      <c r="GB18" s="41"/>
      <c r="GC18" s="42"/>
      <c r="GD18" s="39">
        <f t="shared" si="38"/>
        <v>300</v>
      </c>
      <c r="GE18" s="39">
        <f t="shared" si="39"/>
        <v>300</v>
      </c>
      <c r="GF18" s="40" t="b">
        <f t="shared" si="10"/>
        <v>1</v>
      </c>
      <c r="GH18" s="29">
        <f t="shared" si="40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1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 t="shared" si="11"/>
        <v>1</v>
      </c>
      <c r="HC18" s="41"/>
      <c r="HD18" s="41"/>
      <c r="HE18" s="41"/>
      <c r="HF18" s="41"/>
      <c r="HG18" s="42"/>
      <c r="HH18" s="39">
        <f t="shared" si="42"/>
        <v>300</v>
      </c>
      <c r="HI18" s="39">
        <f t="shared" si="43"/>
        <v>300</v>
      </c>
      <c r="HJ18" s="40" t="b">
        <f t="shared" si="12"/>
        <v>1</v>
      </c>
      <c r="HL18" s="29">
        <f t="shared" si="44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5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 t="shared" si="13"/>
        <v>1</v>
      </c>
      <c r="IG18" s="41"/>
      <c r="IH18" s="41"/>
      <c r="II18" s="41"/>
      <c r="IJ18" s="41"/>
      <c r="IK18" s="42"/>
      <c r="IL18" s="39">
        <f t="shared" si="46"/>
        <v>300</v>
      </c>
      <c r="IM18" s="39">
        <f t="shared" si="47"/>
        <v>300</v>
      </c>
      <c r="IN18" s="40" t="b">
        <f t="shared" si="14"/>
        <v>1</v>
      </c>
    </row>
    <row r="19" spans="1:24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15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6"/>
        <v>200</v>
      </c>
      <c r="N19" s="29">
        <f>Buckets_9_23[[#This Row],[Capacity]]-Buckets_9_23[[#This Row],[After T]]</f>
        <v>160.74</v>
      </c>
      <c r="O19" s="29">
        <f>MAX(-Buckets_9_23[[#This Row],[Cap Diff]], 0)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>OR(H19, Buckets_9_23[[#This Row],[After T]]&lt;0)</f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0"/>
        <v>1</v>
      </c>
      <c r="AE19" s="42"/>
      <c r="AF19" s="41"/>
      <c r="AG19" s="41"/>
      <c r="AH19" s="41"/>
      <c r="AI19" s="42"/>
      <c r="AJ19" s="39">
        <f t="shared" si="17"/>
        <v>200</v>
      </c>
      <c r="AK19" s="39">
        <f t="shared" si="18"/>
        <v>200</v>
      </c>
      <c r="AL19" s="40" t="b">
        <f t="shared" si="1"/>
        <v>1</v>
      </c>
      <c r="AN19" s="29">
        <f t="shared" si="19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20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1"/>
        <v>1</v>
      </c>
      <c r="BI19" s="42"/>
      <c r="BJ19" s="41"/>
      <c r="BK19" s="41"/>
      <c r="BL19" s="41"/>
      <c r="BM19" s="42"/>
      <c r="BN19" s="39">
        <f t="shared" si="22"/>
        <v>200</v>
      </c>
      <c r="BO19" s="39">
        <f t="shared" si="23"/>
        <v>200</v>
      </c>
      <c r="BP19" s="40" t="b">
        <f t="shared" si="2"/>
        <v>1</v>
      </c>
      <c r="BR19" s="29">
        <f t="shared" si="24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5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 t="shared" si="3"/>
        <v>1</v>
      </c>
      <c r="CM19" s="41"/>
      <c r="CN19" s="41"/>
      <c r="CO19" s="41"/>
      <c r="CP19" s="41"/>
      <c r="CQ19" s="42"/>
      <c r="CR19" s="39">
        <f t="shared" si="26"/>
        <v>200</v>
      </c>
      <c r="CS19" s="39">
        <f t="shared" si="27"/>
        <v>200</v>
      </c>
      <c r="CT19" s="40" t="b">
        <f t="shared" si="4"/>
        <v>1</v>
      </c>
      <c r="CV19" s="29">
        <f t="shared" si="28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9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 t="shared" si="5"/>
        <v>1</v>
      </c>
      <c r="DQ19" s="41"/>
      <c r="DR19" s="41"/>
      <c r="DS19" s="41"/>
      <c r="DT19" s="41"/>
      <c r="DU19" s="42"/>
      <c r="DV19" s="39">
        <f t="shared" si="30"/>
        <v>200</v>
      </c>
      <c r="DW19" s="39">
        <f t="shared" si="31"/>
        <v>200</v>
      </c>
      <c r="DX19" s="40" t="b">
        <f t="shared" si="6"/>
        <v>1</v>
      </c>
      <c r="DZ19" s="29">
        <f t="shared" si="32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3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 t="shared" si="7"/>
        <v>1</v>
      </c>
      <c r="EU19" s="41"/>
      <c r="EV19" s="41"/>
      <c r="EW19" s="41"/>
      <c r="EX19" s="41"/>
      <c r="EY19" s="42"/>
      <c r="EZ19" s="39">
        <f t="shared" si="34"/>
        <v>200</v>
      </c>
      <c r="FA19" s="39">
        <f t="shared" si="35"/>
        <v>200</v>
      </c>
      <c r="FB19" s="40" t="b">
        <f t="shared" si="8"/>
        <v>1</v>
      </c>
      <c r="FD19" s="29">
        <f t="shared" si="36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7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 t="shared" si="9"/>
        <v>1</v>
      </c>
      <c r="FY19" s="41"/>
      <c r="FZ19" s="41"/>
      <c r="GA19" s="41"/>
      <c r="GB19" s="41"/>
      <c r="GC19" s="42"/>
      <c r="GD19" s="39">
        <f t="shared" si="38"/>
        <v>200</v>
      </c>
      <c r="GE19" s="39">
        <f t="shared" si="39"/>
        <v>200</v>
      </c>
      <c r="GF19" s="40" t="b">
        <f t="shared" si="10"/>
        <v>1</v>
      </c>
      <c r="GH19" s="29">
        <f t="shared" si="40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1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 t="shared" si="11"/>
        <v>1</v>
      </c>
      <c r="HC19" s="41"/>
      <c r="HD19" s="41"/>
      <c r="HE19" s="41"/>
      <c r="HF19" s="41"/>
      <c r="HG19" s="42"/>
      <c r="HH19" s="39">
        <f t="shared" si="42"/>
        <v>200</v>
      </c>
      <c r="HI19" s="39">
        <f t="shared" si="43"/>
        <v>200</v>
      </c>
      <c r="HJ19" s="40" t="b">
        <f t="shared" si="12"/>
        <v>1</v>
      </c>
      <c r="HL19" s="29">
        <f t="shared" si="44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5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 t="shared" si="13"/>
        <v>1</v>
      </c>
      <c r="IG19" s="41"/>
      <c r="IH19" s="41"/>
      <c r="II19" s="41"/>
      <c r="IJ19" s="41"/>
      <c r="IK19" s="42"/>
      <c r="IL19" s="39">
        <f t="shared" si="46"/>
        <v>200</v>
      </c>
      <c r="IM19" s="39">
        <f t="shared" si="47"/>
        <v>200</v>
      </c>
      <c r="IN19" s="40" t="b">
        <f t="shared" si="14"/>
        <v>1</v>
      </c>
    </row>
    <row r="20" spans="1:248" x14ac:dyDescent="0.25">
      <c r="A20" s="48"/>
      <c r="B20" t="s">
        <v>324</v>
      </c>
      <c r="C20" t="s">
        <v>321</v>
      </c>
      <c r="D20" t="s">
        <v>295</v>
      </c>
      <c r="F20" s="30">
        <v>1085.93</v>
      </c>
      <c r="G20" s="37">
        <v>1000</v>
      </c>
      <c r="H20" t="b">
        <v>0</v>
      </c>
      <c r="J20" s="29">
        <f t="shared" si="15"/>
        <v>1085.93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0</v>
      </c>
      <c r="M20" s="29">
        <f t="shared" si="16"/>
        <v>1000</v>
      </c>
      <c r="N20" s="29">
        <f>Buckets_9_23[[#This Row],[Capacity]]-Buckets_9_23[[#This Row],[After T]]</f>
        <v>1000</v>
      </c>
      <c r="O20" s="29">
        <f>MAX(-Buckets_9_23[[#This Row],[Cap Diff]], 0)</f>
        <v>0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>OR(H20, Buckets_9_23[[#This Row],[After T]]&lt;0)</f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0"/>
        <v>0</v>
      </c>
      <c r="AE20" s="42"/>
      <c r="AF20" s="41"/>
      <c r="AG20" s="41"/>
      <c r="AH20" s="41"/>
      <c r="AI20" s="42"/>
      <c r="AJ20" s="39">
        <f t="shared" si="17"/>
        <v>872.82</v>
      </c>
      <c r="AK20" s="39">
        <f t="shared" si="18"/>
        <v>1000</v>
      </c>
      <c r="AL20" s="40" t="b">
        <f t="shared" si="1"/>
        <v>0</v>
      </c>
      <c r="AN20" s="29">
        <f t="shared" si="19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20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 t="shared" si="21"/>
        <v>0</v>
      </c>
      <c r="BI20" s="42"/>
      <c r="BJ20" s="41"/>
      <c r="BK20" s="41"/>
      <c r="BL20" s="41"/>
      <c r="BM20" s="42"/>
      <c r="BN20" s="39">
        <f t="shared" si="22"/>
        <v>934</v>
      </c>
      <c r="BO20" s="39">
        <f t="shared" si="23"/>
        <v>1000</v>
      </c>
      <c r="BP20" s="40" t="b">
        <f t="shared" si="2"/>
        <v>0</v>
      </c>
      <c r="BR20" s="29">
        <f t="shared" si="24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25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 t="shared" si="3"/>
        <v>0</v>
      </c>
      <c r="CM20" s="41">
        <v>-500</v>
      </c>
      <c r="CN20" s="41"/>
      <c r="CO20" s="41"/>
      <c r="CP20" s="41">
        <v>500</v>
      </c>
      <c r="CQ20" s="42"/>
      <c r="CR20" s="39">
        <f t="shared" si="26"/>
        <v>488.64</v>
      </c>
      <c r="CS20" s="39">
        <f t="shared" si="27"/>
        <v>500</v>
      </c>
      <c r="CT20" s="40" t="b">
        <f t="shared" si="4"/>
        <v>0</v>
      </c>
      <c r="CV20" s="29">
        <f t="shared" si="28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29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 t="shared" si="5"/>
        <v>0</v>
      </c>
      <c r="DQ20" s="41"/>
      <c r="DR20" s="41"/>
      <c r="DS20" s="41"/>
      <c r="DT20" s="41"/>
      <c r="DU20" s="42"/>
      <c r="DV20" s="39">
        <f t="shared" si="30"/>
        <v>493.83</v>
      </c>
      <c r="DW20" s="39">
        <f t="shared" si="31"/>
        <v>500</v>
      </c>
      <c r="DX20" s="40" t="b">
        <f t="shared" si="6"/>
        <v>0</v>
      </c>
      <c r="DZ20" s="29">
        <f t="shared" si="32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33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 t="shared" si="7"/>
        <v>0</v>
      </c>
      <c r="EU20" s="41"/>
      <c r="EV20" s="41"/>
      <c r="EW20" s="41"/>
      <c r="EX20" s="41"/>
      <c r="EY20" s="42"/>
      <c r="EZ20" s="39">
        <f t="shared" si="34"/>
        <v>497.62</v>
      </c>
      <c r="FA20" s="39">
        <f t="shared" si="35"/>
        <v>500</v>
      </c>
      <c r="FB20" s="40" t="b">
        <f t="shared" si="8"/>
        <v>0</v>
      </c>
      <c r="FD20" s="29">
        <f t="shared" si="36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37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 t="shared" si="9"/>
        <v>0</v>
      </c>
      <c r="FY20" s="41"/>
      <c r="FZ20" s="41"/>
      <c r="GA20" s="41"/>
      <c r="GB20" s="41">
        <v>1000</v>
      </c>
      <c r="GC20" s="42"/>
      <c r="GD20" s="39">
        <f t="shared" si="38"/>
        <v>499.91</v>
      </c>
      <c r="GE20" s="39">
        <f t="shared" si="39"/>
        <v>1000</v>
      </c>
      <c r="GF20" s="40" t="b">
        <f t="shared" si="10"/>
        <v>0</v>
      </c>
      <c r="GH20" s="29">
        <f t="shared" si="40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41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 t="shared" si="11"/>
        <v>0</v>
      </c>
      <c r="HC20" s="41"/>
      <c r="HD20" s="41"/>
      <c r="HE20" s="41"/>
      <c r="HF20" s="41"/>
      <c r="HG20" s="42"/>
      <c r="HH20" s="39">
        <f t="shared" si="42"/>
        <v>985.62</v>
      </c>
      <c r="HI20" s="39">
        <f t="shared" si="43"/>
        <v>1000</v>
      </c>
      <c r="HJ20" s="40" t="b">
        <f t="shared" si="12"/>
        <v>0</v>
      </c>
      <c r="HL20" s="29">
        <f t="shared" si="44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45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 t="shared" si="13"/>
        <v>0</v>
      </c>
      <c r="IG20" s="41"/>
      <c r="IH20" s="41"/>
      <c r="II20" s="41"/>
      <c r="IJ20" s="41"/>
      <c r="IK20" s="42"/>
      <c r="IL20" s="39">
        <f t="shared" si="46"/>
        <v>995</v>
      </c>
      <c r="IM20" s="39">
        <f t="shared" si="47"/>
        <v>1000</v>
      </c>
      <c r="IN20" s="40" t="b">
        <f t="shared" si="14"/>
        <v>0</v>
      </c>
    </row>
    <row r="21" spans="1:24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15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6"/>
        <v>0</v>
      </c>
      <c r="N21" s="29">
        <f>Buckets_9_23[[#This Row],[Capacity]]-Buckets_9_23[[#This Row],[After T]]</f>
        <v>0</v>
      </c>
      <c r="O21" s="29">
        <f>MAX(-Buckets_9_23[[#This Row],[Cap Diff]], 0)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>OR(H21, Buckets_9_23[[#This Row],[After T]]&lt;0)</f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0"/>
        <v>0</v>
      </c>
      <c r="AE21" s="42"/>
      <c r="AF21" s="41"/>
      <c r="AG21" s="41"/>
      <c r="AH21" s="41">
        <v>500</v>
      </c>
      <c r="AI21" s="42"/>
      <c r="AJ21" s="39">
        <f t="shared" si="17"/>
        <v>0</v>
      </c>
      <c r="AK21" s="39">
        <f t="shared" si="18"/>
        <v>500</v>
      </c>
      <c r="AL21" s="40" t="b">
        <f t="shared" si="1"/>
        <v>0</v>
      </c>
      <c r="AN21" s="29">
        <f t="shared" si="19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20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 t="shared" si="21"/>
        <v>0</v>
      </c>
      <c r="BI21" s="42"/>
      <c r="BJ21" s="41"/>
      <c r="BK21" s="41"/>
      <c r="BL21" s="41"/>
      <c r="BM21" s="42"/>
      <c r="BN21" s="39">
        <f t="shared" si="22"/>
        <v>296.99</v>
      </c>
      <c r="BO21" s="39">
        <f t="shared" si="23"/>
        <v>500</v>
      </c>
      <c r="BP21" s="40" t="b">
        <f t="shared" si="2"/>
        <v>0</v>
      </c>
      <c r="BR21" s="29">
        <f t="shared" si="24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25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 t="shared" si="3"/>
        <v>0</v>
      </c>
      <c r="CM21" s="41"/>
      <c r="CN21" s="41"/>
      <c r="CO21" s="41"/>
      <c r="CP21" s="41">
        <v>1000</v>
      </c>
      <c r="CQ21" s="42"/>
      <c r="CR21" s="39">
        <f t="shared" si="26"/>
        <v>497.20000000000005</v>
      </c>
      <c r="CS21" s="39">
        <f t="shared" si="27"/>
        <v>1000</v>
      </c>
      <c r="CT21" s="40" t="b">
        <f t="shared" si="4"/>
        <v>0</v>
      </c>
      <c r="CV21" s="29">
        <f t="shared" si="28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29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 t="shared" si="5"/>
        <v>0</v>
      </c>
      <c r="DQ21" s="41"/>
      <c r="DR21" s="41"/>
      <c r="DS21" s="41"/>
      <c r="DT21" s="41"/>
      <c r="DU21" s="42"/>
      <c r="DV21" s="39">
        <f t="shared" si="30"/>
        <v>727.09</v>
      </c>
      <c r="DW21" s="39">
        <f t="shared" si="31"/>
        <v>1000</v>
      </c>
      <c r="DX21" s="40" t="b">
        <f t="shared" si="6"/>
        <v>0</v>
      </c>
      <c r="DZ21" s="29">
        <f t="shared" si="32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33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 t="shared" si="7"/>
        <v>0</v>
      </c>
      <c r="EU21" s="41"/>
      <c r="EV21" s="41"/>
      <c r="EW21" s="41"/>
      <c r="EX21" s="41"/>
      <c r="EY21" s="42"/>
      <c r="EZ21" s="39">
        <f t="shared" si="34"/>
        <v>894.65000000000009</v>
      </c>
      <c r="FA21" s="39">
        <f t="shared" si="35"/>
        <v>1000</v>
      </c>
      <c r="FB21" s="40" t="b">
        <f t="shared" si="8"/>
        <v>0</v>
      </c>
      <c r="FD21" s="29">
        <f t="shared" si="36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37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 t="shared" si="9"/>
        <v>0</v>
      </c>
      <c r="FY21" s="41"/>
      <c r="FZ21" s="41"/>
      <c r="GA21" s="41"/>
      <c r="GB21" s="41"/>
      <c r="GC21" s="42"/>
      <c r="GD21" s="39">
        <f t="shared" si="38"/>
        <v>996.1400000000001</v>
      </c>
      <c r="GE21" s="39">
        <f t="shared" si="39"/>
        <v>1000</v>
      </c>
      <c r="GF21" s="40" t="b">
        <f t="shared" si="10"/>
        <v>0</v>
      </c>
      <c r="GH21" s="29">
        <f t="shared" si="40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41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 t="shared" si="11"/>
        <v>0</v>
      </c>
      <c r="HC21" s="41"/>
      <c r="HD21" s="41"/>
      <c r="HE21" s="41"/>
      <c r="HF21" s="41"/>
      <c r="HG21" s="42"/>
      <c r="HH21" s="39">
        <f t="shared" si="42"/>
        <v>999.8900000000001</v>
      </c>
      <c r="HI21" s="39">
        <f t="shared" si="43"/>
        <v>1000</v>
      </c>
      <c r="HJ21" s="40" t="b">
        <f t="shared" si="12"/>
        <v>0</v>
      </c>
      <c r="HL21" s="29">
        <f t="shared" si="44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45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 t="shared" si="13"/>
        <v>0</v>
      </c>
      <c r="IG21" s="41"/>
      <c r="IH21" s="41"/>
      <c r="II21" s="41"/>
      <c r="IJ21" s="41"/>
      <c r="IK21" s="42"/>
      <c r="IL21" s="39">
        <f t="shared" si="46"/>
        <v>999.96000000000015</v>
      </c>
      <c r="IM21" s="39">
        <f t="shared" si="47"/>
        <v>1000</v>
      </c>
      <c r="IN21" s="40" t="b">
        <f t="shared" si="14"/>
        <v>0</v>
      </c>
    </row>
    <row r="22" spans="1:24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15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6"/>
        <v>0</v>
      </c>
      <c r="N22" s="29">
        <f>Buckets_9_23[[#This Row],[Capacity]]-Buckets_9_23[[#This Row],[After T]]</f>
        <v>0</v>
      </c>
      <c r="O22" s="29">
        <f>MAX(-Buckets_9_23[[#This Row],[Cap Diff]], 0)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>OR(H22, Buckets_9_23[[#This Row],[After T]]&lt;0)</f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0"/>
        <v>0</v>
      </c>
      <c r="AE22" s="42"/>
      <c r="AF22" s="41"/>
      <c r="AG22" s="41"/>
      <c r="AH22" s="41"/>
      <c r="AI22" s="42"/>
      <c r="AJ22" s="39">
        <f t="shared" si="17"/>
        <v>0</v>
      </c>
      <c r="AK22" s="39">
        <f t="shared" si="18"/>
        <v>0</v>
      </c>
      <c r="AL22" s="40" t="b">
        <f t="shared" si="1"/>
        <v>0</v>
      </c>
      <c r="AN22" s="29">
        <f t="shared" si="19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20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 t="shared" si="21"/>
        <v>0</v>
      </c>
      <c r="BI22" s="42"/>
      <c r="BJ22" s="41"/>
      <c r="BK22" s="41"/>
      <c r="BL22" s="41"/>
      <c r="BM22" s="42"/>
      <c r="BN22" s="39">
        <f t="shared" si="22"/>
        <v>0</v>
      </c>
      <c r="BO22" s="39">
        <f t="shared" si="23"/>
        <v>0</v>
      </c>
      <c r="BP22" s="40" t="b">
        <f t="shared" si="2"/>
        <v>0</v>
      </c>
      <c r="BR22" s="29">
        <f t="shared" si="24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5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 t="shared" si="3"/>
        <v>0</v>
      </c>
      <c r="CM22" s="41"/>
      <c r="CN22" s="41"/>
      <c r="CO22" s="41"/>
      <c r="CP22" s="41"/>
      <c r="CQ22" s="42"/>
      <c r="CR22" s="39">
        <f t="shared" si="26"/>
        <v>0</v>
      </c>
      <c r="CS22" s="39">
        <f t="shared" si="27"/>
        <v>0</v>
      </c>
      <c r="CT22" s="40" t="b">
        <f t="shared" si="4"/>
        <v>0</v>
      </c>
      <c r="CV22" s="29">
        <f t="shared" si="28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9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 t="shared" si="5"/>
        <v>0</v>
      </c>
      <c r="DQ22" s="41"/>
      <c r="DR22" s="41"/>
      <c r="DS22" s="41"/>
      <c r="DT22" s="41"/>
      <c r="DU22" s="42"/>
      <c r="DV22" s="39">
        <f t="shared" si="30"/>
        <v>0</v>
      </c>
      <c r="DW22" s="39">
        <f t="shared" si="31"/>
        <v>0</v>
      </c>
      <c r="DX22" s="40" t="b">
        <f t="shared" si="6"/>
        <v>0</v>
      </c>
      <c r="DZ22" s="29">
        <f t="shared" si="32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3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 t="shared" si="7"/>
        <v>0</v>
      </c>
      <c r="EU22" s="41"/>
      <c r="EV22" s="41"/>
      <c r="EW22" s="41"/>
      <c r="EX22" s="41"/>
      <c r="EY22" s="42"/>
      <c r="EZ22" s="39">
        <f t="shared" si="34"/>
        <v>0</v>
      </c>
      <c r="FA22" s="39">
        <f t="shared" si="35"/>
        <v>0</v>
      </c>
      <c r="FB22" s="40" t="b">
        <f t="shared" si="8"/>
        <v>0</v>
      </c>
      <c r="FD22" s="29">
        <f t="shared" si="36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7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 t="shared" si="9"/>
        <v>0</v>
      </c>
      <c r="FY22" s="41"/>
      <c r="FZ22" s="41"/>
      <c r="GA22" s="41"/>
      <c r="GB22" s="41"/>
      <c r="GC22" s="42"/>
      <c r="GD22" s="39">
        <f t="shared" si="38"/>
        <v>0</v>
      </c>
      <c r="GE22" s="39">
        <f t="shared" si="39"/>
        <v>0</v>
      </c>
      <c r="GF22" s="40" t="b">
        <f t="shared" si="10"/>
        <v>0</v>
      </c>
      <c r="GH22" s="29">
        <f t="shared" si="40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1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 t="shared" si="11"/>
        <v>0</v>
      </c>
      <c r="HC22" s="41"/>
      <c r="HD22" s="41"/>
      <c r="HE22" s="41"/>
      <c r="HF22" s="41"/>
      <c r="HG22" s="42"/>
      <c r="HH22" s="39">
        <f t="shared" si="42"/>
        <v>0</v>
      </c>
      <c r="HI22" s="39">
        <f t="shared" si="43"/>
        <v>0</v>
      </c>
      <c r="HJ22" s="40" t="b">
        <f t="shared" si="12"/>
        <v>0</v>
      </c>
      <c r="HL22" s="29">
        <f t="shared" si="44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5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 t="shared" si="13"/>
        <v>0</v>
      </c>
      <c r="IG22" s="41"/>
      <c r="IH22" s="41"/>
      <c r="II22" s="41"/>
      <c r="IJ22" s="41"/>
      <c r="IK22" s="42"/>
      <c r="IL22" s="39">
        <f t="shared" si="46"/>
        <v>0</v>
      </c>
      <c r="IM22" s="39">
        <f t="shared" si="47"/>
        <v>0</v>
      </c>
      <c r="IN22" s="40" t="b">
        <f t="shared" si="14"/>
        <v>0</v>
      </c>
    </row>
    <row r="23" spans="1:24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15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6"/>
        <v>0</v>
      </c>
      <c r="N23" s="29">
        <f>Buckets_9_23[[#This Row],[Capacity]]-Buckets_9_23[[#This Row],[After T]]</f>
        <v>0</v>
      </c>
      <c r="O23" s="29">
        <f>MAX(-Buckets_9_23[[#This Row],[Cap Diff]], 0)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>OR(H23, Buckets_9_23[[#This Row],[After T]]&lt;0)</f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0"/>
        <v>0</v>
      </c>
      <c r="AE23" s="42"/>
      <c r="AF23" s="41"/>
      <c r="AG23" s="41"/>
      <c r="AH23" s="41"/>
      <c r="AI23" s="42"/>
      <c r="AJ23" s="39">
        <f t="shared" si="17"/>
        <v>0</v>
      </c>
      <c r="AK23" s="39">
        <f t="shared" si="18"/>
        <v>0</v>
      </c>
      <c r="AL23" s="40" t="b">
        <f t="shared" si="1"/>
        <v>0</v>
      </c>
      <c r="AN23" s="29">
        <f t="shared" si="19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20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 t="shared" si="21"/>
        <v>0</v>
      </c>
      <c r="BI23" s="42"/>
      <c r="BJ23" s="41"/>
      <c r="BK23" s="41"/>
      <c r="BL23" s="41"/>
      <c r="BM23" s="42"/>
      <c r="BN23" s="39">
        <f t="shared" si="22"/>
        <v>0</v>
      </c>
      <c r="BO23" s="39">
        <f t="shared" si="23"/>
        <v>0</v>
      </c>
      <c r="BP23" s="40" t="b">
        <f t="shared" si="2"/>
        <v>0</v>
      </c>
      <c r="BR23" s="29">
        <f t="shared" si="24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5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 t="shared" si="3"/>
        <v>0</v>
      </c>
      <c r="CM23" s="41"/>
      <c r="CN23" s="41"/>
      <c r="CO23" s="41"/>
      <c r="CP23" s="41"/>
      <c r="CQ23" s="42"/>
      <c r="CR23" s="39">
        <f t="shared" si="26"/>
        <v>0</v>
      </c>
      <c r="CS23" s="39">
        <f t="shared" si="27"/>
        <v>0</v>
      </c>
      <c r="CT23" s="40" t="b">
        <f t="shared" si="4"/>
        <v>0</v>
      </c>
      <c r="CV23" s="29">
        <f t="shared" si="28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9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 t="shared" si="5"/>
        <v>0</v>
      </c>
      <c r="DQ23" s="41"/>
      <c r="DR23" s="41"/>
      <c r="DS23" s="41"/>
      <c r="DT23" s="41"/>
      <c r="DU23" s="42"/>
      <c r="DV23" s="39">
        <f t="shared" si="30"/>
        <v>0</v>
      </c>
      <c r="DW23" s="39">
        <f t="shared" si="31"/>
        <v>0</v>
      </c>
      <c r="DX23" s="40" t="b">
        <f t="shared" si="6"/>
        <v>0</v>
      </c>
      <c r="DZ23" s="29">
        <f t="shared" si="32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3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 t="shared" si="7"/>
        <v>0</v>
      </c>
      <c r="EU23" s="41"/>
      <c r="EV23" s="41"/>
      <c r="EW23" s="41"/>
      <c r="EX23" s="41"/>
      <c r="EY23" s="42"/>
      <c r="EZ23" s="39">
        <f t="shared" si="34"/>
        <v>0</v>
      </c>
      <c r="FA23" s="39">
        <f t="shared" si="35"/>
        <v>0</v>
      </c>
      <c r="FB23" s="40" t="b">
        <f t="shared" si="8"/>
        <v>0</v>
      </c>
      <c r="FD23" s="29">
        <f t="shared" si="36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7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 t="shared" si="9"/>
        <v>0</v>
      </c>
      <c r="FY23" s="41"/>
      <c r="FZ23" s="41"/>
      <c r="GA23" s="41"/>
      <c r="GB23" s="41"/>
      <c r="GC23" s="42"/>
      <c r="GD23" s="39">
        <f t="shared" si="38"/>
        <v>0</v>
      </c>
      <c r="GE23" s="39">
        <f t="shared" si="39"/>
        <v>0</v>
      </c>
      <c r="GF23" s="40" t="b">
        <f t="shared" si="10"/>
        <v>0</v>
      </c>
      <c r="GH23" s="29">
        <f t="shared" si="40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1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 t="shared" si="11"/>
        <v>0</v>
      </c>
      <c r="HC23" s="41"/>
      <c r="HD23" s="41"/>
      <c r="HE23" s="41"/>
      <c r="HF23" s="41"/>
      <c r="HG23" s="42"/>
      <c r="HH23" s="39">
        <f t="shared" si="42"/>
        <v>0</v>
      </c>
      <c r="HI23" s="39">
        <f t="shared" si="43"/>
        <v>0</v>
      </c>
      <c r="HJ23" s="40" t="b">
        <f t="shared" si="12"/>
        <v>0</v>
      </c>
      <c r="HL23" s="29">
        <f t="shared" si="44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5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 t="shared" si="13"/>
        <v>0</v>
      </c>
      <c r="IG23" s="41"/>
      <c r="IH23" s="41"/>
      <c r="II23" s="41"/>
      <c r="IJ23" s="41"/>
      <c r="IK23" s="42"/>
      <c r="IL23" s="39">
        <f t="shared" si="46"/>
        <v>0</v>
      </c>
      <c r="IM23" s="39">
        <f t="shared" si="47"/>
        <v>0</v>
      </c>
      <c r="IN23" s="40" t="b">
        <f t="shared" si="14"/>
        <v>0</v>
      </c>
    </row>
    <row r="24" spans="1:24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15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6"/>
        <v>0</v>
      </c>
      <c r="N24" s="29">
        <f>Buckets_9_23[[#This Row],[Capacity]]-Buckets_9_23[[#This Row],[After T]]</f>
        <v>0</v>
      </c>
      <c r="O24" s="29">
        <f>MAX(-Buckets_9_23[[#This Row],[Cap Diff]], 0)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>OR(H24, Buckets_9_23[[#This Row],[After T]]&lt;0)</f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0"/>
        <v>0</v>
      </c>
      <c r="AE24" s="42"/>
      <c r="AF24" s="41"/>
      <c r="AG24" s="41"/>
      <c r="AH24" s="41"/>
      <c r="AI24" s="42"/>
      <c r="AJ24" s="39">
        <f t="shared" si="17"/>
        <v>0</v>
      </c>
      <c r="AK24" s="39">
        <f t="shared" si="18"/>
        <v>0</v>
      </c>
      <c r="AL24" s="40" t="b">
        <f t="shared" si="1"/>
        <v>0</v>
      </c>
      <c r="AN24" s="29">
        <f t="shared" si="19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20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 t="shared" si="21"/>
        <v>0</v>
      </c>
      <c r="BI24" s="42"/>
      <c r="BJ24" s="41"/>
      <c r="BK24" s="41"/>
      <c r="BL24" s="41"/>
      <c r="BM24" s="42"/>
      <c r="BN24" s="39">
        <f t="shared" si="22"/>
        <v>0</v>
      </c>
      <c r="BO24" s="39">
        <f t="shared" si="23"/>
        <v>0</v>
      </c>
      <c r="BP24" s="40" t="b">
        <f t="shared" si="2"/>
        <v>0</v>
      </c>
      <c r="BR24" s="29">
        <f t="shared" si="24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5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 t="shared" si="3"/>
        <v>0</v>
      </c>
      <c r="CM24" s="41"/>
      <c r="CN24" s="41"/>
      <c r="CO24" s="41"/>
      <c r="CP24" s="41"/>
      <c r="CQ24" s="42"/>
      <c r="CR24" s="39">
        <f t="shared" si="26"/>
        <v>0</v>
      </c>
      <c r="CS24" s="39">
        <f t="shared" si="27"/>
        <v>0</v>
      </c>
      <c r="CT24" s="40" t="b">
        <f t="shared" si="4"/>
        <v>0</v>
      </c>
      <c r="CV24" s="29">
        <f t="shared" si="28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9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 t="shared" si="5"/>
        <v>0</v>
      </c>
      <c r="DQ24" s="41"/>
      <c r="DR24" s="41"/>
      <c r="DS24" s="41"/>
      <c r="DT24" s="41"/>
      <c r="DU24" s="42"/>
      <c r="DV24" s="39">
        <f t="shared" si="30"/>
        <v>0</v>
      </c>
      <c r="DW24" s="39">
        <f t="shared" si="31"/>
        <v>0</v>
      </c>
      <c r="DX24" s="40" t="b">
        <f t="shared" si="6"/>
        <v>0</v>
      </c>
      <c r="DZ24" s="29">
        <f t="shared" si="32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3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 t="shared" si="7"/>
        <v>0</v>
      </c>
      <c r="EU24" s="41"/>
      <c r="EV24" s="41"/>
      <c r="EW24" s="41"/>
      <c r="EX24" s="41"/>
      <c r="EY24" s="42"/>
      <c r="EZ24" s="39">
        <f t="shared" si="34"/>
        <v>0</v>
      </c>
      <c r="FA24" s="39">
        <f t="shared" si="35"/>
        <v>0</v>
      </c>
      <c r="FB24" s="40" t="b">
        <f t="shared" si="8"/>
        <v>0</v>
      </c>
      <c r="FD24" s="29">
        <f t="shared" si="36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7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 t="shared" si="9"/>
        <v>0</v>
      </c>
      <c r="FY24" s="41"/>
      <c r="FZ24" s="41"/>
      <c r="GA24" s="41"/>
      <c r="GB24" s="41"/>
      <c r="GC24" s="42"/>
      <c r="GD24" s="39">
        <f t="shared" si="38"/>
        <v>0</v>
      </c>
      <c r="GE24" s="39">
        <f t="shared" si="39"/>
        <v>0</v>
      </c>
      <c r="GF24" s="40" t="b">
        <f t="shared" si="10"/>
        <v>0</v>
      </c>
      <c r="GH24" s="29">
        <f t="shared" si="40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1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 t="shared" si="11"/>
        <v>0</v>
      </c>
      <c r="HC24" s="41"/>
      <c r="HD24" s="41"/>
      <c r="HE24" s="41"/>
      <c r="HF24" s="41"/>
      <c r="HG24" s="42"/>
      <c r="HH24" s="39">
        <f t="shared" si="42"/>
        <v>0</v>
      </c>
      <c r="HI24" s="39">
        <f t="shared" si="43"/>
        <v>0</v>
      </c>
      <c r="HJ24" s="40" t="b">
        <f t="shared" si="12"/>
        <v>0</v>
      </c>
      <c r="HL24" s="29">
        <f t="shared" si="44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5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 t="shared" si="13"/>
        <v>0</v>
      </c>
      <c r="IG24" s="41"/>
      <c r="IH24" s="41"/>
      <c r="II24" s="41"/>
      <c r="IJ24" s="41"/>
      <c r="IK24" s="42"/>
      <c r="IL24" s="39">
        <f t="shared" si="46"/>
        <v>0</v>
      </c>
      <c r="IM24" s="39">
        <f t="shared" si="47"/>
        <v>0</v>
      </c>
      <c r="IN24" s="40" t="b">
        <f t="shared" si="14"/>
        <v>0</v>
      </c>
    </row>
    <row r="25" spans="1:24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15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6"/>
        <v>2000</v>
      </c>
      <c r="N25" s="29">
        <f>Buckets_9_23[[#This Row],[Capacity]]-Buckets_9_23[[#This Row],[After T]]</f>
        <v>2000</v>
      </c>
      <c r="O25" s="29">
        <f>MAX(-Buckets_9_23[[#This Row],[Cap Diff]], 0)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>OR(H25, Buckets_9_23[[#This Row],[After T]]&lt;0)</f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0"/>
        <v>0</v>
      </c>
      <c r="AE25" s="42"/>
      <c r="AF25" s="41"/>
      <c r="AG25" s="41">
        <v>500</v>
      </c>
      <c r="AH25" s="41"/>
      <c r="AI25" s="42"/>
      <c r="AJ25" s="39">
        <f t="shared" si="17"/>
        <v>1745.629999999999</v>
      </c>
      <c r="AK25" s="39">
        <f t="shared" si="18"/>
        <v>2500</v>
      </c>
      <c r="AL25" s="40" t="b">
        <f t="shared" si="1"/>
        <v>0</v>
      </c>
      <c r="AN25" s="29">
        <f t="shared" si="19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20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 t="shared" si="21"/>
        <v>0</v>
      </c>
      <c r="BI25" s="42"/>
      <c r="BJ25" s="41"/>
      <c r="BK25" s="41">
        <v>500</v>
      </c>
      <c r="BL25" s="41"/>
      <c r="BM25" s="42"/>
      <c r="BN25" s="39">
        <f t="shared" si="22"/>
        <v>2193.7099999999987</v>
      </c>
      <c r="BO25" s="39">
        <f t="shared" si="23"/>
        <v>3000</v>
      </c>
      <c r="BP25" s="40" t="b">
        <f t="shared" si="2"/>
        <v>0</v>
      </c>
      <c r="BR25" s="29">
        <f t="shared" si="24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25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 t="shared" si="3"/>
        <v>0</v>
      </c>
      <c r="CM25" s="41"/>
      <c r="CN25" s="41"/>
      <c r="CO25" s="41">
        <v>500</v>
      </c>
      <c r="CP25" s="41"/>
      <c r="CQ25" s="42"/>
      <c r="CR25" s="39">
        <f t="shared" si="26"/>
        <v>2988.8699999999981</v>
      </c>
      <c r="CS25" s="39">
        <f t="shared" si="27"/>
        <v>3500</v>
      </c>
      <c r="CT25" s="40" t="b">
        <f t="shared" si="4"/>
        <v>0</v>
      </c>
      <c r="CV25" s="29">
        <f t="shared" si="28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29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 t="shared" si="5"/>
        <v>0</v>
      </c>
      <c r="DQ25" s="41"/>
      <c r="DR25" s="41"/>
      <c r="DS25" s="41">
        <v>500</v>
      </c>
      <c r="DT25" s="41"/>
      <c r="DU25" s="42"/>
      <c r="DV25" s="39">
        <f t="shared" si="30"/>
        <v>3222.5599999999981</v>
      </c>
      <c r="DW25" s="39">
        <f t="shared" si="31"/>
        <v>4000</v>
      </c>
      <c r="DX25" s="40" t="b">
        <f t="shared" si="6"/>
        <v>0</v>
      </c>
      <c r="DZ25" s="29">
        <f t="shared" si="32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33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 t="shared" si="7"/>
        <v>0</v>
      </c>
      <c r="EU25" s="41"/>
      <c r="EV25" s="41"/>
      <c r="EW25" s="41"/>
      <c r="EX25" s="41">
        <v>7000</v>
      </c>
      <c r="EY25" s="42"/>
      <c r="EZ25" s="39">
        <f t="shared" si="34"/>
        <v>3699.8999999999992</v>
      </c>
      <c r="FA25" s="39">
        <f t="shared" si="35"/>
        <v>7000</v>
      </c>
      <c r="FB25" s="40" t="b">
        <f t="shared" si="8"/>
        <v>0</v>
      </c>
      <c r="FD25" s="29">
        <f t="shared" si="36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37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 t="shared" si="9"/>
        <v>0</v>
      </c>
      <c r="FY25" s="41"/>
      <c r="FZ25" s="41"/>
      <c r="GA25" s="41">
        <v>500</v>
      </c>
      <c r="GB25" s="41"/>
      <c r="GC25" s="42"/>
      <c r="GD25" s="39">
        <f t="shared" si="38"/>
        <v>6879.0500000000011</v>
      </c>
      <c r="GE25" s="39">
        <f t="shared" si="39"/>
        <v>7500</v>
      </c>
      <c r="GF25" s="40" t="b">
        <f t="shared" si="10"/>
        <v>0</v>
      </c>
      <c r="GH25" s="29">
        <f t="shared" si="40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41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 t="shared" si="11"/>
        <v>0</v>
      </c>
      <c r="HC25" s="41"/>
      <c r="HD25" s="41"/>
      <c r="HE25" s="41">
        <v>500</v>
      </c>
      <c r="HF25" s="41"/>
      <c r="HG25" s="42"/>
      <c r="HH25" s="39">
        <f t="shared" si="42"/>
        <v>7482.130000000001</v>
      </c>
      <c r="HI25" s="39">
        <f t="shared" si="43"/>
        <v>8000</v>
      </c>
      <c r="HJ25" s="40" t="b">
        <f t="shared" si="12"/>
        <v>0</v>
      </c>
      <c r="HL25" s="29">
        <f t="shared" si="44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45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 t="shared" si="13"/>
        <v>0</v>
      </c>
      <c r="IG25" s="41"/>
      <c r="IH25" s="41"/>
      <c r="II25" s="41">
        <v>500</v>
      </c>
      <c r="IJ25" s="41"/>
      <c r="IK25" s="42"/>
      <c r="IL25" s="39">
        <f t="shared" si="46"/>
        <v>7820.090000000002</v>
      </c>
      <c r="IM25" s="39">
        <f t="shared" si="47"/>
        <v>8500</v>
      </c>
      <c r="IN25" s="40" t="b">
        <f t="shared" si="14"/>
        <v>0</v>
      </c>
    </row>
    <row r="26" spans="1:24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15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6"/>
        <v>600</v>
      </c>
      <c r="N26" s="29">
        <f>Buckets_9_23[[#This Row],[Capacity]]-Buckets_9_23[[#This Row],[After T]]</f>
        <v>600</v>
      </c>
      <c r="O26" s="29">
        <f>MAX(-Buckets_9_23[[#This Row],[Cap Diff]], 0)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>OR(H26, Buckets_9_23[[#This Row],[After T]]&lt;0)</f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0"/>
        <v>0</v>
      </c>
      <c r="AE26" s="42"/>
      <c r="AF26" s="41"/>
      <c r="AG26" s="41"/>
      <c r="AH26" s="41"/>
      <c r="AI26" s="42"/>
      <c r="AJ26" s="39">
        <f t="shared" si="17"/>
        <v>523.69000000000005</v>
      </c>
      <c r="AK26" s="39">
        <f t="shared" si="18"/>
        <v>600</v>
      </c>
      <c r="AL26" s="40" t="b">
        <f t="shared" si="1"/>
        <v>0</v>
      </c>
      <c r="AN26" s="29">
        <f t="shared" si="19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20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 t="shared" si="21"/>
        <v>0</v>
      </c>
      <c r="BI26" s="42"/>
      <c r="BJ26" s="41"/>
      <c r="BK26" s="41"/>
      <c r="BL26" s="41"/>
      <c r="BM26" s="42"/>
      <c r="BN26" s="39">
        <f t="shared" si="22"/>
        <v>565.2600000000001</v>
      </c>
      <c r="BO26" s="39">
        <f t="shared" si="23"/>
        <v>600</v>
      </c>
      <c r="BP26" s="40" t="b">
        <f t="shared" si="2"/>
        <v>0</v>
      </c>
      <c r="BR26" s="29">
        <f t="shared" si="24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25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 t="shared" si="3"/>
        <v>0</v>
      </c>
      <c r="CM26" s="41"/>
      <c r="CN26" s="41"/>
      <c r="CO26" s="41"/>
      <c r="CP26" s="41"/>
      <c r="CQ26" s="42"/>
      <c r="CR26" s="39">
        <f t="shared" si="26"/>
        <v>599.5200000000001</v>
      </c>
      <c r="CS26" s="39">
        <f t="shared" si="27"/>
        <v>600</v>
      </c>
      <c r="CT26" s="40" t="b">
        <f t="shared" si="4"/>
        <v>0</v>
      </c>
      <c r="CV26" s="29">
        <f t="shared" si="28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29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 t="shared" si="5"/>
        <v>0</v>
      </c>
      <c r="DQ26" s="41"/>
      <c r="DR26" s="41"/>
      <c r="DS26" s="41"/>
      <c r="DT26" s="41"/>
      <c r="DU26" s="42"/>
      <c r="DV26" s="39">
        <f t="shared" si="30"/>
        <v>580.65000000000009</v>
      </c>
      <c r="DW26" s="39">
        <f t="shared" si="31"/>
        <v>600</v>
      </c>
      <c r="DX26" s="40" t="b">
        <f t="shared" si="6"/>
        <v>0</v>
      </c>
      <c r="DZ26" s="29">
        <f t="shared" si="32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33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 t="shared" si="7"/>
        <v>0</v>
      </c>
      <c r="EU26" s="41"/>
      <c r="EV26" s="41"/>
      <c r="EW26" s="41"/>
      <c r="EX26" s="41"/>
      <c r="EY26" s="42"/>
      <c r="EZ26" s="39">
        <f t="shared" si="34"/>
        <v>587.70000000000016</v>
      </c>
      <c r="FA26" s="39">
        <f t="shared" si="35"/>
        <v>600</v>
      </c>
      <c r="FB26" s="40" t="b">
        <f t="shared" si="8"/>
        <v>0</v>
      </c>
      <c r="FD26" s="29">
        <f t="shared" si="36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37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 t="shared" si="9"/>
        <v>0</v>
      </c>
      <c r="FY26" s="41"/>
      <c r="FZ26" s="41"/>
      <c r="GA26" s="41"/>
      <c r="GB26" s="41">
        <v>1000</v>
      </c>
      <c r="GC26" s="42"/>
      <c r="GD26" s="39">
        <f t="shared" si="38"/>
        <v>593.21000000000015</v>
      </c>
      <c r="GE26" s="39">
        <f t="shared" si="39"/>
        <v>1000</v>
      </c>
      <c r="GF26" s="40" t="b">
        <f t="shared" si="10"/>
        <v>0</v>
      </c>
      <c r="GH26" s="29">
        <f t="shared" si="40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41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 t="shared" si="11"/>
        <v>0</v>
      </c>
      <c r="HC26" s="41"/>
      <c r="HD26" s="41"/>
      <c r="HE26" s="41"/>
      <c r="HF26" s="41"/>
      <c r="HG26" s="42"/>
      <c r="HH26" s="39">
        <f t="shared" si="42"/>
        <v>986.29000000000019</v>
      </c>
      <c r="HI26" s="39">
        <f t="shared" si="43"/>
        <v>1000</v>
      </c>
      <c r="HJ26" s="40" t="b">
        <f t="shared" si="12"/>
        <v>0</v>
      </c>
      <c r="HL26" s="29">
        <f t="shared" si="44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45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 t="shared" si="13"/>
        <v>0</v>
      </c>
      <c r="IG26" s="41"/>
      <c r="IH26" s="41"/>
      <c r="II26" s="41"/>
      <c r="IJ26" s="41"/>
      <c r="IK26" s="42"/>
      <c r="IL26" s="39">
        <f t="shared" si="46"/>
        <v>957.32000000000016</v>
      </c>
      <c r="IM26" s="39">
        <f t="shared" si="47"/>
        <v>1000</v>
      </c>
      <c r="IN26" s="40" t="b">
        <f t="shared" si="14"/>
        <v>0</v>
      </c>
    </row>
    <row r="27" spans="1:24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15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6"/>
        <v>100</v>
      </c>
      <c r="N27" s="29">
        <f>Buckets_9_23[[#This Row],[Capacity]]-Buckets_9_23[[#This Row],[After T]]</f>
        <v>100</v>
      </c>
      <c r="O27" s="29">
        <f>MAX(-Buckets_9_23[[#This Row],[Cap Diff]], 0)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>OR(H27, Buckets_9_23[[#This Row],[After T]]&lt;0)</f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0"/>
        <v>1</v>
      </c>
      <c r="AE27" s="42"/>
      <c r="AF27" s="41"/>
      <c r="AG27" s="41"/>
      <c r="AH27" s="41"/>
      <c r="AI27" s="42"/>
      <c r="AJ27" s="39">
        <f t="shared" si="17"/>
        <v>100</v>
      </c>
      <c r="AK27" s="39">
        <f t="shared" si="18"/>
        <v>100</v>
      </c>
      <c r="AL27" s="40" t="b">
        <f t="shared" si="1"/>
        <v>1</v>
      </c>
      <c r="AN27" s="29">
        <f t="shared" si="19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20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1"/>
        <v>1</v>
      </c>
      <c r="BI27" s="42"/>
      <c r="BJ27" s="41"/>
      <c r="BK27" s="41"/>
      <c r="BL27" s="41"/>
      <c r="BM27" s="42"/>
      <c r="BN27" s="39">
        <f t="shared" si="22"/>
        <v>100</v>
      </c>
      <c r="BO27" s="39">
        <f t="shared" si="23"/>
        <v>100</v>
      </c>
      <c r="BP27" s="40" t="b">
        <f t="shared" si="2"/>
        <v>1</v>
      </c>
      <c r="BR27" s="29">
        <f t="shared" si="24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5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 t="shared" si="3"/>
        <v>1</v>
      </c>
      <c r="CM27" s="41"/>
      <c r="CN27" s="41"/>
      <c r="CO27" s="41"/>
      <c r="CP27" s="41"/>
      <c r="CQ27" s="42"/>
      <c r="CR27" s="39">
        <f t="shared" si="26"/>
        <v>100</v>
      </c>
      <c r="CS27" s="39">
        <f t="shared" si="27"/>
        <v>100</v>
      </c>
      <c r="CT27" s="40" t="b">
        <f t="shared" si="4"/>
        <v>1</v>
      </c>
      <c r="CV27" s="29">
        <f t="shared" si="28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9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 t="shared" si="5"/>
        <v>1</v>
      </c>
      <c r="DQ27" s="41"/>
      <c r="DR27" s="41"/>
      <c r="DS27" s="41"/>
      <c r="DT27" s="41"/>
      <c r="DU27" s="42"/>
      <c r="DV27" s="39">
        <f t="shared" si="30"/>
        <v>100</v>
      </c>
      <c r="DW27" s="39">
        <f t="shared" si="31"/>
        <v>100</v>
      </c>
      <c r="DX27" s="40" t="b">
        <f t="shared" si="6"/>
        <v>1</v>
      </c>
      <c r="DZ27" s="29">
        <f t="shared" si="32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3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 t="shared" si="7"/>
        <v>1</v>
      </c>
      <c r="EU27" s="41"/>
      <c r="EV27" s="41"/>
      <c r="EW27" s="41"/>
      <c r="EX27" s="41"/>
      <c r="EY27" s="42"/>
      <c r="EZ27" s="39">
        <f t="shared" si="34"/>
        <v>100</v>
      </c>
      <c r="FA27" s="39">
        <f t="shared" si="35"/>
        <v>100</v>
      </c>
      <c r="FB27" s="40" t="b">
        <f t="shared" si="8"/>
        <v>1</v>
      </c>
      <c r="FD27" s="29">
        <f t="shared" si="36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7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 t="shared" si="9"/>
        <v>1</v>
      </c>
      <c r="FY27" s="41"/>
      <c r="FZ27" s="41"/>
      <c r="GA27" s="41"/>
      <c r="GB27" s="41"/>
      <c r="GC27" s="42"/>
      <c r="GD27" s="39">
        <f t="shared" si="38"/>
        <v>100</v>
      </c>
      <c r="GE27" s="39">
        <f t="shared" si="39"/>
        <v>100</v>
      </c>
      <c r="GF27" s="40" t="b">
        <f t="shared" si="10"/>
        <v>1</v>
      </c>
      <c r="GH27" s="29">
        <f t="shared" si="40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1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 t="shared" si="11"/>
        <v>1</v>
      </c>
      <c r="HC27" s="41"/>
      <c r="HD27" s="41"/>
      <c r="HE27" s="41"/>
      <c r="HF27" s="41"/>
      <c r="HG27" s="42"/>
      <c r="HH27" s="39">
        <f t="shared" si="42"/>
        <v>100</v>
      </c>
      <c r="HI27" s="39">
        <f t="shared" si="43"/>
        <v>100</v>
      </c>
      <c r="HJ27" s="40" t="b">
        <f t="shared" si="12"/>
        <v>1</v>
      </c>
      <c r="HL27" s="29">
        <f t="shared" si="44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5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 t="shared" si="13"/>
        <v>1</v>
      </c>
      <c r="IG27" s="41"/>
      <c r="IH27" s="41"/>
      <c r="II27" s="41"/>
      <c r="IJ27" s="41"/>
      <c r="IK27" s="42"/>
      <c r="IL27" s="39">
        <f t="shared" si="46"/>
        <v>100</v>
      </c>
      <c r="IM27" s="39">
        <f t="shared" si="47"/>
        <v>100</v>
      </c>
      <c r="IN27" s="40" t="b">
        <f t="shared" si="14"/>
        <v>1</v>
      </c>
    </row>
    <row r="28" spans="1:24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15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6"/>
        <v>250</v>
      </c>
      <c r="N28" s="29">
        <f>Buckets_9_23[[#This Row],[Capacity]]-Buckets_9_23[[#This Row],[After T]]</f>
        <v>150</v>
      </c>
      <c r="O28" s="29">
        <f>MAX(-Buckets_9_23[[#This Row],[Cap Diff]], 0)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>OR(H28, Buckets_9_23[[#This Row],[After T]]&lt;0)</f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0"/>
        <v>0</v>
      </c>
      <c r="AE28" s="42"/>
      <c r="AF28" s="41"/>
      <c r="AG28" s="41"/>
      <c r="AH28" s="41"/>
      <c r="AI28" s="42"/>
      <c r="AJ28" s="39">
        <f t="shared" si="17"/>
        <v>230.92</v>
      </c>
      <c r="AK28" s="39">
        <f t="shared" si="18"/>
        <v>250</v>
      </c>
      <c r="AL28" s="40" t="b">
        <f t="shared" si="1"/>
        <v>0</v>
      </c>
      <c r="AN28" s="29">
        <f t="shared" si="19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20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 t="shared" si="21"/>
        <v>0</v>
      </c>
      <c r="BI28" s="42"/>
      <c r="BJ28" s="41"/>
      <c r="BK28" s="41"/>
      <c r="BL28" s="41"/>
      <c r="BM28" s="42"/>
      <c r="BN28" s="39">
        <f t="shared" si="22"/>
        <v>201.64999999999998</v>
      </c>
      <c r="BO28" s="39">
        <f t="shared" si="23"/>
        <v>250</v>
      </c>
      <c r="BP28" s="40" t="b">
        <f t="shared" si="2"/>
        <v>0</v>
      </c>
      <c r="BR28" s="29">
        <f t="shared" si="24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25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 t="shared" si="3"/>
        <v>0</v>
      </c>
      <c r="CM28" s="41">
        <v>-100</v>
      </c>
      <c r="CN28" s="41"/>
      <c r="CO28" s="41"/>
      <c r="CP28" s="41"/>
      <c r="CQ28" s="42"/>
      <c r="CR28" s="39">
        <f t="shared" si="26"/>
        <v>149.32999999999998</v>
      </c>
      <c r="CS28" s="39">
        <f t="shared" si="27"/>
        <v>250</v>
      </c>
      <c r="CT28" s="40" t="b">
        <f t="shared" si="4"/>
        <v>0</v>
      </c>
      <c r="CV28" s="29">
        <f t="shared" si="28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29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 t="shared" si="5"/>
        <v>0</v>
      </c>
      <c r="DQ28" s="41"/>
      <c r="DR28" s="41"/>
      <c r="DS28" s="41"/>
      <c r="DT28" s="41"/>
      <c r="DU28" s="42"/>
      <c r="DV28" s="39">
        <f t="shared" si="30"/>
        <v>195.35999999999999</v>
      </c>
      <c r="DW28" s="39">
        <f t="shared" si="31"/>
        <v>250</v>
      </c>
      <c r="DX28" s="40" t="b">
        <f t="shared" si="6"/>
        <v>0</v>
      </c>
      <c r="DZ28" s="29">
        <f t="shared" si="32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33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 t="shared" si="7"/>
        <v>0</v>
      </c>
      <c r="EU28" s="41"/>
      <c r="EV28" s="41"/>
      <c r="EW28" s="41"/>
      <c r="EX28" s="41"/>
      <c r="EY28" s="42"/>
      <c r="EZ28" s="39">
        <f t="shared" si="34"/>
        <v>228.90999999999997</v>
      </c>
      <c r="FA28" s="39">
        <f t="shared" si="35"/>
        <v>250</v>
      </c>
      <c r="FB28" s="40" t="b">
        <f t="shared" si="8"/>
        <v>0</v>
      </c>
      <c r="FD28" s="29">
        <f t="shared" si="36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37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 t="shared" si="9"/>
        <v>0</v>
      </c>
      <c r="FY28" s="41"/>
      <c r="FZ28" s="41"/>
      <c r="GA28" s="41"/>
      <c r="GB28" s="41"/>
      <c r="GC28" s="42"/>
      <c r="GD28" s="39">
        <f t="shared" si="38"/>
        <v>249.22999999999996</v>
      </c>
      <c r="GE28" s="39">
        <f t="shared" si="39"/>
        <v>250</v>
      </c>
      <c r="GF28" s="40" t="b">
        <f t="shared" si="10"/>
        <v>0</v>
      </c>
      <c r="GH28" s="29">
        <f t="shared" si="40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41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 t="shared" si="11"/>
        <v>0</v>
      </c>
      <c r="HC28" s="41"/>
      <c r="HD28" s="41"/>
      <c r="HE28" s="41"/>
      <c r="HF28" s="41"/>
      <c r="HG28" s="42"/>
      <c r="HH28" s="39">
        <f t="shared" si="42"/>
        <v>249.97999999999996</v>
      </c>
      <c r="HI28" s="39">
        <f t="shared" si="43"/>
        <v>250</v>
      </c>
      <c r="HJ28" s="40" t="b">
        <f t="shared" si="12"/>
        <v>0</v>
      </c>
      <c r="HL28" s="29">
        <f t="shared" si="44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45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 t="shared" si="13"/>
        <v>0</v>
      </c>
      <c r="IG28" s="41"/>
      <c r="IH28" s="41"/>
      <c r="II28" s="41"/>
      <c r="IJ28" s="41"/>
      <c r="IK28" s="42"/>
      <c r="IL28" s="39">
        <f t="shared" si="46"/>
        <v>249.98999999999995</v>
      </c>
      <c r="IM28" s="39">
        <f t="shared" si="47"/>
        <v>250</v>
      </c>
      <c r="IN28" s="40" t="b">
        <f t="shared" si="14"/>
        <v>0</v>
      </c>
    </row>
    <row r="29" spans="1:248" x14ac:dyDescent="0.25">
      <c r="A29" s="48"/>
      <c r="B29" t="s">
        <v>321</v>
      </c>
      <c r="C29" t="s">
        <v>321</v>
      </c>
      <c r="D29" t="s">
        <v>304</v>
      </c>
      <c r="F29" s="30">
        <v>103.84</v>
      </c>
      <c r="G29" s="37">
        <v>500</v>
      </c>
      <c r="H29" t="b">
        <v>0</v>
      </c>
      <c r="J29" s="29">
        <f t="shared" si="15"/>
        <v>103.84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0</v>
      </c>
      <c r="M29" s="29">
        <f t="shared" si="16"/>
        <v>500</v>
      </c>
      <c r="N29" s="29">
        <f>Buckets_9_23[[#This Row],[Capacity]]-Buckets_9_23[[#This Row],[After T]]</f>
        <v>500</v>
      </c>
      <c r="O29" s="29">
        <f>MAX(-Buckets_9_23[[#This Row],[Cap Diff]], 0)</f>
        <v>0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>OR(H29, Buckets_9_23[[#This Row],[After T]]&lt;0)</f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0"/>
        <v>0</v>
      </c>
      <c r="AE29" s="42"/>
      <c r="AF29" s="41"/>
      <c r="AG29" s="41"/>
      <c r="AH29" s="41"/>
      <c r="AI29" s="42"/>
      <c r="AJ29" s="39">
        <f t="shared" si="17"/>
        <v>436.41</v>
      </c>
      <c r="AK29" s="39">
        <f t="shared" si="18"/>
        <v>500</v>
      </c>
      <c r="AL29" s="40" t="b">
        <f t="shared" si="1"/>
        <v>0</v>
      </c>
      <c r="AN29" s="29">
        <f t="shared" si="19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20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 t="shared" si="21"/>
        <v>0</v>
      </c>
      <c r="BI29" s="42"/>
      <c r="BJ29" s="41"/>
      <c r="BK29" s="41"/>
      <c r="BL29" s="41"/>
      <c r="BM29" s="42"/>
      <c r="BN29" s="39">
        <f t="shared" si="22"/>
        <v>448.75</v>
      </c>
      <c r="BO29" s="39">
        <f t="shared" si="23"/>
        <v>500</v>
      </c>
      <c r="BP29" s="40" t="b">
        <f t="shared" si="2"/>
        <v>0</v>
      </c>
      <c r="BR29" s="29">
        <f t="shared" si="24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25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 t="shared" si="3"/>
        <v>0</v>
      </c>
      <c r="CM29" s="41">
        <v>-200</v>
      </c>
      <c r="CN29" s="41"/>
      <c r="CO29" s="41"/>
      <c r="CP29" s="41"/>
      <c r="CQ29" s="42"/>
      <c r="CR29" s="39">
        <f t="shared" si="26"/>
        <v>299.29000000000002</v>
      </c>
      <c r="CS29" s="39">
        <f t="shared" si="27"/>
        <v>500</v>
      </c>
      <c r="CT29" s="40" t="b">
        <f t="shared" si="4"/>
        <v>0</v>
      </c>
      <c r="CV29" s="29">
        <f t="shared" si="28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29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 t="shared" si="5"/>
        <v>0</v>
      </c>
      <c r="DQ29" s="41"/>
      <c r="DR29" s="41"/>
      <c r="DS29" s="41"/>
      <c r="DT29" s="41"/>
      <c r="DU29" s="42"/>
      <c r="DV29" s="39">
        <f t="shared" si="30"/>
        <v>291.78999999999996</v>
      </c>
      <c r="DW29" s="39">
        <f t="shared" si="31"/>
        <v>500</v>
      </c>
      <c r="DX29" s="40" t="b">
        <f t="shared" si="6"/>
        <v>0</v>
      </c>
      <c r="DZ29" s="29">
        <f t="shared" si="32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33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 t="shared" si="7"/>
        <v>0</v>
      </c>
      <c r="EU29" s="41"/>
      <c r="EV29" s="41"/>
      <c r="EW29" s="41"/>
      <c r="EX29" s="41"/>
      <c r="EY29" s="42"/>
      <c r="EZ29" s="39">
        <f t="shared" si="34"/>
        <v>408.04999999999995</v>
      </c>
      <c r="FA29" s="39">
        <f t="shared" si="35"/>
        <v>500</v>
      </c>
      <c r="FB29" s="40" t="b">
        <f t="shared" si="8"/>
        <v>0</v>
      </c>
      <c r="FD29" s="29">
        <f t="shared" si="36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37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 t="shared" si="9"/>
        <v>0</v>
      </c>
      <c r="FY29" s="41"/>
      <c r="FZ29" s="41"/>
      <c r="GA29" s="41"/>
      <c r="GB29" s="41"/>
      <c r="GC29" s="42"/>
      <c r="GD29" s="39">
        <f t="shared" si="38"/>
        <v>495.53</v>
      </c>
      <c r="GE29" s="39">
        <f t="shared" si="39"/>
        <v>500</v>
      </c>
      <c r="GF29" s="40" t="b">
        <f t="shared" si="10"/>
        <v>0</v>
      </c>
      <c r="GH29" s="29">
        <f t="shared" si="40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41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 t="shared" si="11"/>
        <v>0</v>
      </c>
      <c r="HC29" s="41"/>
      <c r="HD29" s="41"/>
      <c r="HE29" s="41"/>
      <c r="HF29" s="41"/>
      <c r="HG29" s="42"/>
      <c r="HH29" s="39">
        <f t="shared" si="42"/>
        <v>499.01</v>
      </c>
      <c r="HI29" s="39">
        <f t="shared" si="43"/>
        <v>500</v>
      </c>
      <c r="HJ29" s="40" t="b">
        <f t="shared" si="12"/>
        <v>0</v>
      </c>
      <c r="HL29" s="29">
        <f t="shared" si="44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45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 t="shared" si="13"/>
        <v>0</v>
      </c>
      <c r="IG29" s="41"/>
      <c r="IH29" s="41"/>
      <c r="II29" s="41"/>
      <c r="IJ29" s="41"/>
      <c r="IK29" s="42"/>
      <c r="IL29" s="39">
        <f t="shared" si="46"/>
        <v>485.48</v>
      </c>
      <c r="IM29" s="39">
        <f t="shared" si="47"/>
        <v>500</v>
      </c>
      <c r="IN29" s="40" t="b">
        <f t="shared" si="14"/>
        <v>0</v>
      </c>
    </row>
    <row r="30" spans="1:24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15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6"/>
        <v>200</v>
      </c>
      <c r="N30" s="29">
        <f>Buckets_9_23[[#This Row],[Capacity]]-Buckets_9_23[[#This Row],[After T]]</f>
        <v>150</v>
      </c>
      <c r="O30" s="29">
        <f>MAX(-Buckets_9_23[[#This Row],[Cap Diff]], 0)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>OR(H30, Buckets_9_23[[#This Row],[After T]]&lt;0)</f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0"/>
        <v>0</v>
      </c>
      <c r="AE30" s="42"/>
      <c r="AF30" s="41"/>
      <c r="AG30" s="41"/>
      <c r="AH30" s="41"/>
      <c r="AI30" s="42"/>
      <c r="AJ30" s="39">
        <f t="shared" si="17"/>
        <v>180.92</v>
      </c>
      <c r="AK30" s="39">
        <f t="shared" si="18"/>
        <v>200</v>
      </c>
      <c r="AL30" s="40" t="b">
        <f t="shared" si="1"/>
        <v>0</v>
      </c>
      <c r="AN30" s="29">
        <f t="shared" si="19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20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 t="shared" si="21"/>
        <v>0</v>
      </c>
      <c r="BI30" s="42"/>
      <c r="BJ30" s="41"/>
      <c r="BK30" s="41"/>
      <c r="BL30" s="41"/>
      <c r="BM30" s="42"/>
      <c r="BN30" s="39">
        <f t="shared" si="22"/>
        <v>172.16</v>
      </c>
      <c r="BO30" s="39">
        <f t="shared" si="23"/>
        <v>200</v>
      </c>
      <c r="BP30" s="40" t="b">
        <f t="shared" si="2"/>
        <v>0</v>
      </c>
      <c r="BR30" s="29">
        <f t="shared" si="24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25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 t="shared" si="3"/>
        <v>0</v>
      </c>
      <c r="CM30" s="41"/>
      <c r="CN30" s="41"/>
      <c r="CO30" s="41"/>
      <c r="CP30" s="41"/>
      <c r="CQ30" s="42"/>
      <c r="CR30" s="39">
        <f t="shared" si="26"/>
        <v>200</v>
      </c>
      <c r="CS30" s="39">
        <f t="shared" si="27"/>
        <v>200</v>
      </c>
      <c r="CT30" s="40" t="b">
        <f t="shared" si="4"/>
        <v>0</v>
      </c>
      <c r="CV30" s="29">
        <f t="shared" si="28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9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 t="shared" si="5"/>
        <v>0</v>
      </c>
      <c r="DQ30" s="41"/>
      <c r="DR30" s="41"/>
      <c r="DS30" s="41"/>
      <c r="DT30" s="41"/>
      <c r="DU30" s="42"/>
      <c r="DV30" s="39">
        <f t="shared" si="30"/>
        <v>200</v>
      </c>
      <c r="DW30" s="39">
        <f t="shared" si="31"/>
        <v>200</v>
      </c>
      <c r="DX30" s="40" t="b">
        <f t="shared" si="6"/>
        <v>0</v>
      </c>
      <c r="DZ30" s="29">
        <f t="shared" si="32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3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 t="shared" si="7"/>
        <v>0</v>
      </c>
      <c r="EU30" s="41"/>
      <c r="EV30" s="41"/>
      <c r="EW30" s="41"/>
      <c r="EX30" s="41"/>
      <c r="EY30" s="42"/>
      <c r="EZ30" s="39">
        <f t="shared" si="34"/>
        <v>178.29</v>
      </c>
      <c r="FA30" s="39">
        <f t="shared" si="35"/>
        <v>200</v>
      </c>
      <c r="FB30" s="40" t="b">
        <f t="shared" si="8"/>
        <v>0</v>
      </c>
      <c r="FD30" s="29">
        <f t="shared" si="36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37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 t="shared" si="9"/>
        <v>0</v>
      </c>
      <c r="FY30" s="41"/>
      <c r="FZ30" s="41"/>
      <c r="GA30" s="41"/>
      <c r="GB30" s="41"/>
      <c r="GC30" s="42"/>
      <c r="GD30" s="39">
        <f t="shared" si="38"/>
        <v>199.2</v>
      </c>
      <c r="GE30" s="39">
        <f t="shared" si="39"/>
        <v>200</v>
      </c>
      <c r="GF30" s="40" t="b">
        <f t="shared" si="10"/>
        <v>0</v>
      </c>
      <c r="GH30" s="29">
        <f t="shared" si="40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41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 t="shared" si="11"/>
        <v>0</v>
      </c>
      <c r="HC30" s="41"/>
      <c r="HD30" s="41"/>
      <c r="HE30" s="41"/>
      <c r="HF30" s="41"/>
      <c r="HG30" s="42"/>
      <c r="HH30" s="39">
        <f t="shared" si="42"/>
        <v>199.98</v>
      </c>
      <c r="HI30" s="39">
        <f t="shared" si="43"/>
        <v>200</v>
      </c>
      <c r="HJ30" s="40" t="b">
        <f t="shared" si="12"/>
        <v>0</v>
      </c>
      <c r="HL30" s="29">
        <f t="shared" si="44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45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 t="shared" si="13"/>
        <v>0</v>
      </c>
      <c r="IG30" s="41"/>
      <c r="IH30" s="41"/>
      <c r="II30" s="41"/>
      <c r="IJ30" s="41"/>
      <c r="IK30" s="42"/>
      <c r="IL30" s="39">
        <f t="shared" si="46"/>
        <v>188.17999999999998</v>
      </c>
      <c r="IM30" s="39">
        <f t="shared" si="47"/>
        <v>200</v>
      </c>
      <c r="IN30" s="40" t="b">
        <f t="shared" si="14"/>
        <v>0</v>
      </c>
    </row>
    <row r="31" spans="1:24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-3932.42</v>
      </c>
      <c r="G31" s="37">
        <v>0</v>
      </c>
      <c r="H31" t="b">
        <v>0</v>
      </c>
      <c r="J31" s="29">
        <f t="shared" si="15"/>
        <v>-3932.42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1067.58</v>
      </c>
      <c r="M31" s="29">
        <f t="shared" si="16"/>
        <v>0</v>
      </c>
      <c r="N31" s="29">
        <f>Buckets_9_23[[#This Row],[Capacity]]-Buckets_9_23[[#This Row],[After T]]</f>
        <v>-1067.58</v>
      </c>
      <c r="O31" s="29">
        <f>MAX(-Buckets_9_23[[#This Row],[Cap Diff]], 0)</f>
        <v>1067.58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>OR(H31, Buckets_9_23[[#This Row],[After T]]&lt;0)</f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0"/>
        <v>0</v>
      </c>
      <c r="AE31" s="42"/>
      <c r="AF31" s="41"/>
      <c r="AG31" s="41"/>
      <c r="AH31" s="41"/>
      <c r="AI31" s="42"/>
      <c r="AJ31" s="39">
        <f t="shared" si="17"/>
        <v>0</v>
      </c>
      <c r="AK31" s="39">
        <f t="shared" si="18"/>
        <v>0</v>
      </c>
      <c r="AL31" s="40" t="b">
        <f t="shared" si="1"/>
        <v>0</v>
      </c>
      <c r="AN31" s="29">
        <f t="shared" si="19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20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 t="shared" si="21"/>
        <v>0</v>
      </c>
      <c r="BI31" s="42"/>
      <c r="BJ31" s="41"/>
      <c r="BK31" s="41"/>
      <c r="BL31" s="41"/>
      <c r="BM31" s="42"/>
      <c r="BN31" s="39">
        <f t="shared" si="22"/>
        <v>0</v>
      </c>
      <c r="BO31" s="39">
        <f t="shared" si="23"/>
        <v>0</v>
      </c>
      <c r="BP31" s="40" t="b">
        <f t="shared" si="2"/>
        <v>0</v>
      </c>
      <c r="BR31" s="29">
        <f t="shared" si="24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5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 t="shared" si="3"/>
        <v>0</v>
      </c>
      <c r="CM31" s="41"/>
      <c r="CN31" s="41"/>
      <c r="CO31" s="41"/>
      <c r="CP31" s="41"/>
      <c r="CQ31" s="42"/>
      <c r="CR31" s="39">
        <f t="shared" si="26"/>
        <v>0</v>
      </c>
      <c r="CS31" s="39">
        <f t="shared" si="27"/>
        <v>0</v>
      </c>
      <c r="CT31" s="40" t="b">
        <f t="shared" si="4"/>
        <v>0</v>
      </c>
      <c r="CV31" s="29">
        <f t="shared" si="28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9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 t="shared" si="5"/>
        <v>0</v>
      </c>
      <c r="DQ31" s="41"/>
      <c r="DR31" s="41"/>
      <c r="DS31" s="41"/>
      <c r="DT31" s="41"/>
      <c r="DU31" s="42"/>
      <c r="DV31" s="39">
        <f t="shared" si="30"/>
        <v>0</v>
      </c>
      <c r="DW31" s="39">
        <f t="shared" si="31"/>
        <v>0</v>
      </c>
      <c r="DX31" s="40" t="b">
        <f t="shared" si="6"/>
        <v>0</v>
      </c>
      <c r="DZ31" s="29">
        <f t="shared" si="32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3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 t="shared" si="7"/>
        <v>0</v>
      </c>
      <c r="EU31" s="41"/>
      <c r="EV31" s="41"/>
      <c r="EW31" s="41"/>
      <c r="EX31" s="41"/>
      <c r="EY31" s="42"/>
      <c r="EZ31" s="39">
        <f t="shared" si="34"/>
        <v>0</v>
      </c>
      <c r="FA31" s="39">
        <f t="shared" si="35"/>
        <v>0</v>
      </c>
      <c r="FB31" s="40" t="b">
        <f t="shared" si="8"/>
        <v>0</v>
      </c>
      <c r="FD31" s="29">
        <f t="shared" si="36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7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 t="shared" si="9"/>
        <v>0</v>
      </c>
      <c r="FY31" s="41"/>
      <c r="FZ31" s="41"/>
      <c r="GA31" s="41"/>
      <c r="GB31" s="41"/>
      <c r="GC31" s="42"/>
      <c r="GD31" s="39">
        <f t="shared" si="38"/>
        <v>0</v>
      </c>
      <c r="GE31" s="39">
        <f t="shared" si="39"/>
        <v>0</v>
      </c>
      <c r="GF31" s="40" t="b">
        <f t="shared" si="10"/>
        <v>0</v>
      </c>
      <c r="GH31" s="29">
        <f t="shared" si="40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1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 t="shared" si="11"/>
        <v>0</v>
      </c>
      <c r="HC31" s="41"/>
      <c r="HD31" s="41"/>
      <c r="HE31" s="41"/>
      <c r="HF31" s="41"/>
      <c r="HG31" s="42"/>
      <c r="HH31" s="39">
        <f t="shared" si="42"/>
        <v>0</v>
      </c>
      <c r="HI31" s="39">
        <f t="shared" si="43"/>
        <v>0</v>
      </c>
      <c r="HJ31" s="40" t="b">
        <f t="shared" si="12"/>
        <v>0</v>
      </c>
      <c r="HL31" s="29">
        <f t="shared" si="44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5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 t="shared" si="13"/>
        <v>0</v>
      </c>
      <c r="IG31" s="41"/>
      <c r="IH31" s="41"/>
      <c r="II31" s="41"/>
      <c r="IJ31" s="41"/>
      <c r="IK31" s="42"/>
      <c r="IL31" s="39">
        <f t="shared" si="46"/>
        <v>0</v>
      </c>
      <c r="IM31" s="39">
        <f t="shared" si="47"/>
        <v>0</v>
      </c>
      <c r="IN31" s="40" t="b">
        <f t="shared" si="14"/>
        <v>0</v>
      </c>
    </row>
    <row r="32" spans="1:24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15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6"/>
        <v>0</v>
      </c>
      <c r="N32" s="29">
        <f>Buckets_9_23[[#This Row],[Capacity]]-Buckets_9_23[[#This Row],[After T]]</f>
        <v>-9154.32</v>
      </c>
      <c r="O32" s="29">
        <f>MAX(-Buckets_9_23[[#This Row],[Cap Diff]], 0)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>OR(H32, Buckets_9_23[[#This Row],[After T]]&lt;0)</f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0"/>
        <v>0</v>
      </c>
      <c r="AE32" s="42"/>
      <c r="AF32" s="41"/>
      <c r="AG32" s="41"/>
      <c r="AH32" s="41"/>
      <c r="AI32" s="42"/>
      <c r="AJ32" s="39">
        <f t="shared" si="17"/>
        <v>0</v>
      </c>
      <c r="AK32" s="39">
        <f t="shared" si="18"/>
        <v>0</v>
      </c>
      <c r="AL32" s="40" t="b">
        <f t="shared" si="1"/>
        <v>0</v>
      </c>
      <c r="AN32" s="29">
        <f t="shared" si="19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20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 t="shared" si="21"/>
        <v>0</v>
      </c>
      <c r="BI32" s="42"/>
      <c r="BJ32" s="41"/>
      <c r="BK32" s="41"/>
      <c r="BL32" s="41"/>
      <c r="BM32" s="42"/>
      <c r="BN32" s="39">
        <f t="shared" si="22"/>
        <v>0</v>
      </c>
      <c r="BO32" s="39">
        <f t="shared" si="23"/>
        <v>0</v>
      </c>
      <c r="BP32" s="40" t="b">
        <f t="shared" si="2"/>
        <v>0</v>
      </c>
      <c r="BR32" s="29">
        <f t="shared" si="24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5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 t="shared" si="3"/>
        <v>0</v>
      </c>
      <c r="CM32" s="41"/>
      <c r="CN32" s="41"/>
      <c r="CO32" s="41"/>
      <c r="CP32" s="41"/>
      <c r="CQ32" s="42"/>
      <c r="CR32" s="39">
        <f t="shared" si="26"/>
        <v>0</v>
      </c>
      <c r="CS32" s="39">
        <f t="shared" si="27"/>
        <v>0</v>
      </c>
      <c r="CT32" s="40" t="b">
        <f t="shared" si="4"/>
        <v>0</v>
      </c>
      <c r="CV32" s="29">
        <f t="shared" si="28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9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 t="shared" si="5"/>
        <v>0</v>
      </c>
      <c r="DQ32" s="41"/>
      <c r="DR32" s="41"/>
      <c r="DS32" s="41"/>
      <c r="DT32" s="41"/>
      <c r="DU32" s="42"/>
      <c r="DV32" s="39">
        <f t="shared" si="30"/>
        <v>0</v>
      </c>
      <c r="DW32" s="39">
        <f t="shared" si="31"/>
        <v>0</v>
      </c>
      <c r="DX32" s="40" t="b">
        <f t="shared" si="6"/>
        <v>0</v>
      </c>
      <c r="DZ32" s="29">
        <f t="shared" si="32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3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 t="shared" si="7"/>
        <v>0</v>
      </c>
      <c r="EU32" s="41"/>
      <c r="EV32" s="41"/>
      <c r="EW32" s="41"/>
      <c r="EX32" s="41"/>
      <c r="EY32" s="42"/>
      <c r="EZ32" s="39">
        <f t="shared" si="34"/>
        <v>0</v>
      </c>
      <c r="FA32" s="39">
        <f t="shared" si="35"/>
        <v>0</v>
      </c>
      <c r="FB32" s="40" t="b">
        <f t="shared" si="8"/>
        <v>0</v>
      </c>
      <c r="FD32" s="29">
        <f t="shared" si="36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7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 t="shared" si="9"/>
        <v>0</v>
      </c>
      <c r="FY32" s="41"/>
      <c r="FZ32" s="41"/>
      <c r="GA32" s="41"/>
      <c r="GB32" s="41"/>
      <c r="GC32" s="42"/>
      <c r="GD32" s="39">
        <f t="shared" si="38"/>
        <v>0</v>
      </c>
      <c r="GE32" s="39">
        <f t="shared" si="39"/>
        <v>0</v>
      </c>
      <c r="GF32" s="40" t="b">
        <f t="shared" si="10"/>
        <v>0</v>
      </c>
      <c r="GH32" s="29">
        <f t="shared" si="40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1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 t="shared" si="11"/>
        <v>0</v>
      </c>
      <c r="HC32" s="41"/>
      <c r="HD32" s="41"/>
      <c r="HE32" s="41"/>
      <c r="HF32" s="41"/>
      <c r="HG32" s="42"/>
      <c r="HH32" s="39">
        <f t="shared" si="42"/>
        <v>0</v>
      </c>
      <c r="HI32" s="39">
        <f t="shared" si="43"/>
        <v>0</v>
      </c>
      <c r="HJ32" s="40" t="b">
        <f t="shared" si="12"/>
        <v>0</v>
      </c>
      <c r="HL32" s="29">
        <f t="shared" si="44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5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 t="shared" si="13"/>
        <v>0</v>
      </c>
      <c r="IG32" s="41"/>
      <c r="IH32" s="41"/>
      <c r="II32" s="41"/>
      <c r="IJ32" s="41"/>
      <c r="IK32" s="42"/>
      <c r="IL32" s="39">
        <f t="shared" si="46"/>
        <v>0</v>
      </c>
      <c r="IM32" s="39">
        <f t="shared" si="47"/>
        <v>0</v>
      </c>
      <c r="IN32" s="40" t="b">
        <f t="shared" si="14"/>
        <v>0</v>
      </c>
    </row>
    <row r="33" spans="1:24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15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6"/>
        <v>0</v>
      </c>
      <c r="N33" s="29">
        <f>Buckets_9_23[[#This Row],[Capacity]]-Buckets_9_23[[#This Row],[After T]]</f>
        <v>-50.05</v>
      </c>
      <c r="O33" s="29">
        <f>MAX(-Buckets_9_23[[#This Row],[Cap Diff]], 0)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>OR(H33, Buckets_9_23[[#This Row],[After T]]&lt;0)</f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0"/>
        <v>0</v>
      </c>
      <c r="AE33" s="42"/>
      <c r="AF33" s="41"/>
      <c r="AG33" s="41"/>
      <c r="AH33" s="41"/>
      <c r="AI33" s="42"/>
      <c r="AJ33" s="39">
        <f t="shared" si="17"/>
        <v>0</v>
      </c>
      <c r="AK33" s="39">
        <f t="shared" si="18"/>
        <v>0</v>
      </c>
      <c r="AL33" s="40" t="b">
        <f t="shared" si="1"/>
        <v>0</v>
      </c>
      <c r="AN33" s="29">
        <f t="shared" si="19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20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 t="shared" si="21"/>
        <v>0</v>
      </c>
      <c r="BI33" s="42"/>
      <c r="BJ33" s="41"/>
      <c r="BK33" s="41"/>
      <c r="BL33" s="41"/>
      <c r="BM33" s="42"/>
      <c r="BN33" s="39">
        <f t="shared" si="22"/>
        <v>0</v>
      </c>
      <c r="BO33" s="39">
        <f t="shared" si="23"/>
        <v>0</v>
      </c>
      <c r="BP33" s="40" t="b">
        <f t="shared" si="2"/>
        <v>0</v>
      </c>
      <c r="BR33" s="29">
        <f t="shared" si="24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5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 t="shared" si="3"/>
        <v>0</v>
      </c>
      <c r="CM33" s="41"/>
      <c r="CN33" s="41"/>
      <c r="CO33" s="41"/>
      <c r="CP33" s="41"/>
      <c r="CQ33" s="42"/>
      <c r="CR33" s="39">
        <f t="shared" si="26"/>
        <v>0</v>
      </c>
      <c r="CS33" s="39">
        <f t="shared" si="27"/>
        <v>0</v>
      </c>
      <c r="CT33" s="40" t="b">
        <f t="shared" si="4"/>
        <v>0</v>
      </c>
      <c r="CV33" s="29">
        <f t="shared" si="28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9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 t="shared" si="5"/>
        <v>0</v>
      </c>
      <c r="DQ33" s="41"/>
      <c r="DR33" s="41"/>
      <c r="DS33" s="41"/>
      <c r="DT33" s="41"/>
      <c r="DU33" s="42"/>
      <c r="DV33" s="39">
        <f t="shared" si="30"/>
        <v>0</v>
      </c>
      <c r="DW33" s="39">
        <f t="shared" si="31"/>
        <v>0</v>
      </c>
      <c r="DX33" s="40" t="b">
        <f t="shared" si="6"/>
        <v>0</v>
      </c>
      <c r="DZ33" s="29">
        <f t="shared" si="32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3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 t="shared" si="7"/>
        <v>0</v>
      </c>
      <c r="EU33" s="41"/>
      <c r="EV33" s="41"/>
      <c r="EW33" s="41"/>
      <c r="EX33" s="41"/>
      <c r="EY33" s="42"/>
      <c r="EZ33" s="39">
        <f t="shared" si="34"/>
        <v>0</v>
      </c>
      <c r="FA33" s="39">
        <f t="shared" si="35"/>
        <v>0</v>
      </c>
      <c r="FB33" s="40" t="b">
        <f t="shared" si="8"/>
        <v>0</v>
      </c>
      <c r="FD33" s="29">
        <f t="shared" si="36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7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 t="shared" si="9"/>
        <v>0</v>
      </c>
      <c r="FY33" s="41"/>
      <c r="FZ33" s="41"/>
      <c r="GA33" s="41"/>
      <c r="GB33" s="41"/>
      <c r="GC33" s="42"/>
      <c r="GD33" s="39">
        <f t="shared" si="38"/>
        <v>0</v>
      </c>
      <c r="GE33" s="39">
        <f t="shared" si="39"/>
        <v>0</v>
      </c>
      <c r="GF33" s="40" t="b">
        <f t="shared" si="10"/>
        <v>0</v>
      </c>
      <c r="GH33" s="29">
        <f t="shared" si="40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1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 t="shared" si="11"/>
        <v>0</v>
      </c>
      <c r="HC33" s="41"/>
      <c r="HD33" s="41"/>
      <c r="HE33" s="41"/>
      <c r="HF33" s="41"/>
      <c r="HG33" s="42"/>
      <c r="HH33" s="39">
        <f t="shared" si="42"/>
        <v>0</v>
      </c>
      <c r="HI33" s="39">
        <f t="shared" si="43"/>
        <v>0</v>
      </c>
      <c r="HJ33" s="40" t="b">
        <f t="shared" si="12"/>
        <v>0</v>
      </c>
      <c r="HL33" s="29">
        <f t="shared" si="44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5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 t="shared" si="13"/>
        <v>0</v>
      </c>
      <c r="IG33" s="41"/>
      <c r="IH33" s="41"/>
      <c r="II33" s="41"/>
      <c r="IJ33" s="41"/>
      <c r="IK33" s="42"/>
      <c r="IL33" s="39">
        <f t="shared" si="46"/>
        <v>0</v>
      </c>
      <c r="IM33" s="39">
        <f t="shared" si="47"/>
        <v>0</v>
      </c>
      <c r="IN33" s="40" t="b">
        <f t="shared" si="14"/>
        <v>0</v>
      </c>
    </row>
    <row r="34" spans="1:24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15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6"/>
        <v>0</v>
      </c>
      <c r="N34" s="29">
        <f>Buckets_9_23[[#This Row],[Capacity]]-Buckets_9_23[[#This Row],[After T]]</f>
        <v>0</v>
      </c>
      <c r="O34" s="29">
        <f>MAX(-Buckets_9_23[[#This Row],[Cap Diff]], 0)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>OR(H34, Buckets_9_23[[#This Row],[After T]]&lt;0)</f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0"/>
        <v>0</v>
      </c>
      <c r="AE34" s="42"/>
      <c r="AF34" s="41"/>
      <c r="AG34" s="41"/>
      <c r="AH34" s="41"/>
      <c r="AI34" s="42"/>
      <c r="AJ34" s="39">
        <f t="shared" si="17"/>
        <v>0</v>
      </c>
      <c r="AK34" s="39">
        <f t="shared" si="18"/>
        <v>0</v>
      </c>
      <c r="AL34" s="40" t="b">
        <f t="shared" si="1"/>
        <v>0</v>
      </c>
      <c r="AN34" s="29">
        <f t="shared" si="19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20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 t="shared" si="21"/>
        <v>0</v>
      </c>
      <c r="BI34" s="42"/>
      <c r="BJ34" s="41"/>
      <c r="BK34" s="41"/>
      <c r="BL34" s="41"/>
      <c r="BM34" s="42"/>
      <c r="BN34" s="39">
        <f t="shared" si="22"/>
        <v>0</v>
      </c>
      <c r="BO34" s="39">
        <f t="shared" si="23"/>
        <v>0</v>
      </c>
      <c r="BP34" s="40" t="b">
        <f t="shared" si="2"/>
        <v>0</v>
      </c>
      <c r="BR34" s="29">
        <f t="shared" si="24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5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 t="shared" si="3"/>
        <v>0</v>
      </c>
      <c r="CM34" s="41"/>
      <c r="CN34" s="41"/>
      <c r="CO34" s="41"/>
      <c r="CP34" s="41"/>
      <c r="CQ34" s="42"/>
      <c r="CR34" s="39">
        <f t="shared" si="26"/>
        <v>0</v>
      </c>
      <c r="CS34" s="39">
        <f t="shared" si="27"/>
        <v>0</v>
      </c>
      <c r="CT34" s="40" t="b">
        <f t="shared" si="4"/>
        <v>0</v>
      </c>
      <c r="CV34" s="29">
        <f t="shared" si="28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9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 t="shared" si="5"/>
        <v>0</v>
      </c>
      <c r="DQ34" s="41"/>
      <c r="DR34" s="41"/>
      <c r="DS34" s="41"/>
      <c r="DT34" s="41"/>
      <c r="DU34" s="42"/>
      <c r="DV34" s="39">
        <f t="shared" si="30"/>
        <v>0</v>
      </c>
      <c r="DW34" s="39">
        <f t="shared" si="31"/>
        <v>0</v>
      </c>
      <c r="DX34" s="40" t="b">
        <f t="shared" si="6"/>
        <v>0</v>
      </c>
      <c r="DZ34" s="29">
        <f t="shared" si="32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3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 t="shared" si="7"/>
        <v>0</v>
      </c>
      <c r="EU34" s="41"/>
      <c r="EV34" s="41"/>
      <c r="EW34" s="41"/>
      <c r="EX34" s="41"/>
      <c r="EY34" s="42"/>
      <c r="EZ34" s="39">
        <f t="shared" si="34"/>
        <v>0</v>
      </c>
      <c r="FA34" s="39">
        <f t="shared" si="35"/>
        <v>0</v>
      </c>
      <c r="FB34" s="40" t="b">
        <f t="shared" si="8"/>
        <v>0</v>
      </c>
      <c r="FD34" s="29">
        <f t="shared" si="36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7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 t="shared" si="9"/>
        <v>0</v>
      </c>
      <c r="FY34" s="41"/>
      <c r="FZ34" s="41"/>
      <c r="GA34" s="41"/>
      <c r="GB34" s="41"/>
      <c r="GC34" s="42"/>
      <c r="GD34" s="39">
        <f t="shared" si="38"/>
        <v>0</v>
      </c>
      <c r="GE34" s="39">
        <f t="shared" si="39"/>
        <v>0</v>
      </c>
      <c r="GF34" s="40" t="b">
        <f t="shared" si="10"/>
        <v>0</v>
      </c>
      <c r="GH34" s="29">
        <f t="shared" si="40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1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 t="shared" si="11"/>
        <v>0</v>
      </c>
      <c r="HC34" s="41"/>
      <c r="HD34" s="41"/>
      <c r="HE34" s="41"/>
      <c r="HF34" s="41"/>
      <c r="HG34" s="42"/>
      <c r="HH34" s="39">
        <f t="shared" si="42"/>
        <v>0</v>
      </c>
      <c r="HI34" s="39">
        <f t="shared" si="43"/>
        <v>0</v>
      </c>
      <c r="HJ34" s="40" t="b">
        <f t="shared" si="12"/>
        <v>0</v>
      </c>
      <c r="HL34" s="29">
        <f t="shared" si="44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5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 t="shared" si="13"/>
        <v>0</v>
      </c>
      <c r="IG34" s="41"/>
      <c r="IH34" s="41"/>
      <c r="II34" s="41"/>
      <c r="IJ34" s="41"/>
      <c r="IK34" s="42"/>
      <c r="IL34" s="39">
        <f t="shared" si="46"/>
        <v>0</v>
      </c>
      <c r="IM34" s="39">
        <f t="shared" si="47"/>
        <v>0</v>
      </c>
      <c r="IN34" s="40" t="b">
        <f t="shared" si="14"/>
        <v>0</v>
      </c>
    </row>
    <row r="35" spans="1:24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15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6"/>
        <v>0</v>
      </c>
      <c r="N35" s="29">
        <f>Buckets_9_23[[#This Row],[Capacity]]-Buckets_9_23[[#This Row],[After T]]</f>
        <v>0</v>
      </c>
      <c r="O35" s="29">
        <f>MAX(-Buckets_9_23[[#This Row],[Cap Diff]], 0)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>OR(H35, Buckets_9_23[[#This Row],[After T]]&lt;0)</f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0"/>
        <v>0</v>
      </c>
      <c r="AE35" s="42"/>
      <c r="AF35" s="41"/>
      <c r="AG35" s="41"/>
      <c r="AH35" s="41"/>
      <c r="AI35" s="42"/>
      <c r="AJ35" s="39">
        <f t="shared" si="17"/>
        <v>0</v>
      </c>
      <c r="AK35" s="39">
        <f t="shared" si="18"/>
        <v>0</v>
      </c>
      <c r="AL35" s="40" t="b">
        <f t="shared" si="1"/>
        <v>0</v>
      </c>
      <c r="AN35" s="29">
        <f t="shared" si="19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20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 t="shared" si="21"/>
        <v>0</v>
      </c>
      <c r="BI35" s="42"/>
      <c r="BJ35" s="41"/>
      <c r="BK35" s="41"/>
      <c r="BL35" s="41"/>
      <c r="BM35" s="42"/>
      <c r="BN35" s="39">
        <f t="shared" si="22"/>
        <v>0</v>
      </c>
      <c r="BO35" s="39">
        <f t="shared" si="23"/>
        <v>0</v>
      </c>
      <c r="BP35" s="40" t="b">
        <f t="shared" si="2"/>
        <v>0</v>
      </c>
      <c r="BR35" s="29">
        <f t="shared" si="24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5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 t="shared" si="3"/>
        <v>0</v>
      </c>
      <c r="CM35" s="41"/>
      <c r="CN35" s="41"/>
      <c r="CO35" s="41"/>
      <c r="CP35" s="41"/>
      <c r="CQ35" s="42"/>
      <c r="CR35" s="39">
        <f t="shared" si="26"/>
        <v>0</v>
      </c>
      <c r="CS35" s="39">
        <f t="shared" si="27"/>
        <v>0</v>
      </c>
      <c r="CT35" s="40" t="b">
        <f t="shared" si="4"/>
        <v>0</v>
      </c>
      <c r="CV35" s="29">
        <f t="shared" si="28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9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 t="shared" si="5"/>
        <v>0</v>
      </c>
      <c r="DQ35" s="41"/>
      <c r="DR35" s="41"/>
      <c r="DS35" s="41"/>
      <c r="DT35" s="41"/>
      <c r="DU35" s="42"/>
      <c r="DV35" s="39">
        <f t="shared" si="30"/>
        <v>0</v>
      </c>
      <c r="DW35" s="39">
        <f t="shared" si="31"/>
        <v>0</v>
      </c>
      <c r="DX35" s="40" t="b">
        <f t="shared" si="6"/>
        <v>0</v>
      </c>
      <c r="DZ35" s="29">
        <f t="shared" si="32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3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 t="shared" si="7"/>
        <v>0</v>
      </c>
      <c r="EU35" s="41"/>
      <c r="EV35" s="41"/>
      <c r="EW35" s="41"/>
      <c r="EX35" s="41"/>
      <c r="EY35" s="42"/>
      <c r="EZ35" s="39">
        <f t="shared" si="34"/>
        <v>0</v>
      </c>
      <c r="FA35" s="39">
        <f t="shared" si="35"/>
        <v>0</v>
      </c>
      <c r="FB35" s="40" t="b">
        <f t="shared" si="8"/>
        <v>0</v>
      </c>
      <c r="FD35" s="29">
        <f t="shared" si="36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7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 t="shared" si="9"/>
        <v>0</v>
      </c>
      <c r="FY35" s="41"/>
      <c r="FZ35" s="41"/>
      <c r="GA35" s="41"/>
      <c r="GB35" s="41"/>
      <c r="GC35" s="42"/>
      <c r="GD35" s="39">
        <f t="shared" si="38"/>
        <v>0</v>
      </c>
      <c r="GE35" s="39">
        <f t="shared" si="39"/>
        <v>0</v>
      </c>
      <c r="GF35" s="40" t="b">
        <f t="shared" si="10"/>
        <v>0</v>
      </c>
      <c r="GH35" s="29">
        <f t="shared" si="40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1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 t="shared" si="11"/>
        <v>0</v>
      </c>
      <c r="HC35" s="41"/>
      <c r="HD35" s="41"/>
      <c r="HE35" s="41"/>
      <c r="HF35" s="41"/>
      <c r="HG35" s="42"/>
      <c r="HH35" s="39">
        <f t="shared" si="42"/>
        <v>0</v>
      </c>
      <c r="HI35" s="39">
        <f t="shared" si="43"/>
        <v>0</v>
      </c>
      <c r="HJ35" s="40" t="b">
        <f t="shared" si="12"/>
        <v>0</v>
      </c>
      <c r="HL35" s="29">
        <f t="shared" si="44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5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 t="shared" si="13"/>
        <v>0</v>
      </c>
      <c r="IG35" s="41"/>
      <c r="IH35" s="41"/>
      <c r="II35" s="41"/>
      <c r="IJ35" s="41"/>
      <c r="IK35" s="42"/>
      <c r="IL35" s="39">
        <f t="shared" si="46"/>
        <v>0</v>
      </c>
      <c r="IM35" s="39">
        <f t="shared" si="47"/>
        <v>0</v>
      </c>
      <c r="IN35" s="40" t="b">
        <f t="shared" si="14"/>
        <v>0</v>
      </c>
    </row>
    <row r="36" spans="1:24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983.34000000000128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1723.2199999999993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3444.9399999999996</v>
      </c>
      <c r="FF36" s="31">
        <f>SUBTOTAL(9, Buckets_2_24[After T])</f>
        <v>18464.259999999998</v>
      </c>
      <c r="FG36" s="31">
        <f>SUBTOTAL(9, Buckets_2_24[Capacity])</f>
        <v>18650</v>
      </c>
      <c r="FH36" s="31">
        <f>SUBTOTAL(9, Buckets_2_24[Cap Diff])</f>
        <v>185.74000000000092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21355.660000000003</v>
      </c>
      <c r="HO36" s="31">
        <f>SUBTOTAL(9, Buckets_4_24[Capacity])</f>
        <v>22250</v>
      </c>
      <c r="HP36" s="31">
        <f>SUBTOTAL(9, Buckets_4_24[Cap Diff])</f>
        <v>894.33999999999833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</row>
    <row r="38" spans="1:24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W44" t="s">
        <v>389</v>
      </c>
      <c r="Y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BA44" t="s">
        <v>389</v>
      </c>
      <c r="BC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E44" t="s">
        <v>389</v>
      </c>
      <c r="CG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I44" t="s">
        <v>389</v>
      </c>
      <c r="DK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M44" t="s">
        <v>389</v>
      </c>
      <c r="EO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Q44" t="s">
        <v>389</v>
      </c>
      <c r="FS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U44" t="s">
        <v>389</v>
      </c>
      <c r="GW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Y44" t="s">
        <v>389</v>
      </c>
      <c r="IA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</row>
  </sheetData>
  <mergeCells count="28">
    <mergeCell ref="IL2:IN2"/>
    <mergeCell ref="GZ2:HB2"/>
    <mergeCell ref="HC2:HG2"/>
    <mergeCell ref="HH2:HJ2"/>
    <mergeCell ref="ID2:IF2"/>
    <mergeCell ref="IG2:IK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EU2:EY2"/>
    <mergeCell ref="ER2:ET2"/>
    <mergeCell ref="AE2:AI2"/>
    <mergeCell ref="BI2:BM2"/>
    <mergeCell ref="CM2:CQ2"/>
    <mergeCell ref="DQ2:DU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2024-07-13T22:53:47Z</dcterms:modified>
</cp:coreProperties>
</file>