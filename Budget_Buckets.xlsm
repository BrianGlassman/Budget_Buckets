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823F6BB2-5D7B-4D6A-8A0B-6F35F671AA6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F4" i="4" l="1"/>
  <c r="IF5" i="4"/>
  <c r="IF6" i="4"/>
  <c r="IF7" i="4"/>
  <c r="IF8" i="4"/>
  <c r="IF9" i="4"/>
  <c r="IF10" i="4"/>
  <c r="IF11" i="4"/>
  <c r="IF12" i="4"/>
  <c r="IF13" i="4"/>
  <c r="IF14" i="4"/>
  <c r="IF15" i="4"/>
  <c r="IF16" i="4"/>
  <c r="IF17" i="4"/>
  <c r="IF18" i="4"/>
  <c r="IF19" i="4"/>
  <c r="IF20" i="4"/>
  <c r="IF21" i="4"/>
  <c r="IF22" i="4"/>
  <c r="IF23" i="4"/>
  <c r="IF24" i="4"/>
  <c r="IF25" i="4"/>
  <c r="IF26" i="4"/>
  <c r="IF27" i="4"/>
  <c r="IF28" i="4"/>
  <c r="IF29" i="4"/>
  <c r="IF30" i="4"/>
  <c r="IF31" i="4"/>
  <c r="IF32" i="4"/>
  <c r="IF33" i="4"/>
  <c r="IF34" i="4"/>
  <c r="IF35" i="4"/>
  <c r="HA4" i="4"/>
  <c r="HA5" i="4"/>
  <c r="HA6" i="4"/>
  <c r="HA7" i="4"/>
  <c r="HA8" i="4"/>
  <c r="HA9" i="4"/>
  <c r="HA10" i="4"/>
  <c r="HA11" i="4"/>
  <c r="HA12" i="4"/>
  <c r="HA13" i="4"/>
  <c r="HA14" i="4"/>
  <c r="HA15" i="4"/>
  <c r="HA16" i="4"/>
  <c r="HA17" i="4"/>
  <c r="HA18" i="4"/>
  <c r="HA19" i="4"/>
  <c r="HA20" i="4"/>
  <c r="HA21" i="4"/>
  <c r="HA22" i="4"/>
  <c r="HA23" i="4"/>
  <c r="HA24" i="4"/>
  <c r="HA25" i="4"/>
  <c r="HA26" i="4"/>
  <c r="HA27" i="4"/>
  <c r="HA28" i="4"/>
  <c r="HA29" i="4"/>
  <c r="HA30" i="4"/>
  <c r="HA31" i="4"/>
  <c r="HA32" i="4"/>
  <c r="HA33" i="4"/>
  <c r="HA34" i="4"/>
  <c r="HA35" i="4"/>
  <c r="FV4" i="4"/>
  <c r="FV5" i="4"/>
  <c r="FV6" i="4"/>
  <c r="FV7" i="4"/>
  <c r="FV8" i="4"/>
  <c r="FV9" i="4"/>
  <c r="FV10" i="4"/>
  <c r="FV11" i="4"/>
  <c r="FV12" i="4"/>
  <c r="FV13" i="4"/>
  <c r="FV14" i="4"/>
  <c r="FV15" i="4"/>
  <c r="FV16" i="4"/>
  <c r="FV17" i="4"/>
  <c r="FV18" i="4"/>
  <c r="FV19" i="4"/>
  <c r="FV20" i="4"/>
  <c r="FV21" i="4"/>
  <c r="FV22" i="4"/>
  <c r="FV23" i="4"/>
  <c r="FV24" i="4"/>
  <c r="FV25" i="4"/>
  <c r="FV26" i="4"/>
  <c r="FV27" i="4"/>
  <c r="FV28" i="4"/>
  <c r="FV29" i="4"/>
  <c r="FV30" i="4"/>
  <c r="FV31" i="4"/>
  <c r="FV32" i="4"/>
  <c r="FV33" i="4"/>
  <c r="FV34" i="4"/>
  <c r="FV35" i="4"/>
  <c r="EQ4" i="4"/>
  <c r="EQ5" i="4"/>
  <c r="EQ6" i="4"/>
  <c r="EQ7" i="4"/>
  <c r="EQ8" i="4"/>
  <c r="EQ9" i="4"/>
  <c r="EQ10" i="4"/>
  <c r="EQ11" i="4"/>
  <c r="EQ12" i="4"/>
  <c r="EQ13" i="4"/>
  <c r="EQ14" i="4"/>
  <c r="EQ15" i="4"/>
  <c r="EQ16" i="4"/>
  <c r="EQ17" i="4"/>
  <c r="EQ18" i="4"/>
  <c r="EQ19" i="4"/>
  <c r="EQ20" i="4"/>
  <c r="EQ21" i="4"/>
  <c r="EQ22" i="4"/>
  <c r="EQ23" i="4"/>
  <c r="EQ24" i="4"/>
  <c r="EQ25" i="4"/>
  <c r="EQ26" i="4"/>
  <c r="EQ27" i="4"/>
  <c r="EQ28" i="4"/>
  <c r="EQ29" i="4"/>
  <c r="EQ30" i="4"/>
  <c r="EQ31" i="4"/>
  <c r="EQ32" i="4"/>
  <c r="EQ33" i="4"/>
  <c r="EQ34" i="4"/>
  <c r="EQ35" i="4"/>
  <c r="DL5" i="4"/>
  <c r="DL4" i="4"/>
  <c r="DL6" i="4"/>
  <c r="DL7" i="4"/>
  <c r="DL8" i="4"/>
  <c r="DL9" i="4"/>
  <c r="DL10" i="4"/>
  <c r="DL11" i="4"/>
  <c r="DL12" i="4"/>
  <c r="DL13" i="4"/>
  <c r="DL14" i="4"/>
  <c r="DL15" i="4"/>
  <c r="DL16" i="4"/>
  <c r="DL17" i="4"/>
  <c r="DL18" i="4"/>
  <c r="DL19" i="4"/>
  <c r="DL20" i="4"/>
  <c r="DL21" i="4"/>
  <c r="DL22" i="4"/>
  <c r="DL23" i="4"/>
  <c r="DL24" i="4"/>
  <c r="DL25" i="4"/>
  <c r="DL26" i="4"/>
  <c r="DL27" i="4"/>
  <c r="DL28" i="4"/>
  <c r="DL29" i="4"/>
  <c r="DL30" i="4"/>
  <c r="DL31" i="4"/>
  <c r="DL32" i="4"/>
  <c r="DL33" i="4"/>
  <c r="DL34" i="4"/>
  <c r="DL35" i="4"/>
  <c r="DK36" i="4"/>
  <c r="CG4" i="4"/>
  <c r="CG5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F36" i="4"/>
  <c r="BA36" i="4"/>
  <c r="BB4" i="4"/>
  <c r="BB5" i="4"/>
  <c r="BB6" i="4"/>
  <c r="BB7" i="4"/>
  <c r="BB8" i="4"/>
  <c r="BB9" i="4"/>
  <c r="BB10" i="4"/>
  <c r="BB11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W4" i="4"/>
  <c r="AL21" i="4"/>
  <c r="CV21" i="4"/>
  <c r="CV20" i="4"/>
  <c r="CV18" i="4"/>
  <c r="CV17" i="4"/>
  <c r="CV12" i="4"/>
  <c r="CV11" i="4"/>
  <c r="CV10" i="4"/>
  <c r="CV9" i="4"/>
  <c r="FF25" i="4"/>
  <c r="GK26" i="4"/>
  <c r="GK20" i="4"/>
  <c r="GK13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L25" i="4"/>
  <c r="FF4" i="4"/>
  <c r="FL4" i="4" s="1"/>
  <c r="GC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E35" i="4"/>
  <c r="AE34" i="4"/>
  <c r="AM34" i="4" s="1"/>
  <c r="BJ34" i="4" s="1"/>
  <c r="BR34" i="4" s="1"/>
  <c r="AE33" i="4"/>
  <c r="AM33" i="4" s="1"/>
  <c r="BJ33" i="4" s="1"/>
  <c r="BR33" i="4" s="1"/>
  <c r="AE32" i="4"/>
  <c r="AE31" i="4"/>
  <c r="AE30" i="4"/>
  <c r="AM30" i="4" s="1"/>
  <c r="AE29" i="4"/>
  <c r="AM29" i="4" s="1"/>
  <c r="AE28" i="4"/>
  <c r="AM28" i="4" s="1"/>
  <c r="AE27" i="4"/>
  <c r="AE26" i="4"/>
  <c r="AM26" i="4" s="1"/>
  <c r="BJ26" i="4" s="1"/>
  <c r="BR26" i="4" s="1"/>
  <c r="AE25" i="4"/>
  <c r="AE24" i="4"/>
  <c r="AE23" i="4"/>
  <c r="AE22" i="4"/>
  <c r="AM22" i="4" s="1"/>
  <c r="AE21" i="4"/>
  <c r="AM21" i="4" s="1"/>
  <c r="AE20" i="4"/>
  <c r="AM20" i="4" s="1"/>
  <c r="AE19" i="4"/>
  <c r="AE18" i="4"/>
  <c r="AM18" i="4" s="1"/>
  <c r="BJ18" i="4" s="1"/>
  <c r="BR18" i="4" s="1"/>
  <c r="AE17" i="4"/>
  <c r="AE16" i="4"/>
  <c r="AE15" i="4"/>
  <c r="AE14" i="4"/>
  <c r="AM14" i="4" s="1"/>
  <c r="AE13" i="4"/>
  <c r="AM13" i="4" s="1"/>
  <c r="AE12" i="4"/>
  <c r="AM12" i="4" s="1"/>
  <c r="AE11" i="4"/>
  <c r="AE10" i="4"/>
  <c r="AM10" i="4" s="1"/>
  <c r="BJ10" i="4" s="1"/>
  <c r="BR10" i="4" s="1"/>
  <c r="AE9" i="4"/>
  <c r="AE8" i="4"/>
  <c r="AE7" i="4"/>
  <c r="AE6" i="4"/>
  <c r="AM6" i="4" s="1"/>
  <c r="AE5" i="4"/>
  <c r="AM5" i="4" s="1"/>
  <c r="AE4" i="4"/>
  <c r="AM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W6" i="4"/>
  <c r="DT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W15" i="4"/>
  <c r="DT15" i="4" s="1"/>
  <c r="DB11" i="4"/>
  <c r="DS11" i="4" s="1"/>
  <c r="EA11" i="4" s="1"/>
  <c r="DB10" i="4"/>
  <c r="DS10" i="4" s="1"/>
  <c r="EA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F36" i="4"/>
  <c r="G36" i="4"/>
  <c r="M35" i="4"/>
  <c r="AA35" i="4" s="1"/>
  <c r="M34" i="4"/>
  <c r="AA34" i="4" s="1"/>
  <c r="M33" i="4"/>
  <c r="AA33" i="4" s="1"/>
  <c r="M32" i="4"/>
  <c r="AA32" i="4" s="1"/>
  <c r="M31" i="4"/>
  <c r="AA31" i="4" s="1"/>
  <c r="M30" i="4"/>
  <c r="AD30" i="4" s="1"/>
  <c r="AL30" i="4" s="1"/>
  <c r="M29" i="4"/>
  <c r="AD29" i="4" s="1"/>
  <c r="AL29" i="4" s="1"/>
  <c r="M28" i="4"/>
  <c r="AD28" i="4" s="1"/>
  <c r="AL28" i="4" s="1"/>
  <c r="M27" i="4"/>
  <c r="AD27" i="4" s="1"/>
  <c r="AL27" i="4" s="1"/>
  <c r="M26" i="4"/>
  <c r="AD26" i="4" s="1"/>
  <c r="AL26" i="4" s="1"/>
  <c r="M25" i="4"/>
  <c r="AD25" i="4" s="1"/>
  <c r="AI25" i="4" s="1"/>
  <c r="AL25" i="4" s="1"/>
  <c r="M24" i="4"/>
  <c r="AD24" i="4" s="1"/>
  <c r="AL24" i="4" s="1"/>
  <c r="M23" i="4"/>
  <c r="AA23" i="4" s="1"/>
  <c r="M22" i="4"/>
  <c r="AA22" i="4" s="1"/>
  <c r="M21" i="4"/>
  <c r="AD21" i="4" s="1"/>
  <c r="M20" i="4"/>
  <c r="AD20" i="4" s="1"/>
  <c r="AL20" i="4" s="1"/>
  <c r="M19" i="4"/>
  <c r="AD19" i="4" s="1"/>
  <c r="AL19" i="4" s="1"/>
  <c r="M18" i="4"/>
  <c r="AD18" i="4" s="1"/>
  <c r="AL18" i="4" s="1"/>
  <c r="M17" i="4"/>
  <c r="AD17" i="4" s="1"/>
  <c r="AL17" i="4" s="1"/>
  <c r="M16" i="4"/>
  <c r="AD16" i="4" s="1"/>
  <c r="AL16" i="4" s="1"/>
  <c r="M15" i="4"/>
  <c r="M14" i="4"/>
  <c r="M13" i="4"/>
  <c r="AD13" i="4" s="1"/>
  <c r="AL13" i="4" s="1"/>
  <c r="M12" i="4"/>
  <c r="AD12" i="4" s="1"/>
  <c r="AL12" i="4" s="1"/>
  <c r="M11" i="4"/>
  <c r="AD11" i="4" s="1"/>
  <c r="AL11" i="4" s="1"/>
  <c r="M10" i="4"/>
  <c r="AD10" i="4" s="1"/>
  <c r="AL10" i="4" s="1"/>
  <c r="M9" i="4"/>
  <c r="AD9" i="4" s="1"/>
  <c r="AL9" i="4" s="1"/>
  <c r="M8" i="4"/>
  <c r="AD8" i="4" s="1"/>
  <c r="AL8" i="4" s="1"/>
  <c r="M7" i="4"/>
  <c r="AD7" i="4" s="1"/>
  <c r="AL7" i="4" s="1"/>
  <c r="M6" i="4"/>
  <c r="M5" i="4"/>
  <c r="AD5" i="4" s="1"/>
  <c r="M4" i="4"/>
  <c r="AD4" i="4" s="1"/>
  <c r="AL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GO7" i="4"/>
  <c r="EE14" i="4"/>
  <c r="HT4" i="4"/>
  <c r="FJ7" i="4"/>
  <c r="AL5" i="4" l="1"/>
  <c r="AR5" i="4" s="1"/>
  <c r="BI5" i="4" s="1"/>
  <c r="AD32" i="4"/>
  <c r="AL32" i="4" s="1"/>
  <c r="AR32" i="4" s="1"/>
  <c r="BI32" i="4" s="1"/>
  <c r="BQ32" i="4" s="1"/>
  <c r="AD33" i="4"/>
  <c r="AL33" i="4" s="1"/>
  <c r="BJ28" i="4"/>
  <c r="BR28" i="4" s="1"/>
  <c r="AD34" i="4"/>
  <c r="AL34" i="4" s="1"/>
  <c r="AR34" i="4" s="1"/>
  <c r="BI34" i="4" s="1"/>
  <c r="BQ34" i="4" s="1"/>
  <c r="BJ4" i="4"/>
  <c r="BR4" i="4" s="1"/>
  <c r="AD35" i="4"/>
  <c r="AL35" i="4" s="1"/>
  <c r="AR35" i="4" s="1"/>
  <c r="AM7" i="4"/>
  <c r="BJ7" i="4" s="1"/>
  <c r="BR7" i="4" s="1"/>
  <c r="AM15" i="4"/>
  <c r="BJ15" i="4" s="1"/>
  <c r="BR15" i="4" s="1"/>
  <c r="AM23" i="4"/>
  <c r="BJ23" i="4" s="1"/>
  <c r="BR23" i="4" s="1"/>
  <c r="AM31" i="4"/>
  <c r="BJ31" i="4" s="1"/>
  <c r="BR31" i="4" s="1"/>
  <c r="BJ12" i="4"/>
  <c r="BR12" i="4" s="1"/>
  <c r="AM8" i="4"/>
  <c r="BJ8" i="4" s="1"/>
  <c r="BR8" i="4" s="1"/>
  <c r="AM16" i="4"/>
  <c r="BJ16" i="4" s="1"/>
  <c r="BR16" i="4" s="1"/>
  <c r="AM24" i="4"/>
  <c r="BJ24" i="4" s="1"/>
  <c r="BR24" i="4" s="1"/>
  <c r="AM32" i="4"/>
  <c r="BJ32" i="4" s="1"/>
  <c r="BR32" i="4" s="1"/>
  <c r="AM9" i="4"/>
  <c r="BJ9" i="4" s="1"/>
  <c r="BR9" i="4" s="1"/>
  <c r="AM17" i="4"/>
  <c r="BJ17" i="4" s="1"/>
  <c r="BR17" i="4" s="1"/>
  <c r="AM25" i="4"/>
  <c r="BJ25" i="4" s="1"/>
  <c r="BR25" i="4" s="1"/>
  <c r="BJ20" i="4"/>
  <c r="BR20" i="4" s="1"/>
  <c r="AD6" i="4"/>
  <c r="AL6" i="4" s="1"/>
  <c r="AR6" i="4" s="1"/>
  <c r="BI6" i="4" s="1"/>
  <c r="BQ6" i="4" s="1"/>
  <c r="BW6" i="4" s="1"/>
  <c r="CN6" i="4" s="1"/>
  <c r="AD14" i="4"/>
  <c r="AL14" i="4" s="1"/>
  <c r="AR14" i="4" s="1"/>
  <c r="BI14" i="4" s="1"/>
  <c r="BQ14" i="4" s="1"/>
  <c r="BW14" i="4" s="1"/>
  <c r="CN14" i="4" s="1"/>
  <c r="CS14" i="4" s="1"/>
  <c r="CV14" i="4" s="1"/>
  <c r="AD22" i="4"/>
  <c r="AL22" i="4" s="1"/>
  <c r="AR22" i="4" s="1"/>
  <c r="BI22" i="4" s="1"/>
  <c r="BQ22" i="4" s="1"/>
  <c r="BJ6" i="4"/>
  <c r="BR6" i="4" s="1"/>
  <c r="BJ14" i="4"/>
  <c r="BR14" i="4" s="1"/>
  <c r="BJ22" i="4"/>
  <c r="BR22" i="4" s="1"/>
  <c r="BJ30" i="4"/>
  <c r="BR30" i="4" s="1"/>
  <c r="AD15" i="4"/>
  <c r="AL15" i="4" s="1"/>
  <c r="AR15" i="4" s="1"/>
  <c r="BI15" i="4" s="1"/>
  <c r="BQ15" i="4" s="1"/>
  <c r="BW15" i="4" s="1"/>
  <c r="CN15" i="4" s="1"/>
  <c r="CV15" i="4" s="1"/>
  <c r="AD23" i="4"/>
  <c r="AL23" i="4" s="1"/>
  <c r="AR23" i="4" s="1"/>
  <c r="BI23" i="4" s="1"/>
  <c r="BQ23" i="4" s="1"/>
  <c r="AD31" i="4"/>
  <c r="AL31" i="4" s="1"/>
  <c r="AR31" i="4" s="1"/>
  <c r="BI31" i="4" s="1"/>
  <c r="BQ31" i="4" s="1"/>
  <c r="AM11" i="4"/>
  <c r="BJ11" i="4" s="1"/>
  <c r="BR11" i="4" s="1"/>
  <c r="AM19" i="4"/>
  <c r="BJ19" i="4" s="1"/>
  <c r="BR19" i="4" s="1"/>
  <c r="AM27" i="4"/>
  <c r="BJ27" i="4" s="1"/>
  <c r="BR27" i="4" s="1"/>
  <c r="AM35" i="4"/>
  <c r="BJ35" i="4" s="1"/>
  <c r="BR35" i="4" s="1"/>
  <c r="BJ5" i="4"/>
  <c r="BR5" i="4" s="1"/>
  <c r="BJ13" i="4"/>
  <c r="BR13" i="4" s="1"/>
  <c r="BJ21" i="4"/>
  <c r="BR21" i="4" s="1"/>
  <c r="BJ29" i="4"/>
  <c r="BR29" i="4" s="1"/>
  <c r="AR21" i="4"/>
  <c r="BI21" i="4" s="1"/>
  <c r="BQ21" i="4" s="1"/>
  <c r="BW21" i="4" s="1"/>
  <c r="EG11" i="4"/>
  <c r="EX11" i="4" s="1"/>
  <c r="FF11" i="4" s="1"/>
  <c r="FL11" i="4" s="1"/>
  <c r="GC11" i="4" s="1"/>
  <c r="EG10" i="4"/>
  <c r="EX10" i="4" s="1"/>
  <c r="FF10" i="4" s="1"/>
  <c r="FL10" i="4" s="1"/>
  <c r="GC10" i="4" s="1"/>
  <c r="GK10" i="4" s="1"/>
  <c r="GQ10" i="4" s="1"/>
  <c r="HH10" i="4" s="1"/>
  <c r="HP10" i="4" s="1"/>
  <c r="HV10" i="4" s="1"/>
  <c r="IM10" i="4" s="1"/>
  <c r="IU10" i="4" s="1"/>
  <c r="AR26" i="4"/>
  <c r="BI26" i="4" s="1"/>
  <c r="BQ26" i="4" s="1"/>
  <c r="AR18" i="4"/>
  <c r="BI18" i="4" s="1"/>
  <c r="BQ18" i="4" s="1"/>
  <c r="AR10" i="4"/>
  <c r="BI10" i="4" s="1"/>
  <c r="BQ10" i="4" s="1"/>
  <c r="AR30" i="4"/>
  <c r="BI30" i="4" s="1"/>
  <c r="BQ30" i="4" s="1"/>
  <c r="AR11" i="4"/>
  <c r="BI11" i="4" s="1"/>
  <c r="AR19" i="4"/>
  <c r="BI19" i="4" s="1"/>
  <c r="BQ19" i="4" s="1"/>
  <c r="AR27" i="4"/>
  <c r="BI27" i="4" s="1"/>
  <c r="BQ27" i="4" s="1"/>
  <c r="AR7" i="4"/>
  <c r="BI7" i="4" s="1"/>
  <c r="AR13" i="4"/>
  <c r="BI13" i="4" s="1"/>
  <c r="BQ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K4" i="4"/>
  <c r="GQ4" i="4" s="1"/>
  <c r="HH4" i="4" s="1"/>
  <c r="GC25" i="4"/>
  <c r="AD5" i="6"/>
  <c r="AD4" i="6"/>
  <c r="AD3" i="6"/>
  <c r="AE4" i="6"/>
  <c r="AR9" i="4"/>
  <c r="BI9" i="4" s="1"/>
  <c r="AR17" i="4"/>
  <c r="AR29" i="4"/>
  <c r="EB15" i="4"/>
  <c r="EY15" i="4" s="1"/>
  <c r="FG15" i="4" s="1"/>
  <c r="GD15" i="4" s="1"/>
  <c r="GL15" i="4" s="1"/>
  <c r="HI15" i="4" s="1"/>
  <c r="HQ15" i="4" s="1"/>
  <c r="IN15" i="4" s="1"/>
  <c r="IV15" i="4" s="1"/>
  <c r="EB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DB17" i="4"/>
  <c r="DS17" i="4" s="1"/>
  <c r="EA17" i="4" s="1"/>
  <c r="AR8" i="4"/>
  <c r="BI8" i="4" s="1"/>
  <c r="AR16" i="4"/>
  <c r="AR25" i="4"/>
  <c r="BI25" i="4" s="1"/>
  <c r="DB9" i="4"/>
  <c r="DS9" i="4" s="1"/>
  <c r="J36" i="4"/>
  <c r="J45" i="4" s="1"/>
  <c r="DB18" i="4"/>
  <c r="DS18" i="4" s="1"/>
  <c r="EA18" i="4" s="1"/>
  <c r="AR12" i="4"/>
  <c r="AR20" i="4"/>
  <c r="AR28" i="4"/>
  <c r="AR24" i="4"/>
  <c r="M36" i="4"/>
  <c r="AA24" i="4"/>
  <c r="AR33" i="4"/>
  <c r="EE17" i="4"/>
  <c r="GO26" i="4"/>
  <c r="FJ11" i="4"/>
  <c r="EE10" i="4"/>
  <c r="FJ6" i="4"/>
  <c r="HT19" i="4"/>
  <c r="FJ8" i="4"/>
  <c r="GO15" i="4"/>
  <c r="FJ31" i="4"/>
  <c r="GO12" i="4"/>
  <c r="EE23" i="4"/>
  <c r="HT15" i="4"/>
  <c r="HT20" i="4"/>
  <c r="EE20" i="4"/>
  <c r="GO20" i="4"/>
  <c r="FJ16" i="4"/>
  <c r="EE7" i="4"/>
  <c r="FJ29" i="4"/>
  <c r="EE27" i="4"/>
  <c r="GO17" i="4"/>
  <c r="FJ18" i="4"/>
  <c r="HT7" i="4"/>
  <c r="EE5" i="4"/>
  <c r="GO23" i="4"/>
  <c r="GO10" i="4"/>
  <c r="FJ17" i="4"/>
  <c r="HT25" i="4"/>
  <c r="FJ24" i="4"/>
  <c r="EE34" i="4"/>
  <c r="GO21" i="4"/>
  <c r="EE9" i="4"/>
  <c r="FJ21" i="4"/>
  <c r="HT26" i="4"/>
  <c r="FJ33" i="4"/>
  <c r="HT24" i="4"/>
  <c r="EE24" i="4"/>
  <c r="FJ30" i="4"/>
  <c r="FJ5" i="4"/>
  <c r="EE13" i="4"/>
  <c r="FJ22" i="4"/>
  <c r="HT28" i="4"/>
  <c r="EE29" i="4"/>
  <c r="EE25" i="4"/>
  <c r="EE30" i="4"/>
  <c r="HT16" i="4"/>
  <c r="HT35" i="4"/>
  <c r="GO24" i="4"/>
  <c r="HT33" i="4"/>
  <c r="FJ26" i="4"/>
  <c r="FJ4" i="4"/>
  <c r="EE4" i="4"/>
  <c r="HT12" i="4"/>
  <c r="FJ19" i="4"/>
  <c r="HT6" i="4"/>
  <c r="GO31" i="4"/>
  <c r="FJ14" i="4"/>
  <c r="HT31" i="4"/>
  <c r="GO13" i="4"/>
  <c r="GO8" i="4"/>
  <c r="HT23" i="4"/>
  <c r="EE8" i="4"/>
  <c r="GO25" i="4"/>
  <c r="EE28" i="4"/>
  <c r="EE6" i="4"/>
  <c r="HT11" i="4"/>
  <c r="GO32" i="4"/>
  <c r="GO11" i="4"/>
  <c r="GO19" i="4"/>
  <c r="EE21" i="4"/>
  <c r="EE35" i="4"/>
  <c r="GO18" i="4"/>
  <c r="FJ9" i="4"/>
  <c r="HT22" i="4"/>
  <c r="FJ10" i="4"/>
  <c r="HT8" i="4"/>
  <c r="GO14" i="4"/>
  <c r="HT30" i="4"/>
  <c r="HT29" i="4"/>
  <c r="GO35" i="4"/>
  <c r="FJ28" i="4"/>
  <c r="HT27" i="4"/>
  <c r="GO27" i="4"/>
  <c r="GO4" i="4"/>
  <c r="FJ27" i="4"/>
  <c r="GO16" i="4"/>
  <c r="EE19" i="4"/>
  <c r="FJ35" i="4"/>
  <c r="FJ34" i="4"/>
  <c r="HT21" i="4"/>
  <c r="FJ25" i="4"/>
  <c r="EE33" i="4"/>
  <c r="FJ13" i="4"/>
  <c r="HT34" i="4"/>
  <c r="GO9" i="4"/>
  <c r="HT17" i="4"/>
  <c r="HT14" i="4"/>
  <c r="GO34" i="4"/>
  <c r="GO33" i="4"/>
  <c r="FJ32" i="4"/>
  <c r="EE11" i="4"/>
  <c r="EE16" i="4"/>
  <c r="GO28" i="4"/>
  <c r="EE26" i="4"/>
  <c r="EE12" i="4"/>
  <c r="EE18" i="4"/>
  <c r="EE15" i="4"/>
  <c r="FJ20" i="4"/>
  <c r="HT32" i="4"/>
  <c r="FJ12" i="4"/>
  <c r="HT9" i="4"/>
  <c r="GO29" i="4"/>
  <c r="GO22" i="4"/>
  <c r="GO5" i="4"/>
  <c r="EE22" i="4"/>
  <c r="GO30" i="4"/>
  <c r="HT13" i="4"/>
  <c r="FJ15" i="4"/>
  <c r="EE31" i="4"/>
  <c r="HT10" i="4"/>
  <c r="HT5" i="4"/>
  <c r="FJ23" i="4"/>
  <c r="EE32" i="4"/>
  <c r="GO6" i="4"/>
  <c r="HT18" i="4"/>
  <c r="AD36" i="4" l="1"/>
  <c r="BQ11" i="4"/>
  <c r="BW11" i="4" s="1"/>
  <c r="CN11" i="4" s="1"/>
  <c r="BQ5" i="4"/>
  <c r="BW5" i="4" s="1"/>
  <c r="CN5" i="4" s="1"/>
  <c r="CV5" i="4" s="1"/>
  <c r="DB5" i="4" s="1"/>
  <c r="DS5" i="4" s="1"/>
  <c r="EA5" i="4" s="1"/>
  <c r="EG5" i="4" s="1"/>
  <c r="EX5" i="4" s="1"/>
  <c r="FF5" i="4" s="1"/>
  <c r="FL5" i="4" s="1"/>
  <c r="GC5" i="4" s="1"/>
  <c r="GK5" i="4" s="1"/>
  <c r="GQ5" i="4" s="1"/>
  <c r="HH5" i="4" s="1"/>
  <c r="HP5" i="4" s="1"/>
  <c r="HV5" i="4" s="1"/>
  <c r="IM5" i="4" s="1"/>
  <c r="IU5" i="4" s="1"/>
  <c r="BQ8" i="4"/>
  <c r="BW8" i="4" s="1"/>
  <c r="CN8" i="4" s="1"/>
  <c r="CV8" i="4" s="1"/>
  <c r="DB8" i="4" s="1"/>
  <c r="DS8" i="4" s="1"/>
  <c r="EA8" i="4" s="1"/>
  <c r="EG8" i="4" s="1"/>
  <c r="EX8" i="4" s="1"/>
  <c r="FF8" i="4" s="1"/>
  <c r="FL8" i="4" s="1"/>
  <c r="GC8" i="4" s="1"/>
  <c r="GK8" i="4" s="1"/>
  <c r="GQ8" i="4" s="1"/>
  <c r="HH8" i="4" s="1"/>
  <c r="HP8" i="4" s="1"/>
  <c r="HV8" i="4" s="1"/>
  <c r="IM8" i="4" s="1"/>
  <c r="IU8" i="4" s="1"/>
  <c r="BQ9" i="4"/>
  <c r="BW9" i="4" s="1"/>
  <c r="CN9" i="4" s="1"/>
  <c r="BQ7" i="4"/>
  <c r="BW7" i="4" s="1"/>
  <c r="CN7" i="4" s="1"/>
  <c r="CV7" i="4" s="1"/>
  <c r="DB7" i="4" s="1"/>
  <c r="DS7" i="4" s="1"/>
  <c r="EA7" i="4" s="1"/>
  <c r="EG7" i="4" s="1"/>
  <c r="EX7" i="4" s="1"/>
  <c r="FF7" i="4" s="1"/>
  <c r="FL7" i="4" s="1"/>
  <c r="GC7" i="4" s="1"/>
  <c r="GK7" i="4" s="1"/>
  <c r="GQ7" i="4" s="1"/>
  <c r="HH7" i="4" s="1"/>
  <c r="HP7" i="4" s="1"/>
  <c r="HV7" i="4" s="1"/>
  <c r="IM7" i="4" s="1"/>
  <c r="IU7" i="4" s="1"/>
  <c r="CV6" i="4"/>
  <c r="DB6" i="4" s="1"/>
  <c r="DS6" i="4" s="1"/>
  <c r="EA6" i="4" s="1"/>
  <c r="EG6" i="4" s="1"/>
  <c r="EX6" i="4" s="1"/>
  <c r="FF6" i="4" s="1"/>
  <c r="FL6" i="4" s="1"/>
  <c r="GC6" i="4" s="1"/>
  <c r="GK6" i="4" s="1"/>
  <c r="GQ6" i="4" s="1"/>
  <c r="HH6" i="4" s="1"/>
  <c r="HP6" i="4" s="1"/>
  <c r="HV6" i="4" s="1"/>
  <c r="IM6" i="4" s="1"/>
  <c r="IU6" i="4" s="1"/>
  <c r="EA9" i="4"/>
  <c r="EG9" i="4" s="1"/>
  <c r="EX9" i="4" s="1"/>
  <c r="FF9" i="4" s="1"/>
  <c r="FL9" i="4" s="1"/>
  <c r="GC9" i="4" s="1"/>
  <c r="GK9" i="4" s="1"/>
  <c r="GQ9" i="4" s="1"/>
  <c r="HH9" i="4" s="1"/>
  <c r="HP9" i="4" s="1"/>
  <c r="HV9" i="4" s="1"/>
  <c r="IM9" i="4" s="1"/>
  <c r="IU9" i="4" s="1"/>
  <c r="BW19" i="4"/>
  <c r="CN19" i="4" s="1"/>
  <c r="BW13" i="4"/>
  <c r="CN13" i="4" s="1"/>
  <c r="CV13" i="4" s="1"/>
  <c r="BW10" i="4"/>
  <c r="CN10" i="4" s="1"/>
  <c r="BW30" i="4"/>
  <c r="CN30" i="4" s="1"/>
  <c r="CV30" i="4" s="1"/>
  <c r="BW18" i="4"/>
  <c r="CN18" i="4" s="1"/>
  <c r="BW26" i="4"/>
  <c r="CN26" i="4" s="1"/>
  <c r="CV26" i="4" s="1"/>
  <c r="BW27" i="4"/>
  <c r="CN27" i="4" s="1"/>
  <c r="DB14" i="4"/>
  <c r="DS14" i="4" s="1"/>
  <c r="DX14" i="4" s="1"/>
  <c r="EA14" i="4" s="1"/>
  <c r="DB15" i="4"/>
  <c r="DS15" i="4" s="1"/>
  <c r="EG17" i="4"/>
  <c r="EX17" i="4" s="1"/>
  <c r="FF17" i="4" s="1"/>
  <c r="FL17" i="4" s="1"/>
  <c r="GC17" i="4" s="1"/>
  <c r="GK17" i="4" s="1"/>
  <c r="GQ17" i="4" s="1"/>
  <c r="HH17" i="4" s="1"/>
  <c r="HP17" i="4" s="1"/>
  <c r="HV17" i="4" s="1"/>
  <c r="IM17" i="4" s="1"/>
  <c r="IU17" i="4" s="1"/>
  <c r="EG18" i="4"/>
  <c r="EX18" i="4" s="1"/>
  <c r="FF18" i="4" s="1"/>
  <c r="FL18" i="4" s="1"/>
  <c r="GC18" i="4" s="1"/>
  <c r="GK18" i="4" s="1"/>
  <c r="GQ18" i="4" s="1"/>
  <c r="HH18" i="4" s="1"/>
  <c r="HP18" i="4" s="1"/>
  <c r="HV18" i="4" s="1"/>
  <c r="IM18" i="4" s="1"/>
  <c r="IU18" i="4" s="1"/>
  <c r="GK25" i="4"/>
  <c r="GQ25" i="4" s="1"/>
  <c r="HH25" i="4" s="1"/>
  <c r="HP25" i="4" s="1"/>
  <c r="HV25" i="4" s="1"/>
  <c r="IM25" i="4" s="1"/>
  <c r="IU25" i="4" s="1"/>
  <c r="GK11" i="4"/>
  <c r="GQ11" i="4" s="1"/>
  <c r="HH11" i="4" s="1"/>
  <c r="HP11" i="4" s="1"/>
  <c r="HV11" i="4" s="1"/>
  <c r="IM11" i="4" s="1"/>
  <c r="IU11" i="4" s="1"/>
  <c r="AR4" i="4"/>
  <c r="BI4" i="4" s="1"/>
  <c r="BQ4" i="4" s="1"/>
  <c r="AL36" i="4"/>
  <c r="HE4" i="4"/>
  <c r="U7" i="6"/>
  <c r="W7" i="6"/>
  <c r="GO45" i="4"/>
  <c r="GO36" i="4"/>
  <c r="HT36" i="4"/>
  <c r="HT45" i="4"/>
  <c r="HP4" i="4"/>
  <c r="AI4" i="6"/>
  <c r="AI5" i="6"/>
  <c r="AI3" i="6"/>
  <c r="AI6" i="6"/>
  <c r="FJ45" i="4"/>
  <c r="FJ36" i="4"/>
  <c r="BF24" i="4"/>
  <c r="BI24" i="4"/>
  <c r="BQ24" i="4" s="1"/>
  <c r="BI29" i="4"/>
  <c r="BQ29" i="4" s="1"/>
  <c r="DB21" i="4"/>
  <c r="DS21" i="4" s="1"/>
  <c r="EA21" i="4" s="1"/>
  <c r="CN21" i="4"/>
  <c r="BI20" i="4"/>
  <c r="BQ20" i="4" s="1"/>
  <c r="EY6" i="4"/>
  <c r="FG6" i="4" s="1"/>
  <c r="GD6" i="4" s="1"/>
  <c r="GL6" i="4" s="1"/>
  <c r="HI6" i="4" s="1"/>
  <c r="HQ6" i="4" s="1"/>
  <c r="IN6" i="4" s="1"/>
  <c r="IV6" i="4" s="1"/>
  <c r="BI28" i="4"/>
  <c r="BQ28" i="4" s="1"/>
  <c r="BI33" i="4"/>
  <c r="BQ33" i="4" s="1"/>
  <c r="BI12" i="4"/>
  <c r="BQ12" i="4" s="1"/>
  <c r="BI16" i="4"/>
  <c r="BQ16" i="4" s="1"/>
  <c r="BI17" i="4"/>
  <c r="BQ17" i="4" s="1"/>
  <c r="AE7" i="6"/>
  <c r="EE36" i="4"/>
  <c r="EE45" i="4"/>
  <c r="AC7" i="6"/>
  <c r="O7" i="6"/>
  <c r="DB12" i="4"/>
  <c r="DS12" i="4" s="1"/>
  <c r="EA12" i="4" s="1"/>
  <c r="DB20" i="4"/>
  <c r="DS20" i="4" s="1"/>
  <c r="EA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N25" i="4"/>
  <c r="BQ25" i="4" s="1"/>
  <c r="BF33" i="4"/>
  <c r="BF32" i="4"/>
  <c r="BW32" i="4"/>
  <c r="BF31" i="4"/>
  <c r="BW31" i="4"/>
  <c r="CN31" i="4" s="1"/>
  <c r="CV31" i="4" s="1"/>
  <c r="BW34" i="4"/>
  <c r="BF34" i="4"/>
  <c r="BW23" i="4"/>
  <c r="CN23" i="4" s="1"/>
  <c r="CV23" i="4" s="1"/>
  <c r="BF23" i="4"/>
  <c r="BF22" i="4"/>
  <c r="BW22" i="4"/>
  <c r="CN22" i="4" s="1"/>
  <c r="CV22" i="4" s="1"/>
  <c r="BF35" i="4"/>
  <c r="BI35" i="4"/>
  <c r="BQ35" i="4" s="1"/>
  <c r="CV19" i="4" l="1"/>
  <c r="DB19" i="4" s="1"/>
  <c r="DS19" i="4" s="1"/>
  <c r="EA19" i="4" s="1"/>
  <c r="EG19" i="4" s="1"/>
  <c r="EX19" i="4" s="1"/>
  <c r="FF19" i="4" s="1"/>
  <c r="FL19" i="4" s="1"/>
  <c r="GC19" i="4" s="1"/>
  <c r="GK19" i="4" s="1"/>
  <c r="GQ19" i="4" s="1"/>
  <c r="HH19" i="4" s="1"/>
  <c r="HP19" i="4" s="1"/>
  <c r="HV19" i="4" s="1"/>
  <c r="IM19" i="4" s="1"/>
  <c r="IU19" i="4" s="1"/>
  <c r="CV27" i="4"/>
  <c r="DB27" i="4" s="1"/>
  <c r="DS27" i="4" s="1"/>
  <c r="EA27" i="4" s="1"/>
  <c r="EG27" i="4" s="1"/>
  <c r="EX27" i="4" s="1"/>
  <c r="FF27" i="4" s="1"/>
  <c r="FL27" i="4" s="1"/>
  <c r="GC27" i="4" s="1"/>
  <c r="GK27" i="4" s="1"/>
  <c r="GQ27" i="4" s="1"/>
  <c r="HH27" i="4" s="1"/>
  <c r="HP27" i="4" s="1"/>
  <c r="HV27" i="4" s="1"/>
  <c r="IM27" i="4" s="1"/>
  <c r="IU27" i="4" s="1"/>
  <c r="EA15" i="4"/>
  <c r="EG15" i="4" s="1"/>
  <c r="EX15" i="4" s="1"/>
  <c r="FF15" i="4" s="1"/>
  <c r="FL15" i="4" s="1"/>
  <c r="GC15" i="4" s="1"/>
  <c r="GK15" i="4" s="1"/>
  <c r="GQ15" i="4" s="1"/>
  <c r="HH15" i="4" s="1"/>
  <c r="HP15" i="4" s="1"/>
  <c r="HV15" i="4" s="1"/>
  <c r="IM15" i="4" s="1"/>
  <c r="IU15" i="4" s="1"/>
  <c r="BW25" i="4"/>
  <c r="CN25" i="4" s="1"/>
  <c r="CS25" i="4" s="1"/>
  <c r="CV25" i="4" s="1"/>
  <c r="BW33" i="4"/>
  <c r="BW29" i="4"/>
  <c r="CN29" i="4" s="1"/>
  <c r="CV29" i="4" s="1"/>
  <c r="BW28" i="4"/>
  <c r="CN28" i="4" s="1"/>
  <c r="BW24" i="4"/>
  <c r="CN24" i="4" s="1"/>
  <c r="BW16" i="4"/>
  <c r="CN16" i="4" s="1"/>
  <c r="BW12" i="4"/>
  <c r="CN12" i="4" s="1"/>
  <c r="BW35" i="4"/>
  <c r="BW17" i="4"/>
  <c r="CN17" i="4" s="1"/>
  <c r="BW20" i="4"/>
  <c r="CN20" i="4" s="1"/>
  <c r="DB26" i="4"/>
  <c r="DS26" i="4" s="1"/>
  <c r="DB30" i="4"/>
  <c r="DS30" i="4" s="1"/>
  <c r="DB13" i="4"/>
  <c r="DS13" i="4" s="1"/>
  <c r="EG21" i="4"/>
  <c r="EX21" i="4" s="1"/>
  <c r="FF21" i="4" s="1"/>
  <c r="FL21" i="4" s="1"/>
  <c r="GC21" i="4" s="1"/>
  <c r="GK21" i="4" s="1"/>
  <c r="GQ21" i="4" s="1"/>
  <c r="HH21" i="4" s="1"/>
  <c r="HP21" i="4" s="1"/>
  <c r="HV21" i="4" s="1"/>
  <c r="IM21" i="4" s="1"/>
  <c r="IU21" i="4" s="1"/>
  <c r="EG14" i="4"/>
  <c r="EX14" i="4" s="1"/>
  <c r="FF14" i="4" s="1"/>
  <c r="FL14" i="4" s="1"/>
  <c r="GC14" i="4" s="1"/>
  <c r="GK14" i="4" s="1"/>
  <c r="GQ14" i="4" s="1"/>
  <c r="HH14" i="4" s="1"/>
  <c r="HP14" i="4" s="1"/>
  <c r="HV14" i="4" s="1"/>
  <c r="IM14" i="4" s="1"/>
  <c r="IU14" i="4" s="1"/>
  <c r="EG20" i="4"/>
  <c r="EX20" i="4" s="1"/>
  <c r="FF20" i="4" s="1"/>
  <c r="FL20" i="4" s="1"/>
  <c r="GC20" i="4" s="1"/>
  <c r="GQ20" i="4" s="1"/>
  <c r="HH20" i="4" s="1"/>
  <c r="HP20" i="4" s="1"/>
  <c r="HV20" i="4" s="1"/>
  <c r="IM20" i="4" s="1"/>
  <c r="IU20" i="4" s="1"/>
  <c r="AR36" i="4"/>
  <c r="BI36" i="4"/>
  <c r="HV4" i="4"/>
  <c r="AI7" i="6"/>
  <c r="CK23" i="4"/>
  <c r="DB23" i="4"/>
  <c r="DS23" i="4" s="1"/>
  <c r="EA23" i="4" s="1"/>
  <c r="CK31" i="4"/>
  <c r="DB31" i="4"/>
  <c r="DS31" i="4" s="1"/>
  <c r="EA31" i="4" s="1"/>
  <c r="CN34" i="4"/>
  <c r="CV34" i="4" s="1"/>
  <c r="CK34" i="4"/>
  <c r="CK22" i="4"/>
  <c r="CK32" i="4"/>
  <c r="CN32" i="4"/>
  <c r="CV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V16" i="4" l="1"/>
  <c r="DB16" i="4" s="1"/>
  <c r="DS16" i="4" s="1"/>
  <c r="EA16" i="4" s="1"/>
  <c r="EG16" i="4" s="1"/>
  <c r="EX16" i="4" s="1"/>
  <c r="FF16" i="4" s="1"/>
  <c r="FL16" i="4" s="1"/>
  <c r="GC16" i="4" s="1"/>
  <c r="GK16" i="4" s="1"/>
  <c r="GQ16" i="4" s="1"/>
  <c r="HH16" i="4" s="1"/>
  <c r="HP16" i="4" s="1"/>
  <c r="HV16" i="4" s="1"/>
  <c r="IM16" i="4" s="1"/>
  <c r="IU16" i="4" s="1"/>
  <c r="CV24" i="4"/>
  <c r="DB24" i="4" s="1"/>
  <c r="CV28" i="4"/>
  <c r="DB28" i="4" s="1"/>
  <c r="DS28" i="4" s="1"/>
  <c r="EA28" i="4" s="1"/>
  <c r="EG28" i="4" s="1"/>
  <c r="EX28" i="4" s="1"/>
  <c r="FF28" i="4" s="1"/>
  <c r="FL28" i="4" s="1"/>
  <c r="GC28" i="4" s="1"/>
  <c r="GK28" i="4" s="1"/>
  <c r="GQ28" i="4" s="1"/>
  <c r="HH28" i="4" s="1"/>
  <c r="HP28" i="4" s="1"/>
  <c r="HV28" i="4" s="1"/>
  <c r="IM28" i="4" s="1"/>
  <c r="IU28" i="4" s="1"/>
  <c r="EA30" i="4"/>
  <c r="EG30" i="4" s="1"/>
  <c r="EX30" i="4" s="1"/>
  <c r="FF30" i="4" s="1"/>
  <c r="FL30" i="4" s="1"/>
  <c r="GC30" i="4" s="1"/>
  <c r="GK30" i="4" s="1"/>
  <c r="GQ30" i="4" s="1"/>
  <c r="HH30" i="4" s="1"/>
  <c r="HP30" i="4" s="1"/>
  <c r="HV30" i="4" s="1"/>
  <c r="IM30" i="4" s="1"/>
  <c r="IU30" i="4" s="1"/>
  <c r="EA26" i="4"/>
  <c r="EG26" i="4" s="1"/>
  <c r="EX26" i="4" s="1"/>
  <c r="FF26" i="4" s="1"/>
  <c r="FL26" i="4" s="1"/>
  <c r="GC26" i="4" s="1"/>
  <c r="GQ26" i="4" s="1"/>
  <c r="HH26" i="4" s="1"/>
  <c r="HP26" i="4" s="1"/>
  <c r="HV26" i="4" s="1"/>
  <c r="IM26" i="4" s="1"/>
  <c r="IU26" i="4" s="1"/>
  <c r="EA13" i="4"/>
  <c r="EG13" i="4" s="1"/>
  <c r="EX13" i="4" s="1"/>
  <c r="FF13" i="4" s="1"/>
  <c r="FL13" i="4" s="1"/>
  <c r="GC13" i="4" s="1"/>
  <c r="GQ13" i="4" s="1"/>
  <c r="HH13" i="4" s="1"/>
  <c r="HP13" i="4" s="1"/>
  <c r="HV13" i="4" s="1"/>
  <c r="IM13" i="4" s="1"/>
  <c r="IU13" i="4" s="1"/>
  <c r="CK33" i="4"/>
  <c r="CN33" i="4"/>
  <c r="CK35" i="4"/>
  <c r="CN35" i="4"/>
  <c r="CK24" i="4"/>
  <c r="DB25" i="4"/>
  <c r="DS25" i="4" s="1"/>
  <c r="DX25" i="4" s="1"/>
  <c r="EA25" i="4" s="1"/>
  <c r="DB34" i="4"/>
  <c r="DB29" i="4"/>
  <c r="DS29" i="4" s="1"/>
  <c r="DB32" i="4"/>
  <c r="EG23" i="4"/>
  <c r="EG31" i="4"/>
  <c r="BW4" i="4"/>
  <c r="BQ36" i="4"/>
  <c r="IM4" i="4"/>
  <c r="IJ4" i="4"/>
  <c r="EG12" i="4"/>
  <c r="DP31" i="4"/>
  <c r="DP23" i="4"/>
  <c r="U27" i="4"/>
  <c r="U19" i="4"/>
  <c r="U18" i="4"/>
  <c r="U17" i="4"/>
  <c r="U7" i="4"/>
  <c r="U5" i="4"/>
  <c r="U4" i="4"/>
  <c r="DS24" i="4" l="1"/>
  <c r="EA24" i="4" s="1"/>
  <c r="EG24" i="4" s="1"/>
  <c r="EU24" i="4" s="1"/>
  <c r="DP24" i="4"/>
  <c r="CV33" i="4"/>
  <c r="DB33" i="4" s="1"/>
  <c r="CV35" i="4"/>
  <c r="DB35" i="4" s="1"/>
  <c r="EA29" i="4"/>
  <c r="EG29" i="4" s="1"/>
  <c r="EX29" i="4" s="1"/>
  <c r="FF29" i="4" s="1"/>
  <c r="FL29" i="4" s="1"/>
  <c r="GC29" i="4" s="1"/>
  <c r="GK29" i="4" s="1"/>
  <c r="GQ29" i="4" s="1"/>
  <c r="HH29" i="4" s="1"/>
  <c r="HP29" i="4" s="1"/>
  <c r="HV29" i="4" s="1"/>
  <c r="IM29" i="4" s="1"/>
  <c r="IU29" i="4" s="1"/>
  <c r="DS32" i="4"/>
  <c r="DP32" i="4"/>
  <c r="DS34" i="4"/>
  <c r="DP34" i="4"/>
  <c r="EU31" i="4"/>
  <c r="EX31" i="4"/>
  <c r="FF31" i="4" s="1"/>
  <c r="FL31" i="4" s="1"/>
  <c r="GC31" i="4" s="1"/>
  <c r="EX23" i="4"/>
  <c r="FF23" i="4" s="1"/>
  <c r="FL23" i="4" s="1"/>
  <c r="FZ23" i="4" s="1"/>
  <c r="EU23" i="4"/>
  <c r="EG25" i="4"/>
  <c r="EX25" i="4" s="1"/>
  <c r="CN4" i="4"/>
  <c r="CV4" i="4" s="1"/>
  <c r="BW36" i="4"/>
  <c r="IU4" i="4"/>
  <c r="EX12" i="4"/>
  <c r="DB22" i="4"/>
  <c r="DS22" i="4" s="1"/>
  <c r="EA22" i="4" s="1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X24" i="4" l="1"/>
  <c r="FF24" i="4" s="1"/>
  <c r="FL24" i="4" s="1"/>
  <c r="FZ24" i="4" s="1"/>
  <c r="DS35" i="4"/>
  <c r="EA35" i="4" s="1"/>
  <c r="EG35" i="4" s="1"/>
  <c r="DP35" i="4"/>
  <c r="DS33" i="4"/>
  <c r="EA33" i="4" s="1"/>
  <c r="EG33" i="4" s="1"/>
  <c r="DP33" i="4"/>
  <c r="EA32" i="4"/>
  <c r="EG32" i="4" s="1"/>
  <c r="EA34" i="4"/>
  <c r="EG34" i="4" s="1"/>
  <c r="FZ31" i="4"/>
  <c r="GC23" i="4"/>
  <c r="GK23" i="4" s="1"/>
  <c r="GQ23" i="4" s="1"/>
  <c r="FF12" i="4"/>
  <c r="FL12" i="4" s="1"/>
  <c r="GC12" i="4" s="1"/>
  <c r="GK12" i="4" s="1"/>
  <c r="GK31" i="4"/>
  <c r="GQ31" i="4" s="1"/>
  <c r="CN36" i="4"/>
  <c r="DP22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K35" i="4"/>
  <c r="K11" i="4"/>
  <c r="K32" i="4"/>
  <c r="AP33" i="4"/>
  <c r="CZ30" i="4"/>
  <c r="BU14" i="4"/>
  <c r="K24" i="4"/>
  <c r="AP14" i="4"/>
  <c r="AP9" i="4"/>
  <c r="AP15" i="4"/>
  <c r="BU5" i="4"/>
  <c r="CZ27" i="4"/>
  <c r="K8" i="4"/>
  <c r="K20" i="4"/>
  <c r="K29" i="4"/>
  <c r="BU7" i="4"/>
  <c r="CZ6" i="4"/>
  <c r="AP22" i="4"/>
  <c r="K31" i="4"/>
  <c r="BU28" i="4"/>
  <c r="AP28" i="4"/>
  <c r="K30" i="4"/>
  <c r="AP23" i="4"/>
  <c r="BU19" i="4"/>
  <c r="BU32" i="4"/>
  <c r="AP10" i="4"/>
  <c r="CZ8" i="4"/>
  <c r="BU25" i="4"/>
  <c r="BU30" i="4"/>
  <c r="K7" i="4"/>
  <c r="CZ28" i="4"/>
  <c r="CZ11" i="4"/>
  <c r="BU9" i="4"/>
  <c r="BU20" i="4"/>
  <c r="AP11" i="4"/>
  <c r="AP17" i="4"/>
  <c r="AP24" i="4"/>
  <c r="BU33" i="4"/>
  <c r="K14" i="4"/>
  <c r="AP7" i="4"/>
  <c r="BU35" i="4"/>
  <c r="CZ16" i="4"/>
  <c r="AP4" i="4"/>
  <c r="BU23" i="4"/>
  <c r="CZ13" i="4"/>
  <c r="CZ15" i="4"/>
  <c r="AP20" i="4"/>
  <c r="BU4" i="4"/>
  <c r="AP26" i="4"/>
  <c r="CZ22" i="4"/>
  <c r="AP25" i="4"/>
  <c r="CZ9" i="4"/>
  <c r="CZ33" i="4"/>
  <c r="CZ10" i="4"/>
  <c r="BU34" i="4"/>
  <c r="K13" i="4"/>
  <c r="AP18" i="4"/>
  <c r="K22" i="4"/>
  <c r="K19" i="4"/>
  <c r="K28" i="4"/>
  <c r="AP8" i="4"/>
  <c r="AP34" i="4"/>
  <c r="K4" i="4"/>
  <c r="AP21" i="4"/>
  <c r="K21" i="4"/>
  <c r="BU16" i="4"/>
  <c r="AP35" i="4"/>
  <c r="CZ26" i="4"/>
  <c r="BU26" i="4"/>
  <c r="BU24" i="4"/>
  <c r="K17" i="4"/>
  <c r="AP16" i="4"/>
  <c r="CZ18" i="4"/>
  <c r="K23" i="4"/>
  <c r="BU22" i="4"/>
  <c r="BU8" i="4"/>
  <c r="AP32" i="4"/>
  <c r="AP29" i="4"/>
  <c r="AP30" i="4"/>
  <c r="AP27" i="4"/>
  <c r="K18" i="4"/>
  <c r="CZ20" i="4"/>
  <c r="BU13" i="4"/>
  <c r="K15" i="4"/>
  <c r="BU17" i="4"/>
  <c r="BU12" i="4"/>
  <c r="K12" i="4"/>
  <c r="CZ7" i="4"/>
  <c r="AP6" i="4"/>
  <c r="BU10" i="4"/>
  <c r="AP12" i="4"/>
  <c r="BU27" i="4"/>
  <c r="AP31" i="4"/>
  <c r="CZ23" i="4"/>
  <c r="BU18" i="4"/>
  <c r="AP13" i="4"/>
  <c r="K26" i="4"/>
  <c r="CZ4" i="4"/>
  <c r="CZ24" i="4"/>
  <c r="CZ5" i="4"/>
  <c r="CZ17" i="4"/>
  <c r="CZ32" i="4"/>
  <c r="CZ29" i="4"/>
  <c r="CZ21" i="4"/>
  <c r="K34" i="4"/>
  <c r="K6" i="4"/>
  <c r="CZ34" i="4"/>
  <c r="BU29" i="4"/>
  <c r="K33" i="4"/>
  <c r="CZ19" i="4"/>
  <c r="K9" i="4"/>
  <c r="CZ25" i="4"/>
  <c r="AP19" i="4"/>
  <c r="AP5" i="4"/>
  <c r="CZ35" i="4"/>
  <c r="BU6" i="4"/>
  <c r="BU15" i="4"/>
  <c r="BU31" i="4"/>
  <c r="CZ12" i="4"/>
  <c r="CZ31" i="4"/>
  <c r="K25" i="4"/>
  <c r="CZ14" i="4"/>
  <c r="K10" i="4"/>
  <c r="K27" i="4"/>
  <c r="BU21" i="4"/>
  <c r="BU11" i="4"/>
  <c r="K5" i="4"/>
  <c r="K16" i="4"/>
  <c r="GC24" i="4" l="1"/>
  <c r="GK24" i="4" s="1"/>
  <c r="GQ24" i="4" s="1"/>
  <c r="HH24" i="4" s="1"/>
  <c r="HP24" i="4" s="1"/>
  <c r="HV24" i="4" s="1"/>
  <c r="EU34" i="4"/>
  <c r="EX34" i="4"/>
  <c r="FF34" i="4" s="1"/>
  <c r="FL34" i="4" s="1"/>
  <c r="GC34" i="4" s="1"/>
  <c r="GK34" i="4" s="1"/>
  <c r="GQ34" i="4" s="1"/>
  <c r="HE34" i="4" s="1"/>
  <c r="EU33" i="4"/>
  <c r="EX33" i="4"/>
  <c r="FF33" i="4" s="1"/>
  <c r="FL33" i="4" s="1"/>
  <c r="FZ33" i="4" s="1"/>
  <c r="EU35" i="4"/>
  <c r="EX35" i="4"/>
  <c r="FF35" i="4" s="1"/>
  <c r="FL35" i="4" s="1"/>
  <c r="GC35" i="4" s="1"/>
  <c r="GK35" i="4" s="1"/>
  <c r="GQ35" i="4" s="1"/>
  <c r="HE35" i="4" s="1"/>
  <c r="EX32" i="4"/>
  <c r="FF32" i="4" s="1"/>
  <c r="FL32" i="4" s="1"/>
  <c r="EU32" i="4"/>
  <c r="HE31" i="4"/>
  <c r="HH31" i="4"/>
  <c r="HP31" i="4" s="1"/>
  <c r="HV31" i="4" s="1"/>
  <c r="HE23" i="4"/>
  <c r="HH23" i="4"/>
  <c r="HP23" i="4" s="1"/>
  <c r="HV23" i="4" s="1"/>
  <c r="DB4" i="4"/>
  <c r="CV36" i="4"/>
  <c r="EG22" i="4"/>
  <c r="AP45" i="4"/>
  <c r="BU45" i="4"/>
  <c r="K45" i="4"/>
  <c r="CZ36" i="4"/>
  <c r="CZ45" i="4"/>
  <c r="L33" i="4"/>
  <c r="L8" i="4"/>
  <c r="L7" i="4"/>
  <c r="L6" i="4"/>
  <c r="L31" i="4"/>
  <c r="L30" i="4"/>
  <c r="L4" i="4"/>
  <c r="K36" i="4"/>
  <c r="BU36" i="4"/>
  <c r="L13" i="4"/>
  <c r="L26" i="4"/>
  <c r="L28" i="4"/>
  <c r="L9" i="4"/>
  <c r="L18" i="4"/>
  <c r="L20" i="4"/>
  <c r="O20" i="4" s="1"/>
  <c r="L15" i="4"/>
  <c r="L10" i="4"/>
  <c r="L12" i="4"/>
  <c r="L11" i="4"/>
  <c r="AP36" i="4"/>
  <c r="L5" i="4"/>
  <c r="L35" i="4"/>
  <c r="L16" i="4"/>
  <c r="L32" i="4"/>
  <c r="L29" i="4"/>
  <c r="O29" i="4" s="1"/>
  <c r="L34" i="4"/>
  <c r="L27" i="4"/>
  <c r="L25" i="4"/>
  <c r="L14" i="4"/>
  <c r="O14" i="4" s="1"/>
  <c r="L23" i="4"/>
  <c r="L22" i="4"/>
  <c r="L21" i="4"/>
  <c r="L24" i="4"/>
  <c r="L19" i="4"/>
  <c r="L17" i="4"/>
  <c r="O17" i="4" s="1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E24" i="4" l="1"/>
  <c r="FZ35" i="4"/>
  <c r="FZ34" i="4"/>
  <c r="HH35" i="4"/>
  <c r="HP35" i="4" s="1"/>
  <c r="HV35" i="4" s="1"/>
  <c r="IM35" i="4" s="1"/>
  <c r="IU35" i="4" s="1"/>
  <c r="HH34" i="4"/>
  <c r="HP34" i="4" s="1"/>
  <c r="HV34" i="4" s="1"/>
  <c r="IJ34" i="4" s="1"/>
  <c r="FZ32" i="4"/>
  <c r="GC32" i="4"/>
  <c r="GK32" i="4" s="1"/>
  <c r="GQ32" i="4" s="1"/>
  <c r="GC33" i="4"/>
  <c r="GK33" i="4" s="1"/>
  <c r="GQ33" i="4" s="1"/>
  <c r="HH33" i="4" s="1"/>
  <c r="HP33" i="4" s="1"/>
  <c r="HV33" i="4" s="1"/>
  <c r="IM33" i="4" s="1"/>
  <c r="IU33" i="4" s="1"/>
  <c r="IM24" i="4"/>
  <c r="IU24" i="4" s="1"/>
  <c r="IJ24" i="4"/>
  <c r="IJ31" i="4"/>
  <c r="IM31" i="4"/>
  <c r="IU31" i="4" s="1"/>
  <c r="IJ23" i="4"/>
  <c r="IM23" i="4"/>
  <c r="IU23" i="4" s="1"/>
  <c r="DS4" i="4"/>
  <c r="EA4" i="4" s="1"/>
  <c r="DB36" i="4"/>
  <c r="GQ12" i="4"/>
  <c r="EU22" i="4"/>
  <c r="EX22" i="4"/>
  <c r="N25" i="4"/>
  <c r="N19" i="4"/>
  <c r="O19" i="4" s="1"/>
  <c r="N12" i="4"/>
  <c r="O12" i="4" s="1"/>
  <c r="N13" i="4"/>
  <c r="N24" i="4"/>
  <c r="O24" i="4" s="1"/>
  <c r="N10" i="4"/>
  <c r="O10" i="4" s="1"/>
  <c r="N21" i="4"/>
  <c r="N32" i="4"/>
  <c r="O32" i="4" s="1"/>
  <c r="N15" i="4"/>
  <c r="N34" i="4"/>
  <c r="O34" i="4" s="1"/>
  <c r="N8" i="4"/>
  <c r="P29" i="4"/>
  <c r="N29" i="4"/>
  <c r="N22" i="4"/>
  <c r="N16" i="4"/>
  <c r="N20" i="4"/>
  <c r="P20" i="4"/>
  <c r="Q20" i="4" s="1"/>
  <c r="U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P14" i="4"/>
  <c r="N5" i="4"/>
  <c r="O5" i="4" s="1"/>
  <c r="N9" i="4"/>
  <c r="O9" i="4" s="1"/>
  <c r="N31" i="4"/>
  <c r="O31" i="4" s="1"/>
  <c r="N28" i="4"/>
  <c r="O28" i="4" s="1"/>
  <c r="N6" i="4"/>
  <c r="O6" i="4" s="1"/>
  <c r="N17" i="4"/>
  <c r="P17" i="4"/>
  <c r="Q17" i="4" s="1"/>
  <c r="S17" i="4" s="1"/>
  <c r="T17" i="4" s="1"/>
  <c r="N27" i="4"/>
  <c r="O27" i="4" s="1"/>
  <c r="N11" i="4"/>
  <c r="O11" i="4" s="1"/>
  <c r="N26" i="4"/>
  <c r="O26" i="4" s="1"/>
  <c r="N7" i="4"/>
  <c r="O7" i="4" s="1"/>
  <c r="N33" i="4"/>
  <c r="O33" i="4" s="1"/>
  <c r="S20" i="4"/>
  <c r="AI7" i="3"/>
  <c r="IM34" i="4" l="1"/>
  <c r="IU34" i="4" s="1"/>
  <c r="IJ33" i="4"/>
  <c r="IJ35" i="4"/>
  <c r="HE33" i="4"/>
  <c r="HH32" i="4"/>
  <c r="HP32" i="4" s="1"/>
  <c r="HV32" i="4" s="1"/>
  <c r="HE32" i="4"/>
  <c r="FF22" i="4"/>
  <c r="FL22" i="4" s="1"/>
  <c r="FL36" i="4" s="1"/>
  <c r="P30" i="4"/>
  <c r="T30" i="4" s="1"/>
  <c r="P32" i="4"/>
  <c r="Q32" i="4" s="1"/>
  <c r="U32" i="4" s="1"/>
  <c r="P6" i="4"/>
  <c r="T6" i="4" s="1"/>
  <c r="P18" i="4"/>
  <c r="Q18" i="4" s="1"/>
  <c r="S18" i="4" s="1"/>
  <c r="T18" i="4" s="1"/>
  <c r="P10" i="4"/>
  <c r="T10" i="4" s="1"/>
  <c r="O21" i="4"/>
  <c r="P21" i="4" s="1"/>
  <c r="P28" i="4"/>
  <c r="T28" i="4" s="1"/>
  <c r="P24" i="4"/>
  <c r="T24" i="4" s="1"/>
  <c r="P7" i="4"/>
  <c r="Q7" i="4" s="1"/>
  <c r="S7" i="4" s="1"/>
  <c r="T7" i="4" s="1"/>
  <c r="P31" i="4"/>
  <c r="Q31" i="4" s="1"/>
  <c r="U31" i="4" s="1"/>
  <c r="P12" i="4"/>
  <c r="Q12" i="4" s="1"/>
  <c r="U12" i="4" s="1"/>
  <c r="O8" i="4"/>
  <c r="P8" i="4" s="1"/>
  <c r="O16" i="4"/>
  <c r="P16" i="4" s="1"/>
  <c r="P27" i="4"/>
  <c r="Q27" i="4" s="1"/>
  <c r="S27" i="4" s="1"/>
  <c r="T27" i="4" s="1"/>
  <c r="P33" i="4"/>
  <c r="Q33" i="4" s="1"/>
  <c r="U33" i="4" s="1"/>
  <c r="P35" i="4"/>
  <c r="Q35" i="4" s="1"/>
  <c r="U35" i="4" s="1"/>
  <c r="P23" i="4"/>
  <c r="T23" i="4" s="1"/>
  <c r="P26" i="4"/>
  <c r="Q26" i="4" s="1"/>
  <c r="U26" i="4" s="1"/>
  <c r="P9" i="4"/>
  <c r="Q9" i="4" s="1"/>
  <c r="U9" i="4" s="1"/>
  <c r="P11" i="4"/>
  <c r="Q11" i="4" s="1"/>
  <c r="U11" i="4" s="1"/>
  <c r="P5" i="4"/>
  <c r="Q5" i="4" s="1"/>
  <c r="S5" i="4" s="1"/>
  <c r="T5" i="4" s="1"/>
  <c r="P34" i="4"/>
  <c r="Q34" i="4" s="1"/>
  <c r="U34" i="4" s="1"/>
  <c r="P19" i="4"/>
  <c r="Q19" i="4" s="1"/>
  <c r="S19" i="4" s="1"/>
  <c r="T19" i="4" s="1"/>
  <c r="O13" i="4"/>
  <c r="P13" i="4" s="1"/>
  <c r="O25" i="4"/>
  <c r="P25" i="4" s="1"/>
  <c r="O22" i="4"/>
  <c r="P22" i="4" s="1"/>
  <c r="T22" i="4" s="1"/>
  <c r="O15" i="4"/>
  <c r="P15" i="4" s="1"/>
  <c r="DS36" i="4"/>
  <c r="HH12" i="4"/>
  <c r="HP12" i="4" s="1"/>
  <c r="T20" i="4"/>
  <c r="Q29" i="4"/>
  <c r="U29" i="4" s="1"/>
  <c r="T29" i="4"/>
  <c r="P4" i="4"/>
  <c r="Q4" i="4" s="1"/>
  <c r="S4" i="4" s="1"/>
  <c r="Q14" i="4"/>
  <c r="U14" i="4" s="1"/>
  <c r="T14" i="4"/>
  <c r="N36" i="4"/>
  <c r="T12" i="4" l="1"/>
  <c r="Q6" i="4"/>
  <c r="U6" i="4" s="1"/>
  <c r="T33" i="4"/>
  <c r="Q28" i="4"/>
  <c r="U28" i="4" s="1"/>
  <c r="FF36" i="4"/>
  <c r="IM32" i="4"/>
  <c r="IU32" i="4" s="1"/>
  <c r="IJ32" i="4"/>
  <c r="FZ22" i="4"/>
  <c r="GC22" i="4"/>
  <c r="GK22" i="4" s="1"/>
  <c r="T34" i="4"/>
  <c r="Q30" i="4"/>
  <c r="U30" i="4" s="1"/>
  <c r="T21" i="4"/>
  <c r="Q21" i="4"/>
  <c r="U21" i="4" s="1"/>
  <c r="Q10" i="4"/>
  <c r="U10" i="4" s="1"/>
  <c r="O36" i="4"/>
  <c r="O45" i="4" s="1"/>
  <c r="T26" i="4"/>
  <c r="T32" i="4"/>
  <c r="Q23" i="4"/>
  <c r="U23" i="4" s="1"/>
  <c r="T31" i="4"/>
  <c r="Q24" i="4"/>
  <c r="U24" i="4" s="1"/>
  <c r="T35" i="4"/>
  <c r="T9" i="4"/>
  <c r="T11" i="4"/>
  <c r="T13" i="4"/>
  <c r="Q13" i="4"/>
  <c r="U13" i="4" s="1"/>
  <c r="T25" i="4"/>
  <c r="Q25" i="4"/>
  <c r="U25" i="4" s="1"/>
  <c r="T16" i="4"/>
  <c r="Q16" i="4"/>
  <c r="U16" i="4" s="1"/>
  <c r="T8" i="4"/>
  <c r="Q8" i="4"/>
  <c r="U8" i="4" s="1"/>
  <c r="Q15" i="4"/>
  <c r="U15" i="4" s="1"/>
  <c r="T15" i="4"/>
  <c r="Q22" i="4"/>
  <c r="U22" i="4" s="1"/>
  <c r="EG4" i="4"/>
  <c r="EA36" i="4"/>
  <c r="T4" i="4"/>
  <c r="S36" i="4"/>
  <c r="GC36" i="4" l="1"/>
  <c r="S45" i="4"/>
  <c r="U36" i="4"/>
  <c r="EX4" i="4"/>
  <c r="EX36" i="4" s="1"/>
  <c r="EG36" i="4"/>
  <c r="GQ22" i="4"/>
  <c r="GK36" i="4"/>
  <c r="HV12" i="4"/>
  <c r="T41" i="4"/>
  <c r="AA21" i="4"/>
  <c r="V11" i="4" l="1"/>
  <c r="W11" i="4" s="1"/>
  <c r="X11" i="4" s="1"/>
  <c r="Y11" i="4" s="1"/>
  <c r="V19" i="4"/>
  <c r="W19" i="4" s="1"/>
  <c r="X19" i="4" s="1"/>
  <c r="Y19" i="4" s="1"/>
  <c r="AC19" i="4" s="1"/>
  <c r="V27" i="4"/>
  <c r="W27" i="4" s="1"/>
  <c r="X27" i="4" s="1"/>
  <c r="Y27" i="4" s="1"/>
  <c r="AC27" i="4" s="1"/>
  <c r="V35" i="4"/>
  <c r="W35" i="4" s="1"/>
  <c r="X35" i="4" s="1"/>
  <c r="Y35" i="4" s="1"/>
  <c r="Z35" i="4" s="1"/>
  <c r="V4" i="4"/>
  <c r="V12" i="4"/>
  <c r="W12" i="4" s="1"/>
  <c r="X12" i="4" s="1"/>
  <c r="Y12" i="4" s="1"/>
  <c r="AC12" i="4" s="1"/>
  <c r="V20" i="4"/>
  <c r="W20" i="4" s="1"/>
  <c r="X20" i="4" s="1"/>
  <c r="Y20" i="4" s="1"/>
  <c r="AC20" i="4" s="1"/>
  <c r="V28" i="4"/>
  <c r="W28" i="4" s="1"/>
  <c r="X28" i="4" s="1"/>
  <c r="Y28" i="4" s="1"/>
  <c r="AC28" i="4" s="1"/>
  <c r="V5" i="4"/>
  <c r="W5" i="4" s="1"/>
  <c r="X5" i="4" s="1"/>
  <c r="Y5" i="4" s="1"/>
  <c r="V13" i="4"/>
  <c r="W13" i="4" s="1"/>
  <c r="X13" i="4" s="1"/>
  <c r="Y13" i="4" s="1"/>
  <c r="AC13" i="4" s="1"/>
  <c r="V21" i="4"/>
  <c r="W21" i="4" s="1"/>
  <c r="X21" i="4" s="1"/>
  <c r="Y21" i="4" s="1"/>
  <c r="AC21" i="4" s="1"/>
  <c r="V29" i="4"/>
  <c r="W29" i="4" s="1"/>
  <c r="X29" i="4" s="1"/>
  <c r="Y29" i="4" s="1"/>
  <c r="V6" i="4"/>
  <c r="W6" i="4" s="1"/>
  <c r="X6" i="4" s="1"/>
  <c r="Y6" i="4" s="1"/>
  <c r="V14" i="4"/>
  <c r="W14" i="4" s="1"/>
  <c r="X14" i="4" s="1"/>
  <c r="Y14" i="4" s="1"/>
  <c r="AC14" i="4" s="1"/>
  <c r="V22" i="4"/>
  <c r="W22" i="4" s="1"/>
  <c r="X22" i="4" s="1"/>
  <c r="Y22" i="4" s="1"/>
  <c r="Z22" i="4" s="1"/>
  <c r="V30" i="4"/>
  <c r="W30" i="4" s="1"/>
  <c r="X30" i="4" s="1"/>
  <c r="Y30" i="4" s="1"/>
  <c r="AC30" i="4" s="1"/>
  <c r="V17" i="4"/>
  <c r="W17" i="4" s="1"/>
  <c r="X17" i="4" s="1"/>
  <c r="Y17" i="4" s="1"/>
  <c r="AC17" i="4" s="1"/>
  <c r="V7" i="4"/>
  <c r="W7" i="4" s="1"/>
  <c r="X7" i="4" s="1"/>
  <c r="Y7" i="4" s="1"/>
  <c r="V15" i="4"/>
  <c r="W15" i="4" s="1"/>
  <c r="X15" i="4" s="1"/>
  <c r="Y15" i="4" s="1"/>
  <c r="AA15" i="4" s="1"/>
  <c r="V23" i="4"/>
  <c r="W23" i="4" s="1"/>
  <c r="X23" i="4" s="1"/>
  <c r="Y23" i="4" s="1"/>
  <c r="V31" i="4"/>
  <c r="W31" i="4" s="1"/>
  <c r="X31" i="4" s="1"/>
  <c r="Y31" i="4" s="1"/>
  <c r="V25" i="4"/>
  <c r="V8" i="4"/>
  <c r="W8" i="4" s="1"/>
  <c r="X8" i="4" s="1"/>
  <c r="Y8" i="4" s="1"/>
  <c r="V16" i="4"/>
  <c r="W16" i="4" s="1"/>
  <c r="X16" i="4" s="1"/>
  <c r="Y16" i="4" s="1"/>
  <c r="AC16" i="4" s="1"/>
  <c r="V24" i="4"/>
  <c r="W24" i="4" s="1"/>
  <c r="X24" i="4" s="1"/>
  <c r="Y24" i="4" s="1"/>
  <c r="Z24" i="4" s="1"/>
  <c r="V32" i="4"/>
  <c r="W32" i="4" s="1"/>
  <c r="X32" i="4" s="1"/>
  <c r="Y32" i="4" s="1"/>
  <c r="V33" i="4"/>
  <c r="W33" i="4" s="1"/>
  <c r="X33" i="4" s="1"/>
  <c r="Y33" i="4" s="1"/>
  <c r="Z33" i="4" s="1"/>
  <c r="V10" i="4"/>
  <c r="W10" i="4" s="1"/>
  <c r="X10" i="4" s="1"/>
  <c r="Y10" i="4" s="1"/>
  <c r="V18" i="4"/>
  <c r="W18" i="4" s="1"/>
  <c r="X18" i="4" s="1"/>
  <c r="Y18" i="4" s="1"/>
  <c r="V26" i="4"/>
  <c r="W26" i="4" s="1"/>
  <c r="X26" i="4" s="1"/>
  <c r="Y26" i="4" s="1"/>
  <c r="V34" i="4"/>
  <c r="W34" i="4" s="1"/>
  <c r="X34" i="4" s="1"/>
  <c r="Y34" i="4" s="1"/>
  <c r="V9" i="4"/>
  <c r="W9" i="4" s="1"/>
  <c r="X9" i="4" s="1"/>
  <c r="Y9" i="4" s="1"/>
  <c r="IM12" i="4"/>
  <c r="HH22" i="4"/>
  <c r="HP22" i="4" s="1"/>
  <c r="HE22" i="4"/>
  <c r="GQ36" i="4"/>
  <c r="CO12" i="4"/>
  <c r="CW12" i="4" s="1"/>
  <c r="U45" i="4"/>
  <c r="T45" i="4"/>
  <c r="X4" i="4" l="1"/>
  <c r="Y4" i="4" s="1"/>
  <c r="AA4" i="4" s="1"/>
  <c r="V36" i="4"/>
  <c r="W25" i="4" s="1"/>
  <c r="AA12" i="4"/>
  <c r="AK13" i="4"/>
  <c r="AO13" i="4" s="1"/>
  <c r="AQ13" i="4" s="1"/>
  <c r="AK20" i="4"/>
  <c r="AO20" i="4" s="1"/>
  <c r="AQ20" i="4" s="1"/>
  <c r="AK14" i="4"/>
  <c r="AO14" i="4" s="1"/>
  <c r="AQ14" i="4" s="1"/>
  <c r="AK17" i="4"/>
  <c r="AO17" i="4" s="1"/>
  <c r="AQ17" i="4" s="1"/>
  <c r="AW17" i="4" s="1"/>
  <c r="AZ17" i="4" s="1"/>
  <c r="AK19" i="4"/>
  <c r="AO19" i="4" s="1"/>
  <c r="AQ19" i="4" s="1"/>
  <c r="AK16" i="4"/>
  <c r="AO16" i="4" s="1"/>
  <c r="AQ16" i="4" s="1"/>
  <c r="AK27" i="4"/>
  <c r="AO27" i="4" s="1"/>
  <c r="AQ27" i="4" s="1"/>
  <c r="AK30" i="4"/>
  <c r="AO30" i="4" s="1"/>
  <c r="AQ30" i="4" s="1"/>
  <c r="AK21" i="4"/>
  <c r="AO21" i="4" s="1"/>
  <c r="AQ21" i="4" s="1"/>
  <c r="AS21" i="4" s="1"/>
  <c r="AT21" i="4" s="1"/>
  <c r="AU21" i="4" s="1"/>
  <c r="AV21" i="4" s="1"/>
  <c r="AK28" i="4"/>
  <c r="AO28" i="4" s="1"/>
  <c r="AQ28" i="4" s="1"/>
  <c r="AS28" i="4" s="1"/>
  <c r="AT28" i="4" s="1"/>
  <c r="AU28" i="4" s="1"/>
  <c r="AV28" i="4" s="1"/>
  <c r="AK12" i="4"/>
  <c r="AO12" i="4" s="1"/>
  <c r="AQ12" i="4" s="1"/>
  <c r="Z12" i="4"/>
  <c r="HH36" i="4"/>
  <c r="IU12" i="4"/>
  <c r="DT12" i="4"/>
  <c r="EB12" i="4" s="1"/>
  <c r="Z9" i="4"/>
  <c r="Z7" i="4"/>
  <c r="Z28" i="4"/>
  <c r="Z10" i="4"/>
  <c r="AA30" i="4"/>
  <c r="AA17" i="4"/>
  <c r="Z30" i="4"/>
  <c r="AC22" i="4"/>
  <c r="AA28" i="4"/>
  <c r="AC10" i="4"/>
  <c r="Z21" i="4"/>
  <c r="Z19" i="4"/>
  <c r="AA19" i="4"/>
  <c r="Z17" i="4"/>
  <c r="AA13" i="4"/>
  <c r="AA20" i="4"/>
  <c r="AC24" i="4"/>
  <c r="AA10" i="4"/>
  <c r="Z20" i="4"/>
  <c r="AC35" i="4"/>
  <c r="Z14" i="4"/>
  <c r="AC33" i="4"/>
  <c r="AC9" i="4"/>
  <c r="Z13" i="4"/>
  <c r="AC11" i="4"/>
  <c r="Z11" i="4"/>
  <c r="AA11" i="4"/>
  <c r="AC8" i="4"/>
  <c r="Z16" i="4"/>
  <c r="AA14" i="4"/>
  <c r="Z23" i="4"/>
  <c r="AC23" i="4"/>
  <c r="AA9" i="4"/>
  <c r="AC15" i="4"/>
  <c r="Z15" i="4"/>
  <c r="AC34" i="4"/>
  <c r="Z34" i="4"/>
  <c r="AA16" i="4"/>
  <c r="Z27" i="4"/>
  <c r="AA27" i="4"/>
  <c r="AC29" i="4"/>
  <c r="Z29" i="4"/>
  <c r="AA29" i="4"/>
  <c r="Z8" i="4"/>
  <c r="AA5" i="4"/>
  <c r="AA8" i="4"/>
  <c r="Z32" i="4"/>
  <c r="AC32" i="4"/>
  <c r="Z6" i="4"/>
  <c r="AA6" i="4"/>
  <c r="AC6" i="4"/>
  <c r="AC26" i="4"/>
  <c r="AA26" i="4"/>
  <c r="Z26" i="4"/>
  <c r="AC7" i="4"/>
  <c r="AA7" i="4"/>
  <c r="AC5" i="4"/>
  <c r="Z5" i="4"/>
  <c r="Z31" i="4"/>
  <c r="AC31" i="4"/>
  <c r="AC18" i="4"/>
  <c r="Z18" i="4"/>
  <c r="AA18" i="4"/>
  <c r="AC4" i="4" l="1"/>
  <c r="AK4" i="4" s="1"/>
  <c r="AO4" i="4" s="1"/>
  <c r="Z4" i="4"/>
  <c r="X25" i="4"/>
  <c r="Y25" i="4" s="1"/>
  <c r="W36" i="4"/>
  <c r="W45" i="4" s="1"/>
  <c r="AW13" i="4"/>
  <c r="AX13" i="4" s="1"/>
  <c r="AS13" i="4"/>
  <c r="AT13" i="4" s="1"/>
  <c r="AU13" i="4" s="1"/>
  <c r="AV13" i="4" s="1"/>
  <c r="AS19" i="4"/>
  <c r="AT19" i="4" s="1"/>
  <c r="AU19" i="4" s="1"/>
  <c r="AV19" i="4" s="1"/>
  <c r="AW19" i="4"/>
  <c r="AZ19" i="4" s="1"/>
  <c r="AW20" i="4"/>
  <c r="AX20" i="4" s="1"/>
  <c r="AS20" i="4"/>
  <c r="AT20" i="4" s="1"/>
  <c r="AU20" i="4" s="1"/>
  <c r="AV20" i="4" s="1"/>
  <c r="AW30" i="4"/>
  <c r="AX30" i="4" s="1"/>
  <c r="AS30" i="4"/>
  <c r="AT30" i="4" s="1"/>
  <c r="AU30" i="4" s="1"/>
  <c r="AV30" i="4" s="1"/>
  <c r="AW16" i="4"/>
  <c r="AX16" i="4" s="1"/>
  <c r="AS16" i="4"/>
  <c r="AT16" i="4" s="1"/>
  <c r="AU16" i="4" s="1"/>
  <c r="AV16" i="4" s="1"/>
  <c r="AS17" i="4"/>
  <c r="AT17" i="4" s="1"/>
  <c r="AU17" i="4" s="1"/>
  <c r="AV17" i="4" s="1"/>
  <c r="AX17" i="4" s="1"/>
  <c r="AY17" i="4" s="1"/>
  <c r="AW27" i="4"/>
  <c r="AZ27" i="4" s="1"/>
  <c r="AS27" i="4"/>
  <c r="AT27" i="4" s="1"/>
  <c r="AU27" i="4" s="1"/>
  <c r="AV27" i="4" s="1"/>
  <c r="AS14" i="4"/>
  <c r="AT14" i="4" s="1"/>
  <c r="AU14" i="4" s="1"/>
  <c r="AV14" i="4" s="1"/>
  <c r="AW14" i="4"/>
  <c r="AX14" i="4" s="1"/>
  <c r="AW12" i="4"/>
  <c r="AX12" i="4" s="1"/>
  <c r="AS12" i="4"/>
  <c r="AT12" i="4" s="1"/>
  <c r="AU12" i="4" s="1"/>
  <c r="AV12" i="4" s="1"/>
  <c r="AK23" i="4"/>
  <c r="AO23" i="4" s="1"/>
  <c r="AQ23" i="4" s="1"/>
  <c r="AW28" i="4"/>
  <c r="AX28" i="4" s="1"/>
  <c r="AY28" i="4" s="1"/>
  <c r="AK11" i="4"/>
  <c r="AO11" i="4" s="1"/>
  <c r="AQ11" i="4" s="1"/>
  <c r="AK35" i="4"/>
  <c r="AO35" i="4" s="1"/>
  <c r="AQ35" i="4" s="1"/>
  <c r="AK10" i="4"/>
  <c r="AO10" i="4" s="1"/>
  <c r="AQ10" i="4" s="1"/>
  <c r="AK9" i="4"/>
  <c r="AO9" i="4" s="1"/>
  <c r="AQ9" i="4" s="1"/>
  <c r="AK26" i="4"/>
  <c r="AO26" i="4" s="1"/>
  <c r="AQ26" i="4" s="1"/>
  <c r="AK31" i="4"/>
  <c r="AO31" i="4" s="1"/>
  <c r="AQ31" i="4" s="1"/>
  <c r="AK5" i="4"/>
  <c r="AO5" i="4" s="1"/>
  <c r="AQ5" i="4" s="1"/>
  <c r="AK6" i="4"/>
  <c r="AO6" i="4" s="1"/>
  <c r="AQ6" i="4" s="1"/>
  <c r="AK22" i="4"/>
  <c r="AO22" i="4" s="1"/>
  <c r="AQ22" i="4" s="1"/>
  <c r="AK7" i="4"/>
  <c r="AO7" i="4" s="1"/>
  <c r="AQ7" i="4" s="1"/>
  <c r="AK33" i="4"/>
  <c r="AO33" i="4" s="1"/>
  <c r="AQ33" i="4" s="1"/>
  <c r="AS33" i="4" s="1"/>
  <c r="AT33" i="4" s="1"/>
  <c r="AU33" i="4" s="1"/>
  <c r="AV33" i="4" s="1"/>
  <c r="AK24" i="4"/>
  <c r="AO24" i="4" s="1"/>
  <c r="AQ24" i="4" s="1"/>
  <c r="AK34" i="4"/>
  <c r="AO34" i="4" s="1"/>
  <c r="AQ34" i="4" s="1"/>
  <c r="AK32" i="4"/>
  <c r="AO32" i="4" s="1"/>
  <c r="AQ32" i="4" s="1"/>
  <c r="AK15" i="4"/>
  <c r="AO15" i="4" s="1"/>
  <c r="AQ15" i="4" s="1"/>
  <c r="AW15" i="4" s="1"/>
  <c r="CO15" i="4" s="1"/>
  <c r="AK8" i="4"/>
  <c r="AO8" i="4" s="1"/>
  <c r="AQ8" i="4" s="1"/>
  <c r="AK18" i="4"/>
  <c r="AO18" i="4" s="1"/>
  <c r="AQ18" i="4" s="1"/>
  <c r="AS18" i="4" s="1"/>
  <c r="AT18" i="4" s="1"/>
  <c r="AU18" i="4" s="1"/>
  <c r="AV18" i="4" s="1"/>
  <c r="AK29" i="4"/>
  <c r="AO29" i="4" s="1"/>
  <c r="AQ29" i="4" s="1"/>
  <c r="AW21" i="4"/>
  <c r="AZ21" i="4" s="1"/>
  <c r="HV22" i="4"/>
  <c r="HP36" i="4"/>
  <c r="CO17" i="4"/>
  <c r="CW17" i="4" s="1"/>
  <c r="CO13" i="4"/>
  <c r="CW13" i="4" s="1"/>
  <c r="CO16" i="4"/>
  <c r="CW16" i="4" s="1"/>
  <c r="CO14" i="4"/>
  <c r="CW14" i="4" s="1"/>
  <c r="CO20" i="4"/>
  <c r="CW20" i="4" s="1"/>
  <c r="CO27" i="4"/>
  <c r="CW27" i="4" s="1"/>
  <c r="CO30" i="4"/>
  <c r="CW30" i="4" s="1"/>
  <c r="EY12" i="4"/>
  <c r="FG12" i="4" s="1"/>
  <c r="GD12" i="4" s="1"/>
  <c r="GL12" i="4" s="1"/>
  <c r="HI12" i="4" s="1"/>
  <c r="HQ12" i="4" s="1"/>
  <c r="IN12" i="4" s="1"/>
  <c r="IV12" i="4" s="1"/>
  <c r="Z25" i="4" l="1"/>
  <c r="Z36" i="4" s="1"/>
  <c r="AC25" i="4"/>
  <c r="AA25" i="4"/>
  <c r="Y36" i="4"/>
  <c r="AY20" i="4"/>
  <c r="AZ30" i="4"/>
  <c r="AY16" i="4"/>
  <c r="AY13" i="4"/>
  <c r="AX19" i="4"/>
  <c r="AY19" i="4" s="1"/>
  <c r="AZ20" i="4"/>
  <c r="AZ13" i="4"/>
  <c r="AS22" i="4"/>
  <c r="AT22" i="4" s="1"/>
  <c r="AU22" i="4" s="1"/>
  <c r="AV22" i="4" s="1"/>
  <c r="AW22" i="4"/>
  <c r="AX22" i="4" s="1"/>
  <c r="AW31" i="4"/>
  <c r="AZ31" i="4" s="1"/>
  <c r="AS31" i="4"/>
  <c r="AT31" i="4" s="1"/>
  <c r="AU31" i="4" s="1"/>
  <c r="AV31" i="4" s="1"/>
  <c r="AY14" i="4"/>
  <c r="AY30" i="4"/>
  <c r="AW6" i="4"/>
  <c r="CO6" i="4" s="1"/>
  <c r="AS6" i="4"/>
  <c r="AT6" i="4" s="1"/>
  <c r="AU6" i="4" s="1"/>
  <c r="AV6" i="4" s="1"/>
  <c r="AS35" i="4"/>
  <c r="AT35" i="4" s="1"/>
  <c r="AU35" i="4" s="1"/>
  <c r="AV35" i="4" s="1"/>
  <c r="AW35" i="4"/>
  <c r="AX35" i="4" s="1"/>
  <c r="AS10" i="4"/>
  <c r="AT10" i="4" s="1"/>
  <c r="AU10" i="4" s="1"/>
  <c r="AV10" i="4" s="1"/>
  <c r="AW10" i="4"/>
  <c r="AS34" i="4"/>
  <c r="AT34" i="4" s="1"/>
  <c r="AU34" i="4" s="1"/>
  <c r="AV34" i="4" s="1"/>
  <c r="AW34" i="4"/>
  <c r="AX34" i="4" s="1"/>
  <c r="AY12" i="4"/>
  <c r="AZ16" i="4"/>
  <c r="AZ14" i="4"/>
  <c r="AS8" i="4"/>
  <c r="AT8" i="4" s="1"/>
  <c r="AU8" i="4" s="1"/>
  <c r="AV8" i="4" s="1"/>
  <c r="AW8" i="4"/>
  <c r="AX8" i="4" s="1"/>
  <c r="AW23" i="4"/>
  <c r="AX23" i="4" s="1"/>
  <c r="AS23" i="4"/>
  <c r="AT23" i="4" s="1"/>
  <c r="AU23" i="4" s="1"/>
  <c r="AV23" i="4" s="1"/>
  <c r="AW29" i="4"/>
  <c r="AX29" i="4" s="1"/>
  <c r="AS29" i="4"/>
  <c r="AT29" i="4" s="1"/>
  <c r="AU29" i="4" s="1"/>
  <c r="AV29" i="4" s="1"/>
  <c r="AW7" i="4"/>
  <c r="AZ7" i="4" s="1"/>
  <c r="AS7" i="4"/>
  <c r="AT7" i="4" s="1"/>
  <c r="AU7" i="4" s="1"/>
  <c r="AV7" i="4" s="1"/>
  <c r="AW11" i="4"/>
  <c r="AX11" i="4" s="1"/>
  <c r="AS11" i="4"/>
  <c r="AT11" i="4" s="1"/>
  <c r="AU11" i="4" s="1"/>
  <c r="AV11" i="4" s="1"/>
  <c r="AW32" i="4"/>
  <c r="AS32" i="4"/>
  <c r="AT32" i="4" s="1"/>
  <c r="AU32" i="4" s="1"/>
  <c r="AV32" i="4" s="1"/>
  <c r="AS26" i="4"/>
  <c r="AT26" i="4" s="1"/>
  <c r="AU26" i="4" s="1"/>
  <c r="AV26" i="4" s="1"/>
  <c r="AW26" i="4"/>
  <c r="AS9" i="4"/>
  <c r="AT9" i="4" s="1"/>
  <c r="AU9" i="4" s="1"/>
  <c r="AV9" i="4" s="1"/>
  <c r="AW9" i="4"/>
  <c r="AX9" i="4" s="1"/>
  <c r="AW24" i="4"/>
  <c r="AX24" i="4" s="1"/>
  <c r="AS24" i="4"/>
  <c r="AT24" i="4" s="1"/>
  <c r="AU24" i="4" s="1"/>
  <c r="AV24" i="4" s="1"/>
  <c r="AW5" i="4"/>
  <c r="AZ5" i="4" s="1"/>
  <c r="AS5" i="4"/>
  <c r="AT5" i="4" s="1"/>
  <c r="AU5" i="4" s="1"/>
  <c r="AV5" i="4" s="1"/>
  <c r="AX21" i="4"/>
  <c r="AY21" i="4" s="1"/>
  <c r="AW18" i="4"/>
  <c r="AZ18" i="4" s="1"/>
  <c r="AS15" i="4"/>
  <c r="AT15" i="4" s="1"/>
  <c r="AU15" i="4" s="1"/>
  <c r="AV15" i="4" s="1"/>
  <c r="AZ15" i="4" s="1"/>
  <c r="AZ12" i="4"/>
  <c r="AW33" i="4"/>
  <c r="AX33" i="4" s="1"/>
  <c r="AY33" i="4" s="1"/>
  <c r="AZ28" i="4"/>
  <c r="AX27" i="4"/>
  <c r="AY27" i="4" s="1"/>
  <c r="IM22" i="4"/>
  <c r="HV36" i="4"/>
  <c r="DT17" i="4"/>
  <c r="EB17" i="4" s="1"/>
  <c r="DT20" i="4"/>
  <c r="EB20" i="4" s="1"/>
  <c r="DT14" i="4"/>
  <c r="EB14" i="4" s="1"/>
  <c r="CO18" i="4"/>
  <c r="CW18" i="4" s="1"/>
  <c r="CO21" i="4"/>
  <c r="CW21" i="4" s="1"/>
  <c r="DT30" i="4"/>
  <c r="EB30" i="4" s="1"/>
  <c r="DT16" i="4"/>
  <c r="EB16" i="4" s="1"/>
  <c r="CO26" i="4"/>
  <c r="CW26" i="4" s="1"/>
  <c r="CO25" i="4"/>
  <c r="CW25" i="4" s="1"/>
  <c r="CO35" i="4"/>
  <c r="CW35" i="4" s="1"/>
  <c r="CO19" i="4"/>
  <c r="CW19" i="4" s="1"/>
  <c r="CO23" i="4"/>
  <c r="CW23" i="4" s="1"/>
  <c r="CO5" i="4"/>
  <c r="CW5" i="4" s="1"/>
  <c r="DT27" i="4"/>
  <c r="EB27" i="4" s="1"/>
  <c r="DT13" i="4"/>
  <c r="EB13" i="4" s="1"/>
  <c r="CO11" i="4"/>
  <c r="CW11" i="4" s="1"/>
  <c r="CO29" i="4"/>
  <c r="CW29" i="4" s="1"/>
  <c r="CO24" i="4"/>
  <c r="CW24" i="4" s="1"/>
  <c r="CO10" i="4"/>
  <c r="CW10" i="4" s="1"/>
  <c r="CO32" i="4"/>
  <c r="CW32" i="4" s="1"/>
  <c r="CO7" i="4"/>
  <c r="CW7" i="4" s="1"/>
  <c r="CO31" i="4"/>
  <c r="CW31" i="4" s="1"/>
  <c r="CO28" i="4"/>
  <c r="CW28" i="4" s="1"/>
  <c r="AX15" i="4"/>
  <c r="AQ4" i="4"/>
  <c r="AA36" i="4" l="1"/>
  <c r="Y45" i="4"/>
  <c r="AK25" i="4"/>
  <c r="AC36" i="4"/>
  <c r="AZ23" i="4"/>
  <c r="AY35" i="4"/>
  <c r="AX7" i="4"/>
  <c r="AY7" i="4" s="1"/>
  <c r="AZ35" i="4"/>
  <c r="AY22" i="4"/>
  <c r="AZ22" i="4"/>
  <c r="AX6" i="4"/>
  <c r="AX18" i="4"/>
  <c r="AY18" i="4" s="1"/>
  <c r="AY9" i="4"/>
  <c r="AZ9" i="4"/>
  <c r="AY8" i="4"/>
  <c r="AZ10" i="4"/>
  <c r="AX31" i="4"/>
  <c r="AY31" i="4" s="1"/>
  <c r="AX5" i="4"/>
  <c r="AY5" i="4" s="1"/>
  <c r="AZ26" i="4"/>
  <c r="AZ6" i="4"/>
  <c r="AX26" i="4"/>
  <c r="AY26" i="4" s="1"/>
  <c r="AY24" i="4"/>
  <c r="AZ32" i="4"/>
  <c r="AY23" i="4"/>
  <c r="AZ34" i="4"/>
  <c r="AY29" i="4"/>
  <c r="AY6" i="4"/>
  <c r="AZ33" i="4"/>
  <c r="AZ24" i="4"/>
  <c r="AZ8" i="4"/>
  <c r="AY34" i="4"/>
  <c r="AX32" i="4"/>
  <c r="AY32" i="4" s="1"/>
  <c r="AY11" i="4"/>
  <c r="AX10" i="4"/>
  <c r="AY10" i="4" s="1"/>
  <c r="AZ29" i="4"/>
  <c r="AY15" i="4"/>
  <c r="AZ11" i="4"/>
  <c r="IU22" i="4"/>
  <c r="IU36" i="4" s="1"/>
  <c r="IM36" i="4"/>
  <c r="DT32" i="4"/>
  <c r="EB32" i="4" s="1"/>
  <c r="DT7" i="4"/>
  <c r="EB7" i="4" s="1"/>
  <c r="DT26" i="4"/>
  <c r="EB26" i="4" s="1"/>
  <c r="EY20" i="4"/>
  <c r="FG20" i="4" s="1"/>
  <c r="GD20" i="4" s="1"/>
  <c r="GL20" i="4" s="1"/>
  <c r="HI20" i="4" s="1"/>
  <c r="HQ20" i="4" s="1"/>
  <c r="IN20" i="4" s="1"/>
  <c r="IV20" i="4" s="1"/>
  <c r="EY27" i="4"/>
  <c r="FG27" i="4" s="1"/>
  <c r="GD27" i="4" s="1"/>
  <c r="GL27" i="4" s="1"/>
  <c r="HI27" i="4" s="1"/>
  <c r="HQ27" i="4" s="1"/>
  <c r="IN27" i="4" s="1"/>
  <c r="IV27" i="4" s="1"/>
  <c r="EY17" i="4"/>
  <c r="FG17" i="4" s="1"/>
  <c r="GD17" i="4" s="1"/>
  <c r="GL17" i="4" s="1"/>
  <c r="HI17" i="4" s="1"/>
  <c r="HQ17" i="4" s="1"/>
  <c r="IN17" i="4" s="1"/>
  <c r="IV17" i="4" s="1"/>
  <c r="DT5" i="4"/>
  <c r="EB5" i="4" s="1"/>
  <c r="DT23" i="4"/>
  <c r="EB23" i="4" s="1"/>
  <c r="EY30" i="4"/>
  <c r="FG30" i="4" s="1"/>
  <c r="GD30" i="4" s="1"/>
  <c r="GL30" i="4" s="1"/>
  <c r="HI30" i="4" s="1"/>
  <c r="HQ30" i="4" s="1"/>
  <c r="IN30" i="4" s="1"/>
  <c r="IV30" i="4" s="1"/>
  <c r="DT24" i="4"/>
  <c r="EB24" i="4" s="1"/>
  <c r="DT21" i="4"/>
  <c r="EB21" i="4" s="1"/>
  <c r="DT29" i="4"/>
  <c r="EB29" i="4" s="1"/>
  <c r="DT18" i="4"/>
  <c r="EB18" i="4" s="1"/>
  <c r="DT11" i="4"/>
  <c r="EB11" i="4" s="1"/>
  <c r="DT35" i="4"/>
  <c r="EB35" i="4" s="1"/>
  <c r="DT31" i="4"/>
  <c r="EB31" i="4" s="1"/>
  <c r="DT25" i="4"/>
  <c r="EB25" i="4" s="1"/>
  <c r="DT28" i="4"/>
  <c r="EB28" i="4" s="1"/>
  <c r="DT19" i="4"/>
  <c r="EB19" i="4" s="1"/>
  <c r="CO33" i="4"/>
  <c r="CW33" i="4" s="1"/>
  <c r="CO8" i="4"/>
  <c r="CW8" i="4" s="1"/>
  <c r="CO22" i="4"/>
  <c r="CW22" i="4" s="1"/>
  <c r="DT10" i="4"/>
  <c r="EB10" i="4" s="1"/>
  <c r="EY14" i="4"/>
  <c r="FG14" i="4" s="1"/>
  <c r="GD14" i="4" s="1"/>
  <c r="GL14" i="4" s="1"/>
  <c r="HI14" i="4" s="1"/>
  <c r="HQ14" i="4" s="1"/>
  <c r="IN14" i="4" s="1"/>
  <c r="IV14" i="4" s="1"/>
  <c r="EY16" i="4"/>
  <c r="FG16" i="4" s="1"/>
  <c r="GD16" i="4" s="1"/>
  <c r="GL16" i="4" s="1"/>
  <c r="HI16" i="4" s="1"/>
  <c r="HQ16" i="4" s="1"/>
  <c r="IN16" i="4" s="1"/>
  <c r="IV16" i="4" s="1"/>
  <c r="CO34" i="4"/>
  <c r="CW34" i="4" s="1"/>
  <c r="EY13" i="4"/>
  <c r="FG13" i="4" s="1"/>
  <c r="GD13" i="4" s="1"/>
  <c r="GL13" i="4" s="1"/>
  <c r="HI13" i="4" s="1"/>
  <c r="HQ13" i="4" s="1"/>
  <c r="IN13" i="4" s="1"/>
  <c r="IV13" i="4" s="1"/>
  <c r="CO9" i="4"/>
  <c r="CW9" i="4" s="1"/>
  <c r="AS4" i="4"/>
  <c r="AW4" i="4"/>
  <c r="AO25" i="4" l="1"/>
  <c r="AK36" i="4"/>
  <c r="AK45" i="4" s="1"/>
  <c r="DT33" i="4"/>
  <c r="EB33" i="4" s="1"/>
  <c r="EY29" i="4"/>
  <c r="FG29" i="4" s="1"/>
  <c r="GD29" i="4" s="1"/>
  <c r="GL29" i="4" s="1"/>
  <c r="HI29" i="4" s="1"/>
  <c r="HQ29" i="4" s="1"/>
  <c r="IN29" i="4" s="1"/>
  <c r="IV29" i="4" s="1"/>
  <c r="EY23" i="4"/>
  <c r="FG23" i="4" s="1"/>
  <c r="GD23" i="4" s="1"/>
  <c r="GL23" i="4" s="1"/>
  <c r="HI23" i="4" s="1"/>
  <c r="HQ23" i="4" s="1"/>
  <c r="IN23" i="4" s="1"/>
  <c r="IV23" i="4" s="1"/>
  <c r="EY31" i="4"/>
  <c r="FG31" i="4" s="1"/>
  <c r="GD31" i="4" s="1"/>
  <c r="GL31" i="4" s="1"/>
  <c r="HI31" i="4" s="1"/>
  <c r="HQ31" i="4" s="1"/>
  <c r="IN31" i="4" s="1"/>
  <c r="IV31" i="4" s="1"/>
  <c r="DT9" i="4"/>
  <c r="EB9" i="4" s="1"/>
  <c r="DT34" i="4"/>
  <c r="EB34" i="4" s="1"/>
  <c r="EY28" i="4"/>
  <c r="FG28" i="4" s="1"/>
  <c r="GD28" i="4" s="1"/>
  <c r="GL28" i="4" s="1"/>
  <c r="HI28" i="4" s="1"/>
  <c r="HQ28" i="4" s="1"/>
  <c r="IN28" i="4" s="1"/>
  <c r="IV28" i="4" s="1"/>
  <c r="EY24" i="4"/>
  <c r="FG24" i="4" s="1"/>
  <c r="GD24" i="4" s="1"/>
  <c r="GL24" i="4" s="1"/>
  <c r="HI24" i="4" s="1"/>
  <c r="HQ24" i="4" s="1"/>
  <c r="IN24" i="4" s="1"/>
  <c r="IV24" i="4" s="1"/>
  <c r="EY7" i="4"/>
  <c r="FG7" i="4" s="1"/>
  <c r="GD7" i="4" s="1"/>
  <c r="GL7" i="4" s="1"/>
  <c r="HI7" i="4" s="1"/>
  <c r="HQ7" i="4" s="1"/>
  <c r="IN7" i="4" s="1"/>
  <c r="IV7" i="4" s="1"/>
  <c r="EY25" i="4"/>
  <c r="FG25" i="4" s="1"/>
  <c r="GD25" i="4" s="1"/>
  <c r="GL25" i="4" s="1"/>
  <c r="HI25" i="4" s="1"/>
  <c r="HQ25" i="4" s="1"/>
  <c r="IN25" i="4" s="1"/>
  <c r="IV25" i="4" s="1"/>
  <c r="EY19" i="4"/>
  <c r="FG19" i="4" s="1"/>
  <c r="GD19" i="4" s="1"/>
  <c r="GL19" i="4" s="1"/>
  <c r="HI19" i="4" s="1"/>
  <c r="HQ19" i="4" s="1"/>
  <c r="IN19" i="4" s="1"/>
  <c r="IV19" i="4" s="1"/>
  <c r="DT22" i="4"/>
  <c r="EB22" i="4" s="1"/>
  <c r="EY11" i="4"/>
  <c r="FG11" i="4" s="1"/>
  <c r="GD11" i="4" s="1"/>
  <c r="GL11" i="4" s="1"/>
  <c r="HI11" i="4" s="1"/>
  <c r="HQ11" i="4" s="1"/>
  <c r="IN11" i="4" s="1"/>
  <c r="IV11" i="4" s="1"/>
  <c r="DT8" i="4"/>
  <c r="EB8" i="4" s="1"/>
  <c r="EY18" i="4"/>
  <c r="FG18" i="4" s="1"/>
  <c r="GD18" i="4" s="1"/>
  <c r="GL18" i="4" s="1"/>
  <c r="HI18" i="4" s="1"/>
  <c r="HQ18" i="4" s="1"/>
  <c r="IN18" i="4" s="1"/>
  <c r="IV18" i="4" s="1"/>
  <c r="EY32" i="4"/>
  <c r="FG32" i="4" s="1"/>
  <c r="GD32" i="4" s="1"/>
  <c r="GL32" i="4" s="1"/>
  <c r="HI32" i="4" s="1"/>
  <c r="HQ32" i="4" s="1"/>
  <c r="IN32" i="4" s="1"/>
  <c r="IV32" i="4" s="1"/>
  <c r="EY10" i="4"/>
  <c r="FG10" i="4" s="1"/>
  <c r="GD10" i="4" s="1"/>
  <c r="GL10" i="4" s="1"/>
  <c r="HI10" i="4" s="1"/>
  <c r="HQ10" i="4" s="1"/>
  <c r="IN10" i="4" s="1"/>
  <c r="IV10" i="4" s="1"/>
  <c r="EY35" i="4"/>
  <c r="FG35" i="4" s="1"/>
  <c r="GD35" i="4" s="1"/>
  <c r="GL35" i="4" s="1"/>
  <c r="HI35" i="4" s="1"/>
  <c r="HQ35" i="4" s="1"/>
  <c r="IN35" i="4" s="1"/>
  <c r="IV35" i="4" s="1"/>
  <c r="EY21" i="4"/>
  <c r="FG21" i="4" s="1"/>
  <c r="GD21" i="4" s="1"/>
  <c r="GL21" i="4" s="1"/>
  <c r="HI21" i="4" s="1"/>
  <c r="HQ21" i="4" s="1"/>
  <c r="IN21" i="4" s="1"/>
  <c r="IV21" i="4" s="1"/>
  <c r="EY5" i="4"/>
  <c r="FG5" i="4" s="1"/>
  <c r="GD5" i="4" s="1"/>
  <c r="GL5" i="4" s="1"/>
  <c r="HI5" i="4" s="1"/>
  <c r="HQ5" i="4" s="1"/>
  <c r="IN5" i="4" s="1"/>
  <c r="IV5" i="4" s="1"/>
  <c r="EY26" i="4"/>
  <c r="FG26" i="4" s="1"/>
  <c r="GD26" i="4" s="1"/>
  <c r="GL26" i="4" s="1"/>
  <c r="HI26" i="4" s="1"/>
  <c r="HQ26" i="4" s="1"/>
  <c r="IN26" i="4" s="1"/>
  <c r="IV26" i="4" s="1"/>
  <c r="AZ4" i="4"/>
  <c r="AT4" i="4"/>
  <c r="AQ25" i="4" l="1"/>
  <c r="AO36" i="4"/>
  <c r="AO45" i="4" s="1"/>
  <c r="EY22" i="4"/>
  <c r="FG22" i="4" s="1"/>
  <c r="GD22" i="4" s="1"/>
  <c r="GL22" i="4" s="1"/>
  <c r="HI22" i="4" s="1"/>
  <c r="HQ22" i="4" s="1"/>
  <c r="IN22" i="4" s="1"/>
  <c r="IV22" i="4" s="1"/>
  <c r="CO4" i="4"/>
  <c r="CW4" i="4" s="1"/>
  <c r="EY8" i="4"/>
  <c r="FG8" i="4" s="1"/>
  <c r="GD8" i="4" s="1"/>
  <c r="GL8" i="4" s="1"/>
  <c r="HI8" i="4" s="1"/>
  <c r="HQ8" i="4" s="1"/>
  <c r="IN8" i="4" s="1"/>
  <c r="IV8" i="4" s="1"/>
  <c r="EY34" i="4"/>
  <c r="FG34" i="4" s="1"/>
  <c r="GD34" i="4" s="1"/>
  <c r="GL34" i="4" s="1"/>
  <c r="HI34" i="4" s="1"/>
  <c r="HQ34" i="4" s="1"/>
  <c r="IN34" i="4" s="1"/>
  <c r="IV34" i="4" s="1"/>
  <c r="EY9" i="4"/>
  <c r="FG9" i="4" s="1"/>
  <c r="GD9" i="4" s="1"/>
  <c r="GL9" i="4" s="1"/>
  <c r="HI9" i="4" s="1"/>
  <c r="HQ9" i="4" s="1"/>
  <c r="IN9" i="4" s="1"/>
  <c r="IV9" i="4" s="1"/>
  <c r="EY33" i="4"/>
  <c r="FG33" i="4" s="1"/>
  <c r="GD33" i="4" s="1"/>
  <c r="GL33" i="4" s="1"/>
  <c r="HI33" i="4" s="1"/>
  <c r="HQ33" i="4" s="1"/>
  <c r="IN33" i="4" s="1"/>
  <c r="IV33" i="4" s="1"/>
  <c r="AU4" i="4"/>
  <c r="AV4" i="4" s="1"/>
  <c r="AX4" i="4" s="1"/>
  <c r="AS25" i="4" l="1"/>
  <c r="AW25" i="4"/>
  <c r="AQ36" i="4"/>
  <c r="DT4" i="4"/>
  <c r="EB4" i="4" s="1"/>
  <c r="AY4" i="4"/>
  <c r="AX25" i="4" l="1"/>
  <c r="AX36" i="4" s="1"/>
  <c r="AT25" i="4"/>
  <c r="AS36" i="4"/>
  <c r="EY4" i="4"/>
  <c r="FG4" i="4" s="1"/>
  <c r="GD4" i="4" s="1"/>
  <c r="GL4" i="4" s="1"/>
  <c r="HI4" i="4" s="1"/>
  <c r="HQ4" i="4" s="1"/>
  <c r="IN4" i="4" s="1"/>
  <c r="IV4" i="4" s="1"/>
  <c r="AU25" i="4" l="1"/>
  <c r="AT36" i="4"/>
  <c r="AT45" i="4" l="1"/>
  <c r="AY41" i="4"/>
  <c r="AV25" i="4"/>
  <c r="AZ25" i="4" s="1"/>
  <c r="AZ36" i="4" s="1"/>
  <c r="AY25" i="4"/>
  <c r="AX45" i="4"/>
  <c r="BA27" i="4" l="1"/>
  <c r="BA4" i="4"/>
  <c r="BA12" i="4"/>
  <c r="BA20" i="4"/>
  <c r="BA28" i="4"/>
  <c r="BA11" i="4"/>
  <c r="BA5" i="4"/>
  <c r="BA13" i="4"/>
  <c r="BA21" i="4"/>
  <c r="BA29" i="4"/>
  <c r="BA34" i="4"/>
  <c r="BA35" i="4"/>
  <c r="BA6" i="4"/>
  <c r="BA14" i="4"/>
  <c r="BA22" i="4"/>
  <c r="BA30" i="4"/>
  <c r="BA7" i="4"/>
  <c r="BA15" i="4"/>
  <c r="BA23" i="4"/>
  <c r="BA31" i="4"/>
  <c r="BA10" i="4"/>
  <c r="BA19" i="4"/>
  <c r="BA8" i="4"/>
  <c r="BA16" i="4"/>
  <c r="BA24" i="4"/>
  <c r="BA32" i="4"/>
  <c r="BA9" i="4"/>
  <c r="BA17" i="4"/>
  <c r="BA25" i="4"/>
  <c r="BA33" i="4"/>
  <c r="BA18" i="4"/>
  <c r="BA26" i="4"/>
  <c r="AZ45" i="4"/>
  <c r="BC9" i="4"/>
  <c r="BD9" i="4" s="1"/>
  <c r="BC35" i="4"/>
  <c r="BD35" i="4" s="1"/>
  <c r="BC14" i="4"/>
  <c r="BD14" i="4" s="1"/>
  <c r="BC10" i="4"/>
  <c r="BD10" i="4" s="1"/>
  <c r="BC12" i="4"/>
  <c r="BD12" i="4" s="1"/>
  <c r="BC7" i="4"/>
  <c r="BD7" i="4" s="1"/>
  <c r="BC15" i="4"/>
  <c r="BD15" i="4" s="1"/>
  <c r="BC6" i="4"/>
  <c r="BD6" i="4" s="1"/>
  <c r="BC26" i="4"/>
  <c r="BD26" i="4" s="1"/>
  <c r="BC34" i="4"/>
  <c r="BD34" i="4" s="1"/>
  <c r="BC33" i="4"/>
  <c r="BD33" i="4" s="1"/>
  <c r="BC13" i="4"/>
  <c r="BD13" i="4" s="1"/>
  <c r="BC31" i="4"/>
  <c r="BD31" i="4" s="1"/>
  <c r="BC18" i="4"/>
  <c r="BD18" i="4" s="1"/>
  <c r="BC32" i="4"/>
  <c r="BD32" i="4" s="1"/>
  <c r="BC21" i="4"/>
  <c r="BD21" i="4" s="1"/>
  <c r="BC8" i="4"/>
  <c r="BD8" i="4" s="1"/>
  <c r="BC11" i="4"/>
  <c r="BD11" i="4" s="1"/>
  <c r="BC30" i="4"/>
  <c r="BD30" i="4" s="1"/>
  <c r="BC24" i="4"/>
  <c r="BD24" i="4" s="1"/>
  <c r="BC20" i="4"/>
  <c r="BD20" i="4" s="1"/>
  <c r="BC28" i="4"/>
  <c r="BD28" i="4" s="1"/>
  <c r="BC19" i="4"/>
  <c r="BD19" i="4" s="1"/>
  <c r="BC22" i="4"/>
  <c r="BD22" i="4" s="1"/>
  <c r="BC5" i="4"/>
  <c r="BD5" i="4" s="1"/>
  <c r="BC27" i="4"/>
  <c r="BD27" i="4" s="1"/>
  <c r="BC17" i="4"/>
  <c r="BD17" i="4" s="1"/>
  <c r="AY45" i="4"/>
  <c r="BC23" i="4"/>
  <c r="BD23" i="4" s="1"/>
  <c r="BC25" i="4"/>
  <c r="BD25" i="4" s="1"/>
  <c r="BC16" i="4"/>
  <c r="BD16" i="4" s="1"/>
  <c r="BC29" i="4"/>
  <c r="BD29" i="4" s="1"/>
  <c r="BF25" i="4" l="1"/>
  <c r="BH25" i="4"/>
  <c r="BP25" i="4" s="1"/>
  <c r="BT25" i="4" s="1"/>
  <c r="BV25" i="4" s="1"/>
  <c r="BE25" i="4"/>
  <c r="BH28" i="4"/>
  <c r="BP28" i="4" s="1"/>
  <c r="BT28" i="4" s="1"/>
  <c r="BV28" i="4" s="1"/>
  <c r="BF28" i="4"/>
  <c r="BE28" i="4"/>
  <c r="BE32" i="4"/>
  <c r="BH32" i="4"/>
  <c r="BP32" i="4" s="1"/>
  <c r="BT32" i="4" s="1"/>
  <c r="BV32" i="4" s="1"/>
  <c r="BF15" i="4"/>
  <c r="BE15" i="4"/>
  <c r="BH15" i="4"/>
  <c r="BP15" i="4" s="1"/>
  <c r="BT15" i="4" s="1"/>
  <c r="BV15" i="4" s="1"/>
  <c r="BE23" i="4"/>
  <c r="BH23" i="4"/>
  <c r="BP23" i="4" s="1"/>
  <c r="BT23" i="4" s="1"/>
  <c r="BV23" i="4" s="1"/>
  <c r="BE20" i="4"/>
  <c r="BF20" i="4"/>
  <c r="BH20" i="4"/>
  <c r="BP20" i="4" s="1"/>
  <c r="BT20" i="4" s="1"/>
  <c r="BV20" i="4" s="1"/>
  <c r="BF18" i="4"/>
  <c r="BH18" i="4"/>
  <c r="BP18" i="4" s="1"/>
  <c r="BT18" i="4" s="1"/>
  <c r="BV18" i="4" s="1"/>
  <c r="BE18" i="4"/>
  <c r="BH7" i="4"/>
  <c r="BP7" i="4" s="1"/>
  <c r="BT7" i="4" s="1"/>
  <c r="BV7" i="4" s="1"/>
  <c r="BF7" i="4"/>
  <c r="BE7" i="4"/>
  <c r="BE24" i="4"/>
  <c r="BH24" i="4"/>
  <c r="BP24" i="4" s="1"/>
  <c r="BT24" i="4" s="1"/>
  <c r="BV24" i="4" s="1"/>
  <c r="BE31" i="4"/>
  <c r="BH31" i="4"/>
  <c r="BP31" i="4" s="1"/>
  <c r="BT31" i="4" s="1"/>
  <c r="BV31" i="4" s="1"/>
  <c r="BE12" i="4"/>
  <c r="BH12" i="4"/>
  <c r="BP12" i="4" s="1"/>
  <c r="BT12" i="4" s="1"/>
  <c r="BV12" i="4" s="1"/>
  <c r="CB12" i="4" s="1"/>
  <c r="CC12" i="4" s="1"/>
  <c r="BF12" i="4"/>
  <c r="BH17" i="4"/>
  <c r="BP17" i="4" s="1"/>
  <c r="BT17" i="4" s="1"/>
  <c r="BV17" i="4" s="1"/>
  <c r="BF17" i="4"/>
  <c r="BE17" i="4"/>
  <c r="BH30" i="4"/>
  <c r="BP30" i="4" s="1"/>
  <c r="BT30" i="4" s="1"/>
  <c r="BV30" i="4" s="1"/>
  <c r="BF30" i="4"/>
  <c r="BE30" i="4"/>
  <c r="BF13" i="4"/>
  <c r="BE13" i="4"/>
  <c r="BH13" i="4"/>
  <c r="BP13" i="4" s="1"/>
  <c r="BT13" i="4" s="1"/>
  <c r="BV13" i="4" s="1"/>
  <c r="BF10" i="4"/>
  <c r="BE10" i="4"/>
  <c r="BH10" i="4"/>
  <c r="BP10" i="4" s="1"/>
  <c r="BT10" i="4" s="1"/>
  <c r="BV10" i="4" s="1"/>
  <c r="BE27" i="4"/>
  <c r="BH27" i="4"/>
  <c r="BP27" i="4" s="1"/>
  <c r="BT27" i="4" s="1"/>
  <c r="BV27" i="4" s="1"/>
  <c r="BF27" i="4"/>
  <c r="BC4" i="4"/>
  <c r="BD4" i="4" s="1"/>
  <c r="BB36" i="4"/>
  <c r="BB45" i="4" s="1"/>
  <c r="BE33" i="4"/>
  <c r="BH33" i="4"/>
  <c r="BP33" i="4" s="1"/>
  <c r="BT33" i="4" s="1"/>
  <c r="BV33" i="4" s="1"/>
  <c r="BH14" i="4"/>
  <c r="BP14" i="4" s="1"/>
  <c r="BT14" i="4" s="1"/>
  <c r="BV14" i="4" s="1"/>
  <c r="BE14" i="4"/>
  <c r="BF14" i="4"/>
  <c r="BE5" i="4"/>
  <c r="BF5" i="4"/>
  <c r="BH5" i="4"/>
  <c r="BP5" i="4" s="1"/>
  <c r="BT5" i="4" s="1"/>
  <c r="BV5" i="4" s="1"/>
  <c r="BH11" i="4"/>
  <c r="BP11" i="4" s="1"/>
  <c r="BT11" i="4" s="1"/>
  <c r="BV11" i="4" s="1"/>
  <c r="BE11" i="4"/>
  <c r="BF11" i="4"/>
  <c r="BE34" i="4"/>
  <c r="BH34" i="4"/>
  <c r="BP34" i="4" s="1"/>
  <c r="BT34" i="4" s="1"/>
  <c r="BV34" i="4" s="1"/>
  <c r="BH35" i="4"/>
  <c r="BP35" i="4" s="1"/>
  <c r="BT35" i="4" s="1"/>
  <c r="BV35" i="4" s="1"/>
  <c r="BE35" i="4"/>
  <c r="BE29" i="4"/>
  <c r="BH29" i="4"/>
  <c r="BP29" i="4" s="1"/>
  <c r="BT29" i="4" s="1"/>
  <c r="BV29" i="4" s="1"/>
  <c r="BF29" i="4"/>
  <c r="BE22" i="4"/>
  <c r="BH22" i="4"/>
  <c r="BP22" i="4" s="1"/>
  <c r="BT22" i="4" s="1"/>
  <c r="BV22" i="4" s="1"/>
  <c r="BE8" i="4"/>
  <c r="BF8" i="4"/>
  <c r="BH8" i="4"/>
  <c r="BP8" i="4" s="1"/>
  <c r="BT8" i="4" s="1"/>
  <c r="BV8" i="4" s="1"/>
  <c r="BH26" i="4"/>
  <c r="BP26" i="4" s="1"/>
  <c r="BT26" i="4" s="1"/>
  <c r="BV26" i="4" s="1"/>
  <c r="BF26" i="4"/>
  <c r="BE26" i="4"/>
  <c r="BE9" i="4"/>
  <c r="BF9" i="4"/>
  <c r="BH9" i="4"/>
  <c r="BP9" i="4" s="1"/>
  <c r="BT9" i="4" s="1"/>
  <c r="BV9" i="4" s="1"/>
  <c r="BH16" i="4"/>
  <c r="BP16" i="4" s="1"/>
  <c r="BT16" i="4" s="1"/>
  <c r="BV16" i="4" s="1"/>
  <c r="BF16" i="4"/>
  <c r="BE16" i="4"/>
  <c r="BH19" i="4"/>
  <c r="BP19" i="4" s="1"/>
  <c r="BT19" i="4" s="1"/>
  <c r="BV19" i="4" s="1"/>
  <c r="BF19" i="4"/>
  <c r="BE19" i="4"/>
  <c r="BE21" i="4"/>
  <c r="BF21" i="4"/>
  <c r="BH21" i="4"/>
  <c r="BP21" i="4" s="1"/>
  <c r="BT21" i="4" s="1"/>
  <c r="BV21" i="4" s="1"/>
  <c r="BE6" i="4"/>
  <c r="BF6" i="4"/>
  <c r="BH6" i="4"/>
  <c r="BP6" i="4" s="1"/>
  <c r="BT6" i="4" s="1"/>
  <c r="BV6" i="4" s="1"/>
  <c r="BX12" i="4" l="1"/>
  <c r="CB33" i="4"/>
  <c r="BX33" i="4"/>
  <c r="BY33" i="4" s="1"/>
  <c r="BZ33" i="4" s="1"/>
  <c r="BX24" i="4"/>
  <c r="BY24" i="4" s="1"/>
  <c r="BZ24" i="4" s="1"/>
  <c r="CB24" i="4"/>
  <c r="CB20" i="4"/>
  <c r="BX20" i="4"/>
  <c r="BY20" i="4" s="1"/>
  <c r="BZ20" i="4" s="1"/>
  <c r="CB32" i="4"/>
  <c r="BX32" i="4"/>
  <c r="BY32" i="4" s="1"/>
  <c r="BZ32" i="4" s="1"/>
  <c r="BX6" i="4"/>
  <c r="BY6" i="4" s="1"/>
  <c r="BZ6" i="4" s="1"/>
  <c r="CB6" i="4"/>
  <c r="CB19" i="4"/>
  <c r="BX19" i="4"/>
  <c r="BY19" i="4" s="1"/>
  <c r="BZ19" i="4" s="1"/>
  <c r="CA19" i="4" s="1"/>
  <c r="CB29" i="4"/>
  <c r="CC29" i="4" s="1"/>
  <c r="BX29" i="4"/>
  <c r="BY29" i="4" s="1"/>
  <c r="BZ29" i="4" s="1"/>
  <c r="BX11" i="4"/>
  <c r="BY11" i="4" s="1"/>
  <c r="BZ11" i="4" s="1"/>
  <c r="CB11" i="4"/>
  <c r="BX13" i="4"/>
  <c r="BY13" i="4" s="1"/>
  <c r="BZ13" i="4" s="1"/>
  <c r="CB13" i="4"/>
  <c r="BX17" i="4"/>
  <c r="BY17" i="4" s="1"/>
  <c r="BZ17" i="4" s="1"/>
  <c r="CA17" i="4" s="1"/>
  <c r="CB17" i="4"/>
  <c r="BX8" i="4"/>
  <c r="BY8" i="4" s="1"/>
  <c r="BZ8" i="4" s="1"/>
  <c r="CA8" i="4" s="1"/>
  <c r="CB8" i="4"/>
  <c r="BH4" i="4"/>
  <c r="BE4" i="4"/>
  <c r="BE36" i="4" s="1"/>
  <c r="BF4" i="4"/>
  <c r="BD36" i="4"/>
  <c r="CB23" i="4"/>
  <c r="BX23" i="4"/>
  <c r="BY23" i="4" s="1"/>
  <c r="BZ23" i="4" s="1"/>
  <c r="BX5" i="4"/>
  <c r="BY5" i="4" s="1"/>
  <c r="BZ5" i="4" s="1"/>
  <c r="CA5" i="4" s="1"/>
  <c r="CB5" i="4"/>
  <c r="CB21" i="4"/>
  <c r="BX21" i="4"/>
  <c r="BY21" i="4" s="1"/>
  <c r="BZ21" i="4" s="1"/>
  <c r="BX16" i="4"/>
  <c r="BY16" i="4" s="1"/>
  <c r="BZ16" i="4" s="1"/>
  <c r="CB16" i="4"/>
  <c r="CB35" i="4"/>
  <c r="BX35" i="4"/>
  <c r="BY35" i="4" s="1"/>
  <c r="BZ35" i="4" s="1"/>
  <c r="BX7" i="4"/>
  <c r="BY7" i="4" s="1"/>
  <c r="BZ7" i="4" s="1"/>
  <c r="CA7" i="4" s="1"/>
  <c r="CB7" i="4"/>
  <c r="CB28" i="4"/>
  <c r="BX28" i="4"/>
  <c r="BY28" i="4" s="1"/>
  <c r="BZ28" i="4" s="1"/>
  <c r="CB26" i="4"/>
  <c r="BX26" i="4"/>
  <c r="BY26" i="4" s="1"/>
  <c r="BZ26" i="4" s="1"/>
  <c r="BX9" i="4"/>
  <c r="BY9" i="4" s="1"/>
  <c r="BZ9" i="4" s="1"/>
  <c r="CB9" i="4"/>
  <c r="CC9" i="4" s="1"/>
  <c r="BX34" i="4"/>
  <c r="BY34" i="4" s="1"/>
  <c r="BZ34" i="4" s="1"/>
  <c r="CB34" i="4"/>
  <c r="BX27" i="4"/>
  <c r="BY27" i="4" s="1"/>
  <c r="BZ27" i="4" s="1"/>
  <c r="CA27" i="4" s="1"/>
  <c r="CB27" i="4"/>
  <c r="BX15" i="4"/>
  <c r="BY15" i="4" s="1"/>
  <c r="BZ15" i="4" s="1"/>
  <c r="CB15" i="4"/>
  <c r="BX22" i="4"/>
  <c r="BY22" i="4" s="1"/>
  <c r="BZ22" i="4" s="1"/>
  <c r="CA22" i="4" s="1"/>
  <c r="CB22" i="4"/>
  <c r="CB31" i="4"/>
  <c r="BX31" i="4"/>
  <c r="BY31" i="4" s="1"/>
  <c r="BZ31" i="4" s="1"/>
  <c r="CA31" i="4" s="1"/>
  <c r="BX18" i="4"/>
  <c r="BY18" i="4" s="1"/>
  <c r="BZ18" i="4" s="1"/>
  <c r="CA18" i="4" s="1"/>
  <c r="CB18" i="4"/>
  <c r="CB25" i="4"/>
  <c r="BX25" i="4"/>
  <c r="BY25" i="4" s="1"/>
  <c r="BZ25" i="4" s="1"/>
  <c r="BX14" i="4"/>
  <c r="BY14" i="4" s="1"/>
  <c r="BZ14" i="4" s="1"/>
  <c r="CB14" i="4"/>
  <c r="BX10" i="4"/>
  <c r="BY10" i="4" s="1"/>
  <c r="BZ10" i="4" s="1"/>
  <c r="CB10" i="4"/>
  <c r="CB30" i="4"/>
  <c r="BX30" i="4"/>
  <c r="BY30" i="4" s="1"/>
  <c r="BZ30" i="4" s="1"/>
  <c r="CA30" i="4" s="1"/>
  <c r="BY12" i="4"/>
  <c r="CC15" i="4" l="1"/>
  <c r="CD15" i="4" s="1"/>
  <c r="CC26" i="4"/>
  <c r="CD26" i="4" s="1"/>
  <c r="CE18" i="4"/>
  <c r="CC18" i="4"/>
  <c r="CD18" i="4" s="1"/>
  <c r="CE27" i="4"/>
  <c r="CC27" i="4"/>
  <c r="CD27" i="4" s="1"/>
  <c r="CA28" i="4"/>
  <c r="CE28" i="4" s="1"/>
  <c r="CA21" i="4"/>
  <c r="CE21" i="4" s="1"/>
  <c r="CC11" i="4"/>
  <c r="CD11" i="4" s="1"/>
  <c r="CA32" i="4"/>
  <c r="CE32" i="4" s="1"/>
  <c r="CE30" i="4"/>
  <c r="CC30" i="4"/>
  <c r="CD30" i="4" s="1"/>
  <c r="CC28" i="4"/>
  <c r="CD28" i="4" s="1"/>
  <c r="CC21" i="4"/>
  <c r="CD21" i="4" s="1"/>
  <c r="BP4" i="4"/>
  <c r="BH36" i="4"/>
  <c r="CA11" i="4"/>
  <c r="CE11" i="4" s="1"/>
  <c r="CC32" i="4"/>
  <c r="CD32" i="4" s="1"/>
  <c r="BF36" i="4"/>
  <c r="BD45" i="4"/>
  <c r="CE5" i="4"/>
  <c r="CC5" i="4"/>
  <c r="CD5" i="4" s="1"/>
  <c r="CA29" i="4"/>
  <c r="CE29" i="4" s="1"/>
  <c r="CD29" i="4"/>
  <c r="CA20" i="4"/>
  <c r="CE20" i="4" s="1"/>
  <c r="CA26" i="4"/>
  <c r="CE26" i="4" s="1"/>
  <c r="CA15" i="4"/>
  <c r="CE15" i="4" s="1"/>
  <c r="CC10" i="4"/>
  <c r="CD10" i="4" s="1"/>
  <c r="CC34" i="4"/>
  <c r="CD34" i="4" s="1"/>
  <c r="CE7" i="4"/>
  <c r="CC7" i="4"/>
  <c r="CD7" i="4" s="1"/>
  <c r="CE8" i="4"/>
  <c r="CC8" i="4"/>
  <c r="CD8" i="4" s="1"/>
  <c r="CA10" i="4"/>
  <c r="CE10" i="4" s="1"/>
  <c r="CC31" i="4"/>
  <c r="CD31" i="4" s="1"/>
  <c r="CE31" i="4"/>
  <c r="CA34" i="4"/>
  <c r="CE34" i="4" s="1"/>
  <c r="CC20" i="4"/>
  <c r="CD20" i="4" s="1"/>
  <c r="CC22" i="4"/>
  <c r="CD22" i="4" s="1"/>
  <c r="CE22" i="4"/>
  <c r="CC16" i="4"/>
  <c r="CD16" i="4" s="1"/>
  <c r="CC6" i="4"/>
  <c r="CD6" i="4" s="1"/>
  <c r="CC14" i="4"/>
  <c r="CD14" i="4" s="1"/>
  <c r="CA35" i="4"/>
  <c r="CE35" i="4" s="1"/>
  <c r="CA23" i="4"/>
  <c r="CE23" i="4" s="1"/>
  <c r="CE17" i="4"/>
  <c r="CC17" i="4"/>
  <c r="CD17" i="4" s="1"/>
  <c r="CC24" i="4"/>
  <c r="CD24" i="4" s="1"/>
  <c r="CA14" i="4"/>
  <c r="CE14" i="4" s="1"/>
  <c r="CD9" i="4"/>
  <c r="CA9" i="4"/>
  <c r="CE9" i="4" s="1"/>
  <c r="CC35" i="4"/>
  <c r="CD35" i="4" s="1"/>
  <c r="CC23" i="4"/>
  <c r="CD23" i="4" s="1"/>
  <c r="CE19" i="4"/>
  <c r="CC19" i="4"/>
  <c r="CD19" i="4" s="1"/>
  <c r="CA24" i="4"/>
  <c r="CE24" i="4" s="1"/>
  <c r="CA33" i="4"/>
  <c r="CE33" i="4" s="1"/>
  <c r="CA25" i="4"/>
  <c r="CE25" i="4" s="1"/>
  <c r="CC13" i="4"/>
  <c r="CD13" i="4" s="1"/>
  <c r="CA16" i="4"/>
  <c r="CE16" i="4" s="1"/>
  <c r="CA13" i="4"/>
  <c r="CE13" i="4" s="1"/>
  <c r="CA6" i="4"/>
  <c r="CE6" i="4" s="1"/>
  <c r="CC33" i="4"/>
  <c r="CD33" i="4" s="1"/>
  <c r="BZ12" i="4"/>
  <c r="CC25" i="4" l="1"/>
  <c r="CD25" i="4" s="1"/>
  <c r="BT4" i="4"/>
  <c r="BP36" i="4"/>
  <c r="BP45" i="4" s="1"/>
  <c r="CA12" i="4"/>
  <c r="CE12" i="4" s="1"/>
  <c r="CD12" i="4"/>
  <c r="BV4" i="4" l="1"/>
  <c r="BT36" i="4"/>
  <c r="BT45" i="4" s="1"/>
  <c r="CB4" i="4" l="1"/>
  <c r="BX4" i="4"/>
  <c r="BV36" i="4"/>
  <c r="BY4" i="4" l="1"/>
  <c r="BX36" i="4"/>
  <c r="CE4" i="4"/>
  <c r="CE36" i="4" s="1"/>
  <c r="BZ4" i="4" l="1"/>
  <c r="CA4" i="4" s="1"/>
  <c r="CC4" i="4" s="1"/>
  <c r="BY36" i="4"/>
  <c r="BY45" i="4" l="1"/>
  <c r="CD4" i="4"/>
  <c r="CC36" i="4"/>
  <c r="CC45" i="4" s="1"/>
  <c r="CD41" i="4" l="1"/>
  <c r="CF11" i="4" l="1"/>
  <c r="CF19" i="4"/>
  <c r="CF35" i="4"/>
  <c r="CF4" i="4"/>
  <c r="CF12" i="4"/>
  <c r="CF20" i="4"/>
  <c r="CF28" i="4"/>
  <c r="CF34" i="4"/>
  <c r="CF5" i="4"/>
  <c r="CF13" i="4"/>
  <c r="CF21" i="4"/>
  <c r="CF29" i="4"/>
  <c r="CF6" i="4"/>
  <c r="CF14" i="4"/>
  <c r="CF22" i="4"/>
  <c r="CF30" i="4"/>
  <c r="CF7" i="4"/>
  <c r="CF15" i="4"/>
  <c r="CF23" i="4"/>
  <c r="CF31" i="4"/>
  <c r="CF24" i="4"/>
  <c r="CF8" i="4"/>
  <c r="CF16" i="4"/>
  <c r="CF32" i="4"/>
  <c r="CF9" i="4"/>
  <c r="CF17" i="4"/>
  <c r="CF25" i="4"/>
  <c r="CF33" i="4"/>
  <c r="CF10" i="4"/>
  <c r="CF18" i="4"/>
  <c r="CF26" i="4"/>
  <c r="CF27" i="4"/>
  <c r="CD45" i="4"/>
  <c r="CH27" i="4"/>
  <c r="CI27" i="4" s="1"/>
  <c r="CH21" i="4"/>
  <c r="CI21" i="4" s="1"/>
  <c r="CH26" i="4"/>
  <c r="CI26" i="4" s="1"/>
  <c r="CH28" i="4"/>
  <c r="CI28" i="4" s="1"/>
  <c r="CH34" i="4"/>
  <c r="CI34" i="4" s="1"/>
  <c r="CH31" i="4"/>
  <c r="CI31" i="4" s="1"/>
  <c r="CH10" i="4"/>
  <c r="CI10" i="4" s="1"/>
  <c r="CH25" i="4"/>
  <c r="CI25" i="4" s="1"/>
  <c r="CH13" i="4"/>
  <c r="CI13" i="4" s="1"/>
  <c r="CH11" i="4"/>
  <c r="CI11" i="4" s="1"/>
  <c r="CH23" i="4"/>
  <c r="CI23" i="4" s="1"/>
  <c r="CH33" i="4"/>
  <c r="CI33" i="4" s="1"/>
  <c r="CH6" i="4"/>
  <c r="CI6" i="4" s="1"/>
  <c r="CH18" i="4"/>
  <c r="CI18" i="4" s="1"/>
  <c r="CH9" i="4"/>
  <c r="CI9" i="4" s="1"/>
  <c r="CH20" i="4"/>
  <c r="CI20" i="4" s="1"/>
  <c r="CH35" i="4"/>
  <c r="CI35" i="4" s="1"/>
  <c r="CH30" i="4"/>
  <c r="CI30" i="4" s="1"/>
  <c r="CH16" i="4"/>
  <c r="CI16" i="4" s="1"/>
  <c r="CH29" i="4"/>
  <c r="CI29" i="4" s="1"/>
  <c r="CH17" i="4"/>
  <c r="CI17" i="4" s="1"/>
  <c r="CH7" i="4"/>
  <c r="CI7" i="4" s="1"/>
  <c r="CH14" i="4"/>
  <c r="CI14" i="4" s="1"/>
  <c r="CH24" i="4"/>
  <c r="CI24" i="4" s="1"/>
  <c r="CH5" i="4"/>
  <c r="CI5" i="4" s="1"/>
  <c r="CH12" i="4"/>
  <c r="CI12" i="4" s="1"/>
  <c r="CH22" i="4"/>
  <c r="CI22" i="4" s="1"/>
  <c r="CH32" i="4"/>
  <c r="CI32" i="4" s="1"/>
  <c r="CH8" i="4"/>
  <c r="CI8" i="4" s="1"/>
  <c r="CH19" i="4"/>
  <c r="CI19" i="4" s="1"/>
  <c r="CH15" i="4"/>
  <c r="CI15" i="4" s="1"/>
  <c r="CE45" i="4"/>
  <c r="CM31" i="4" l="1"/>
  <c r="CU31" i="4" s="1"/>
  <c r="CY31" i="4" s="1"/>
  <c r="DA31" i="4" s="1"/>
  <c r="CJ31" i="4"/>
  <c r="CM34" i="4"/>
  <c r="CU34" i="4" s="1"/>
  <c r="CY34" i="4" s="1"/>
  <c r="DA34" i="4" s="1"/>
  <c r="CJ34" i="4"/>
  <c r="CM32" i="4"/>
  <c r="CU32" i="4" s="1"/>
  <c r="CY32" i="4" s="1"/>
  <c r="DA32" i="4" s="1"/>
  <c r="CJ32" i="4"/>
  <c r="CM29" i="4"/>
  <c r="CU29" i="4" s="1"/>
  <c r="CY29" i="4" s="1"/>
  <c r="DA29" i="4" s="1"/>
  <c r="CJ29" i="4"/>
  <c r="CK29" i="4"/>
  <c r="CM33" i="4"/>
  <c r="CU33" i="4" s="1"/>
  <c r="CY33" i="4" s="1"/>
  <c r="DA33" i="4" s="1"/>
  <c r="CJ33" i="4"/>
  <c r="CH4" i="4"/>
  <c r="CI4" i="4" s="1"/>
  <c r="CG36" i="4"/>
  <c r="CG45" i="4" s="1"/>
  <c r="CM28" i="4"/>
  <c r="CU28" i="4" s="1"/>
  <c r="CY28" i="4" s="1"/>
  <c r="DA28" i="4" s="1"/>
  <c r="CJ28" i="4"/>
  <c r="CK28" i="4"/>
  <c r="CM16" i="4"/>
  <c r="CU16" i="4" s="1"/>
  <c r="CY16" i="4" s="1"/>
  <c r="DA16" i="4" s="1"/>
  <c r="CK16" i="4"/>
  <c r="CJ16" i="4"/>
  <c r="CM23" i="4"/>
  <c r="CU23" i="4" s="1"/>
  <c r="CY23" i="4" s="1"/>
  <c r="DA23" i="4" s="1"/>
  <c r="CJ23" i="4"/>
  <c r="CM12" i="4"/>
  <c r="CU12" i="4" s="1"/>
  <c r="CY12" i="4" s="1"/>
  <c r="DA12" i="4" s="1"/>
  <c r="CJ12" i="4"/>
  <c r="CK12" i="4"/>
  <c r="CJ30" i="4"/>
  <c r="CM30" i="4"/>
  <c r="CU30" i="4" s="1"/>
  <c r="CY30" i="4" s="1"/>
  <c r="DA30" i="4" s="1"/>
  <c r="CK30" i="4"/>
  <c r="CJ11" i="4"/>
  <c r="CM11" i="4"/>
  <c r="CU11" i="4" s="1"/>
  <c r="CY11" i="4" s="1"/>
  <c r="DA11" i="4" s="1"/>
  <c r="CK11" i="4"/>
  <c r="CJ26" i="4"/>
  <c r="CM26" i="4"/>
  <c r="CU26" i="4" s="1"/>
  <c r="CY26" i="4" s="1"/>
  <c r="DA26" i="4" s="1"/>
  <c r="CK26" i="4"/>
  <c r="CJ18" i="4"/>
  <c r="CM18" i="4"/>
  <c r="CU18" i="4" s="1"/>
  <c r="CY18" i="4" s="1"/>
  <c r="DA18" i="4" s="1"/>
  <c r="CK18" i="4"/>
  <c r="CM6" i="4"/>
  <c r="CU6" i="4" s="1"/>
  <c r="CY6" i="4" s="1"/>
  <c r="DA6" i="4" s="1"/>
  <c r="CJ6" i="4"/>
  <c r="CK6" i="4"/>
  <c r="CM22" i="4"/>
  <c r="CU22" i="4" s="1"/>
  <c r="CY22" i="4" s="1"/>
  <c r="DA22" i="4" s="1"/>
  <c r="CJ22" i="4"/>
  <c r="CJ5" i="4"/>
  <c r="CM5" i="4"/>
  <c r="CU5" i="4" s="1"/>
  <c r="CY5" i="4" s="1"/>
  <c r="DA5" i="4" s="1"/>
  <c r="CK5" i="4"/>
  <c r="CJ35" i="4"/>
  <c r="CM35" i="4"/>
  <c r="CU35" i="4" s="1"/>
  <c r="CY35" i="4" s="1"/>
  <c r="DA35" i="4" s="1"/>
  <c r="CK13" i="4"/>
  <c r="CM13" i="4"/>
  <c r="CU13" i="4" s="1"/>
  <c r="CY13" i="4" s="1"/>
  <c r="DA13" i="4" s="1"/>
  <c r="CJ13" i="4"/>
  <c r="CM21" i="4"/>
  <c r="CU21" i="4" s="1"/>
  <c r="CY21" i="4" s="1"/>
  <c r="DA21" i="4" s="1"/>
  <c r="CJ21" i="4"/>
  <c r="CK21" i="4"/>
  <c r="CJ19" i="4"/>
  <c r="CM19" i="4"/>
  <c r="CU19" i="4" s="1"/>
  <c r="CY19" i="4" s="1"/>
  <c r="DA19" i="4" s="1"/>
  <c r="CK19" i="4"/>
  <c r="CM8" i="4"/>
  <c r="CU8" i="4" s="1"/>
  <c r="CY8" i="4" s="1"/>
  <c r="DA8" i="4" s="1"/>
  <c r="CJ8" i="4"/>
  <c r="CK8" i="4"/>
  <c r="CM24" i="4"/>
  <c r="CU24" i="4" s="1"/>
  <c r="CY24" i="4" s="1"/>
  <c r="DA24" i="4" s="1"/>
  <c r="CJ24" i="4"/>
  <c r="CJ20" i="4"/>
  <c r="CM20" i="4"/>
  <c r="CU20" i="4" s="1"/>
  <c r="CY20" i="4" s="1"/>
  <c r="DA20" i="4" s="1"/>
  <c r="CK20" i="4"/>
  <c r="CJ25" i="4"/>
  <c r="CM25" i="4"/>
  <c r="CU25" i="4" s="1"/>
  <c r="CY25" i="4" s="1"/>
  <c r="DA25" i="4" s="1"/>
  <c r="CK25" i="4"/>
  <c r="CK27" i="4"/>
  <c r="CM27" i="4"/>
  <c r="CU27" i="4" s="1"/>
  <c r="CY27" i="4" s="1"/>
  <c r="DA27" i="4" s="1"/>
  <c r="CJ27" i="4"/>
  <c r="CM7" i="4"/>
  <c r="CU7" i="4" s="1"/>
  <c r="CY7" i="4" s="1"/>
  <c r="DA7" i="4" s="1"/>
  <c r="CK7" i="4"/>
  <c r="CJ7" i="4"/>
  <c r="CJ17" i="4"/>
  <c r="CM17" i="4"/>
  <c r="CU17" i="4" s="1"/>
  <c r="CY17" i="4" s="1"/>
  <c r="DA17" i="4" s="1"/>
  <c r="CK17" i="4"/>
  <c r="CM15" i="4"/>
  <c r="CU15" i="4" s="1"/>
  <c r="CY15" i="4" s="1"/>
  <c r="DA15" i="4" s="1"/>
  <c r="CJ15" i="4"/>
  <c r="CK15" i="4"/>
  <c r="CK14" i="4"/>
  <c r="CM14" i="4"/>
  <c r="CU14" i="4" s="1"/>
  <c r="CY14" i="4" s="1"/>
  <c r="DA14" i="4" s="1"/>
  <c r="CJ14" i="4"/>
  <c r="CM9" i="4"/>
  <c r="CU9" i="4" s="1"/>
  <c r="CY9" i="4" s="1"/>
  <c r="DA9" i="4" s="1"/>
  <c r="CJ9" i="4"/>
  <c r="CK9" i="4"/>
  <c r="CM10" i="4"/>
  <c r="CU10" i="4" s="1"/>
  <c r="CY10" i="4" s="1"/>
  <c r="DA10" i="4" s="1"/>
  <c r="CK10" i="4"/>
  <c r="CJ10" i="4"/>
  <c r="DG26" i="4" l="1"/>
  <c r="DC26" i="4"/>
  <c r="DD26" i="4" s="1"/>
  <c r="DE26" i="4" s="1"/>
  <c r="DC29" i="4"/>
  <c r="DD29" i="4" s="1"/>
  <c r="DE29" i="4" s="1"/>
  <c r="DF29" i="4" s="1"/>
  <c r="DG29" i="4"/>
  <c r="DC13" i="4"/>
  <c r="DD13" i="4" s="1"/>
  <c r="DE13" i="4" s="1"/>
  <c r="DG13" i="4"/>
  <c r="DC7" i="4"/>
  <c r="DD7" i="4" s="1"/>
  <c r="DE7" i="4" s="1"/>
  <c r="DF7" i="4" s="1"/>
  <c r="DG7" i="4"/>
  <c r="DC20" i="4"/>
  <c r="DD20" i="4" s="1"/>
  <c r="DE20" i="4" s="1"/>
  <c r="DG20" i="4"/>
  <c r="DC19" i="4"/>
  <c r="DD19" i="4" s="1"/>
  <c r="DE19" i="4" s="1"/>
  <c r="DF19" i="4" s="1"/>
  <c r="DG19" i="4"/>
  <c r="DC35" i="4"/>
  <c r="DD35" i="4" s="1"/>
  <c r="DE35" i="4" s="1"/>
  <c r="DF35" i="4" s="1"/>
  <c r="DG35" i="4"/>
  <c r="DH35" i="4" s="1"/>
  <c r="DC12" i="4"/>
  <c r="DD12" i="4" s="1"/>
  <c r="DE12" i="4" s="1"/>
  <c r="DG12" i="4"/>
  <c r="DH12" i="4" s="1"/>
  <c r="DC28" i="4"/>
  <c r="DD28" i="4" s="1"/>
  <c r="DE28" i="4" s="1"/>
  <c r="DG28" i="4"/>
  <c r="DG10" i="4"/>
  <c r="DC10" i="4"/>
  <c r="DD10" i="4" s="1"/>
  <c r="DE10" i="4" s="1"/>
  <c r="DF10" i="4" s="1"/>
  <c r="DC11" i="4"/>
  <c r="DD11" i="4" s="1"/>
  <c r="DE11" i="4" s="1"/>
  <c r="DF11" i="4" s="1"/>
  <c r="DG11" i="4"/>
  <c r="DH11" i="4" s="1"/>
  <c r="DG32" i="4"/>
  <c r="DH32" i="4" s="1"/>
  <c r="DC32" i="4"/>
  <c r="DD32" i="4" s="1"/>
  <c r="DE32" i="4" s="1"/>
  <c r="DF32" i="4" s="1"/>
  <c r="DC22" i="4"/>
  <c r="DD22" i="4" s="1"/>
  <c r="DE22" i="4" s="1"/>
  <c r="DF22" i="4" s="1"/>
  <c r="DG22" i="4"/>
  <c r="DH22" i="4" s="1"/>
  <c r="DC27" i="4"/>
  <c r="DD27" i="4" s="1"/>
  <c r="DE27" i="4" s="1"/>
  <c r="DF27" i="4" s="1"/>
  <c r="DG27" i="4"/>
  <c r="DG23" i="4"/>
  <c r="DH23" i="4" s="1"/>
  <c r="DC23" i="4"/>
  <c r="DD23" i="4" s="1"/>
  <c r="DE23" i="4" s="1"/>
  <c r="CM4" i="4"/>
  <c r="CK4" i="4"/>
  <c r="CJ4" i="4"/>
  <c r="CJ36" i="4" s="1"/>
  <c r="CI36" i="4"/>
  <c r="DC14" i="4"/>
  <c r="DD14" i="4" s="1"/>
  <c r="DE14" i="4" s="1"/>
  <c r="DG14" i="4"/>
  <c r="DC15" i="4"/>
  <c r="DD15" i="4" s="1"/>
  <c r="DE15" i="4" s="1"/>
  <c r="DF15" i="4" s="1"/>
  <c r="DG15" i="4"/>
  <c r="DG18" i="4"/>
  <c r="DC18" i="4"/>
  <c r="DD18" i="4" s="1"/>
  <c r="DE18" i="4" s="1"/>
  <c r="DF18" i="4" s="1"/>
  <c r="DG34" i="4"/>
  <c r="DC34" i="4"/>
  <c r="DD34" i="4" s="1"/>
  <c r="DE34" i="4" s="1"/>
  <c r="DC8" i="4"/>
  <c r="DD8" i="4" s="1"/>
  <c r="DE8" i="4" s="1"/>
  <c r="DF8" i="4" s="1"/>
  <c r="DG8" i="4"/>
  <c r="DC24" i="4"/>
  <c r="DD24" i="4" s="1"/>
  <c r="DE24" i="4" s="1"/>
  <c r="DG24" i="4"/>
  <c r="DG5" i="4"/>
  <c r="DC5" i="4"/>
  <c r="DD5" i="4" s="1"/>
  <c r="DE5" i="4" s="1"/>
  <c r="DF5" i="4" s="1"/>
  <c r="DC9" i="4"/>
  <c r="DD9" i="4" s="1"/>
  <c r="DE9" i="4" s="1"/>
  <c r="DF9" i="4" s="1"/>
  <c r="DG9" i="4"/>
  <c r="DH9" i="4" s="1"/>
  <c r="DG17" i="4"/>
  <c r="DC17" i="4"/>
  <c r="DD17" i="4" s="1"/>
  <c r="DE17" i="4" s="1"/>
  <c r="DF17" i="4" s="1"/>
  <c r="DG21" i="4"/>
  <c r="DH21" i="4" s="1"/>
  <c r="DC21" i="4"/>
  <c r="DD21" i="4" s="1"/>
  <c r="DE21" i="4" s="1"/>
  <c r="DF21" i="4" s="1"/>
  <c r="DG30" i="4"/>
  <c r="DC30" i="4"/>
  <c r="DD30" i="4" s="1"/>
  <c r="DE30" i="4" s="1"/>
  <c r="DC33" i="4"/>
  <c r="DD33" i="4" s="1"/>
  <c r="DE33" i="4" s="1"/>
  <c r="DF33" i="4" s="1"/>
  <c r="DG33" i="4"/>
  <c r="DH33" i="4" s="1"/>
  <c r="DC6" i="4"/>
  <c r="DD6" i="4" s="1"/>
  <c r="DE6" i="4" s="1"/>
  <c r="DF6" i="4" s="1"/>
  <c r="DG6" i="4"/>
  <c r="DG25" i="4"/>
  <c r="DC25" i="4"/>
  <c r="DD25" i="4" s="1"/>
  <c r="DE25" i="4" s="1"/>
  <c r="DC16" i="4"/>
  <c r="DD16" i="4" s="1"/>
  <c r="DE16" i="4" s="1"/>
  <c r="DF16" i="4" s="1"/>
  <c r="DG16" i="4"/>
  <c r="DH16" i="4" s="1"/>
  <c r="DG31" i="4"/>
  <c r="DC31" i="4"/>
  <c r="DD31" i="4" s="1"/>
  <c r="DE31" i="4" s="1"/>
  <c r="DF31" i="4" s="1"/>
  <c r="DI33" i="4" l="1"/>
  <c r="DI9" i="4"/>
  <c r="DI22" i="4"/>
  <c r="DI16" i="4"/>
  <c r="DJ32" i="4"/>
  <c r="DJ21" i="4"/>
  <c r="DI11" i="4"/>
  <c r="DI35" i="4"/>
  <c r="DJ22" i="4"/>
  <c r="DF20" i="4"/>
  <c r="DJ20" i="4" s="1"/>
  <c r="DH26" i="4"/>
  <c r="DI26" i="4" s="1"/>
  <c r="DF30" i="4"/>
  <c r="DJ30" i="4" s="1"/>
  <c r="DJ7" i="4"/>
  <c r="DH7" i="4"/>
  <c r="DI7" i="4" s="1"/>
  <c r="DJ16" i="4"/>
  <c r="DH30" i="4"/>
  <c r="DI30" i="4" s="1"/>
  <c r="DJ5" i="4"/>
  <c r="DH5" i="4"/>
  <c r="DI5" i="4" s="1"/>
  <c r="DH18" i="4"/>
  <c r="DI18" i="4" s="1"/>
  <c r="DJ18" i="4"/>
  <c r="CU4" i="4"/>
  <c r="CM36" i="4"/>
  <c r="DI32" i="4"/>
  <c r="DF34" i="4"/>
  <c r="DJ34" i="4" s="1"/>
  <c r="DH28" i="4"/>
  <c r="DI28" i="4" s="1"/>
  <c r="DH20" i="4"/>
  <c r="DI20" i="4" s="1"/>
  <c r="DF26" i="4"/>
  <c r="DJ26" i="4" s="1"/>
  <c r="DH31" i="4"/>
  <c r="DI31" i="4" s="1"/>
  <c r="DJ31" i="4"/>
  <c r="DH34" i="4"/>
  <c r="DI34" i="4" s="1"/>
  <c r="DF25" i="4"/>
  <c r="DJ25" i="4" s="1"/>
  <c r="DH24" i="4"/>
  <c r="DI24" i="4" s="1"/>
  <c r="DJ15" i="4"/>
  <c r="DH15" i="4"/>
  <c r="DI15" i="4" s="1"/>
  <c r="DH13" i="4"/>
  <c r="DI13" i="4" s="1"/>
  <c r="DI21" i="4"/>
  <c r="DF24" i="4"/>
  <c r="DJ24" i="4" s="1"/>
  <c r="DJ11" i="4"/>
  <c r="DJ35" i="4"/>
  <c r="DF13" i="4"/>
  <c r="DJ13" i="4" s="1"/>
  <c r="CK36" i="4"/>
  <c r="CI45" i="4"/>
  <c r="DJ33" i="4"/>
  <c r="DF23" i="4"/>
  <c r="DJ23" i="4" s="1"/>
  <c r="DI23" i="4"/>
  <c r="DH6" i="4"/>
  <c r="DI6" i="4" s="1"/>
  <c r="DJ6" i="4"/>
  <c r="DJ8" i="4"/>
  <c r="DH8" i="4"/>
  <c r="DI8" i="4" s="1"/>
  <c r="DH14" i="4"/>
  <c r="DI14" i="4" s="1"/>
  <c r="DJ27" i="4"/>
  <c r="DH27" i="4"/>
  <c r="DI27" i="4" s="1"/>
  <c r="DJ19" i="4"/>
  <c r="DH19" i="4"/>
  <c r="DI19" i="4" s="1"/>
  <c r="DJ29" i="4"/>
  <c r="DH29" i="4"/>
  <c r="DI29" i="4" s="1"/>
  <c r="DJ17" i="4"/>
  <c r="DH17" i="4"/>
  <c r="DI17" i="4" s="1"/>
  <c r="DF14" i="4"/>
  <c r="DJ14" i="4" s="1"/>
  <c r="DJ10" i="4"/>
  <c r="DH10" i="4"/>
  <c r="DI10" i="4" s="1"/>
  <c r="DJ9" i="4"/>
  <c r="DF28" i="4"/>
  <c r="DJ28" i="4" s="1"/>
  <c r="DF12" i="4"/>
  <c r="DJ12" i="4" s="1"/>
  <c r="DI12" i="4"/>
  <c r="DH25" i="4" l="1"/>
  <c r="DI25" i="4" s="1"/>
  <c r="CY4" i="4"/>
  <c r="CU36" i="4"/>
  <c r="CU45" i="4" s="1"/>
  <c r="DA4" i="4" l="1"/>
  <c r="CY36" i="4"/>
  <c r="CY45" i="4" s="1"/>
  <c r="DG4" i="4" l="1"/>
  <c r="DC4" i="4"/>
  <c r="DA36" i="4"/>
  <c r="DD4" i="4" l="1"/>
  <c r="DC36" i="4"/>
  <c r="DJ4" i="4"/>
  <c r="DJ36" i="4" s="1"/>
  <c r="DE4" i="4" l="1"/>
  <c r="DF4" i="4" s="1"/>
  <c r="DH4" i="4" s="1"/>
  <c r="DD36" i="4"/>
  <c r="DI4" i="4" l="1"/>
  <c r="DH36" i="4"/>
  <c r="DH45" i="4" s="1"/>
  <c r="DD45" i="4"/>
  <c r="DI41" i="4" l="1"/>
  <c r="DK11" i="4" l="1"/>
  <c r="DK19" i="4"/>
  <c r="DK27" i="4"/>
  <c r="DK35" i="4"/>
  <c r="DK4" i="4"/>
  <c r="DK12" i="4"/>
  <c r="DK20" i="4"/>
  <c r="DK28" i="4"/>
  <c r="DK5" i="4"/>
  <c r="DK13" i="4"/>
  <c r="DK21" i="4"/>
  <c r="DK29" i="4"/>
  <c r="DK6" i="4"/>
  <c r="DK14" i="4"/>
  <c r="DK22" i="4"/>
  <c r="DK30" i="4"/>
  <c r="DK7" i="4"/>
  <c r="DK15" i="4"/>
  <c r="DK23" i="4"/>
  <c r="DK31" i="4"/>
  <c r="DK8" i="4"/>
  <c r="DK16" i="4"/>
  <c r="DK24" i="4"/>
  <c r="DK32" i="4"/>
  <c r="DK9" i="4"/>
  <c r="DK17" i="4"/>
  <c r="DK25" i="4"/>
  <c r="DK33" i="4"/>
  <c r="DK10" i="4"/>
  <c r="DK18" i="4"/>
  <c r="DK26" i="4"/>
  <c r="DK34" i="4"/>
  <c r="DM8" i="4"/>
  <c r="DN8" i="4" s="1"/>
  <c r="DI45" i="4"/>
  <c r="DM30" i="4"/>
  <c r="DN30" i="4" s="1"/>
  <c r="DM15" i="4"/>
  <c r="DN15" i="4" s="1"/>
  <c r="DM26" i="4"/>
  <c r="DN26" i="4" s="1"/>
  <c r="DM6" i="4"/>
  <c r="DN6" i="4" s="1"/>
  <c r="DM33" i="4"/>
  <c r="DN33" i="4" s="1"/>
  <c r="DM18" i="4"/>
  <c r="DN18" i="4" s="1"/>
  <c r="DM24" i="4"/>
  <c r="DN24" i="4" s="1"/>
  <c r="DM20" i="4"/>
  <c r="DN20" i="4" s="1"/>
  <c r="DM11" i="4"/>
  <c r="DN11" i="4" s="1"/>
  <c r="DM13" i="4"/>
  <c r="DN13" i="4" s="1"/>
  <c r="DM31" i="4"/>
  <c r="DN31" i="4" s="1"/>
  <c r="DM34" i="4"/>
  <c r="DN34" i="4" s="1"/>
  <c r="DM23" i="4"/>
  <c r="DN23" i="4" s="1"/>
  <c r="DM10" i="4"/>
  <c r="DN10" i="4" s="1"/>
  <c r="DM32" i="4"/>
  <c r="DN32" i="4" s="1"/>
  <c r="DM12" i="4"/>
  <c r="DN12" i="4" s="1"/>
  <c r="DM25" i="4"/>
  <c r="DN25" i="4" s="1"/>
  <c r="DM17" i="4"/>
  <c r="DN17" i="4" s="1"/>
  <c r="DM29" i="4"/>
  <c r="DN29" i="4" s="1"/>
  <c r="DM22" i="4"/>
  <c r="DN22" i="4" s="1"/>
  <c r="DM28" i="4"/>
  <c r="DN28" i="4" s="1"/>
  <c r="DM19" i="4"/>
  <c r="DN19" i="4" s="1"/>
  <c r="DM5" i="4"/>
  <c r="DN5" i="4" s="1"/>
  <c r="DM9" i="4"/>
  <c r="DN9" i="4" s="1"/>
  <c r="DM35" i="4"/>
  <c r="DN35" i="4" s="1"/>
  <c r="DM14" i="4"/>
  <c r="DN14" i="4" s="1"/>
  <c r="DM21" i="4"/>
  <c r="DN21" i="4" s="1"/>
  <c r="DM7" i="4"/>
  <c r="DN7" i="4" s="1"/>
  <c r="DM16" i="4"/>
  <c r="DN16" i="4" s="1"/>
  <c r="DM27" i="4"/>
  <c r="DN27" i="4" s="1"/>
  <c r="DJ45" i="4"/>
  <c r="DR28" i="4" l="1"/>
  <c r="DZ28" i="4" s="1"/>
  <c r="ED28" i="4" s="1"/>
  <c r="EF28" i="4" s="1"/>
  <c r="DP28" i="4"/>
  <c r="DO28" i="4"/>
  <c r="DR23" i="4"/>
  <c r="DZ23" i="4" s="1"/>
  <c r="ED23" i="4" s="1"/>
  <c r="EF23" i="4" s="1"/>
  <c r="DO23" i="4"/>
  <c r="DR18" i="4"/>
  <c r="DZ18" i="4" s="1"/>
  <c r="ED18" i="4" s="1"/>
  <c r="EF18" i="4" s="1"/>
  <c r="DO18" i="4"/>
  <c r="DP18" i="4"/>
  <c r="DR7" i="4"/>
  <c r="DZ7" i="4" s="1"/>
  <c r="ED7" i="4" s="1"/>
  <c r="EF7" i="4" s="1"/>
  <c r="DO7" i="4"/>
  <c r="DP7" i="4"/>
  <c r="DR22" i="4"/>
  <c r="DZ22" i="4" s="1"/>
  <c r="ED22" i="4" s="1"/>
  <c r="EF22" i="4" s="1"/>
  <c r="DO22" i="4"/>
  <c r="DR34" i="4"/>
  <c r="DZ34" i="4" s="1"/>
  <c r="ED34" i="4" s="1"/>
  <c r="EF34" i="4" s="1"/>
  <c r="DO34" i="4"/>
  <c r="DR33" i="4"/>
  <c r="DZ33" i="4" s="1"/>
  <c r="ED33" i="4" s="1"/>
  <c r="EF33" i="4" s="1"/>
  <c r="DO33" i="4"/>
  <c r="DR6" i="4"/>
  <c r="DZ6" i="4" s="1"/>
  <c r="ED6" i="4" s="1"/>
  <c r="EF6" i="4" s="1"/>
  <c r="DP6" i="4"/>
  <c r="DO6" i="4"/>
  <c r="DR14" i="4"/>
  <c r="DZ14" i="4" s="1"/>
  <c r="ED14" i="4" s="1"/>
  <c r="EF14" i="4" s="1"/>
  <c r="DP14" i="4"/>
  <c r="DO14" i="4"/>
  <c r="DR26" i="4"/>
  <c r="DZ26" i="4" s="1"/>
  <c r="ED26" i="4" s="1"/>
  <c r="EF26" i="4" s="1"/>
  <c r="DO26" i="4"/>
  <c r="DP26" i="4"/>
  <c r="DR16" i="4"/>
  <c r="DZ16" i="4" s="1"/>
  <c r="ED16" i="4" s="1"/>
  <c r="EF16" i="4" s="1"/>
  <c r="DP16" i="4"/>
  <c r="DO16" i="4"/>
  <c r="DR31" i="4"/>
  <c r="DZ31" i="4" s="1"/>
  <c r="ED31" i="4" s="1"/>
  <c r="EF31" i="4" s="1"/>
  <c r="DO31" i="4"/>
  <c r="DR35" i="4"/>
  <c r="DZ35" i="4" s="1"/>
  <c r="ED35" i="4" s="1"/>
  <c r="EF35" i="4" s="1"/>
  <c r="DO35" i="4"/>
  <c r="DR25" i="4"/>
  <c r="DZ25" i="4" s="1"/>
  <c r="ED25" i="4" s="1"/>
  <c r="EF25" i="4" s="1"/>
  <c r="DP25" i="4"/>
  <c r="DO25" i="4"/>
  <c r="DR11" i="4"/>
  <c r="DZ11" i="4" s="1"/>
  <c r="ED11" i="4" s="1"/>
  <c r="EF11" i="4" s="1"/>
  <c r="DO11" i="4"/>
  <c r="DP11" i="4"/>
  <c r="DR15" i="4"/>
  <c r="DZ15" i="4" s="1"/>
  <c r="ED15" i="4" s="1"/>
  <c r="EF15" i="4" s="1"/>
  <c r="DP15" i="4"/>
  <c r="DO15" i="4"/>
  <c r="DR9" i="4"/>
  <c r="DZ9" i="4" s="1"/>
  <c r="ED9" i="4" s="1"/>
  <c r="EF9" i="4" s="1"/>
  <c r="DP9" i="4"/>
  <c r="DO9" i="4"/>
  <c r="DR12" i="4"/>
  <c r="DZ12" i="4" s="1"/>
  <c r="ED12" i="4" s="1"/>
  <c r="EF12" i="4" s="1"/>
  <c r="DO12" i="4"/>
  <c r="DP12" i="4"/>
  <c r="DL36" i="4"/>
  <c r="DL45" i="4" s="1"/>
  <c r="DM4" i="4"/>
  <c r="DN4" i="4" s="1"/>
  <c r="DR30" i="4"/>
  <c r="DZ30" i="4" s="1"/>
  <c r="ED30" i="4" s="1"/>
  <c r="EF30" i="4" s="1"/>
  <c r="DP30" i="4"/>
  <c r="DO30" i="4"/>
  <c r="DR29" i="4"/>
  <c r="DZ29" i="4" s="1"/>
  <c r="ED29" i="4" s="1"/>
  <c r="EF29" i="4" s="1"/>
  <c r="DO29" i="4"/>
  <c r="DP29" i="4"/>
  <c r="DR17" i="4"/>
  <c r="DZ17" i="4" s="1"/>
  <c r="ED17" i="4" s="1"/>
  <c r="EF17" i="4" s="1"/>
  <c r="DO17" i="4"/>
  <c r="DP17" i="4"/>
  <c r="DR5" i="4"/>
  <c r="DZ5" i="4" s="1"/>
  <c r="ED5" i="4" s="1"/>
  <c r="EF5" i="4" s="1"/>
  <c r="DP5" i="4"/>
  <c r="DO5" i="4"/>
  <c r="DR32" i="4"/>
  <c r="DZ32" i="4" s="1"/>
  <c r="ED32" i="4" s="1"/>
  <c r="EF32" i="4" s="1"/>
  <c r="DO32" i="4"/>
  <c r="DR20" i="4"/>
  <c r="DZ20" i="4" s="1"/>
  <c r="ED20" i="4" s="1"/>
  <c r="EF20" i="4" s="1"/>
  <c r="DP20" i="4"/>
  <c r="DO20" i="4"/>
  <c r="DR21" i="4"/>
  <c r="DZ21" i="4" s="1"/>
  <c r="ED21" i="4" s="1"/>
  <c r="EF21" i="4" s="1"/>
  <c r="DO21" i="4"/>
  <c r="DP21" i="4"/>
  <c r="DR13" i="4"/>
  <c r="DZ13" i="4" s="1"/>
  <c r="ED13" i="4" s="1"/>
  <c r="EF13" i="4" s="1"/>
  <c r="DP13" i="4"/>
  <c r="DO13" i="4"/>
  <c r="DR27" i="4"/>
  <c r="DZ27" i="4" s="1"/>
  <c r="ED27" i="4" s="1"/>
  <c r="EF27" i="4" s="1"/>
  <c r="DP27" i="4"/>
  <c r="DO27" i="4"/>
  <c r="DR19" i="4"/>
  <c r="DZ19" i="4" s="1"/>
  <c r="ED19" i="4" s="1"/>
  <c r="EF19" i="4" s="1"/>
  <c r="DO19" i="4"/>
  <c r="DP19" i="4"/>
  <c r="DR10" i="4"/>
  <c r="DZ10" i="4" s="1"/>
  <c r="ED10" i="4" s="1"/>
  <c r="EF10" i="4" s="1"/>
  <c r="DP10" i="4"/>
  <c r="DO10" i="4"/>
  <c r="DR24" i="4"/>
  <c r="DZ24" i="4" s="1"/>
  <c r="ED24" i="4" s="1"/>
  <c r="EF24" i="4" s="1"/>
  <c r="DO24" i="4"/>
  <c r="DR8" i="4"/>
  <c r="DZ8" i="4" s="1"/>
  <c r="ED8" i="4" s="1"/>
  <c r="EF8" i="4" s="1"/>
  <c r="DP8" i="4"/>
  <c r="DO8" i="4"/>
  <c r="EL15" i="4" l="1"/>
  <c r="EH15" i="4"/>
  <c r="EI15" i="4" s="1"/>
  <c r="EJ15" i="4" s="1"/>
  <c r="EK15" i="4" s="1"/>
  <c r="EL35" i="4"/>
  <c r="EM35" i="4" s="1"/>
  <c r="EH35" i="4"/>
  <c r="EI35" i="4" s="1"/>
  <c r="EJ35" i="4" s="1"/>
  <c r="EK35" i="4" s="1"/>
  <c r="EH26" i="4"/>
  <c r="EI26" i="4" s="1"/>
  <c r="EJ26" i="4" s="1"/>
  <c r="EK26" i="4" s="1"/>
  <c r="EL26" i="4"/>
  <c r="EL33" i="4"/>
  <c r="EH33" i="4"/>
  <c r="EI33" i="4" s="1"/>
  <c r="EJ33" i="4" s="1"/>
  <c r="EK33" i="4" s="1"/>
  <c r="EL13" i="4"/>
  <c r="EM13" i="4" s="1"/>
  <c r="EH13" i="4"/>
  <c r="EI13" i="4" s="1"/>
  <c r="EJ13" i="4" s="1"/>
  <c r="EH32" i="4"/>
  <c r="EI32" i="4" s="1"/>
  <c r="EJ32" i="4" s="1"/>
  <c r="EK32" i="4" s="1"/>
  <c r="EL32" i="4"/>
  <c r="EL31" i="4"/>
  <c r="EM31" i="4" s="1"/>
  <c r="EH31" i="4"/>
  <c r="EI31" i="4" s="1"/>
  <c r="EJ31" i="4" s="1"/>
  <c r="EK31" i="4" s="1"/>
  <c r="EL34" i="4"/>
  <c r="EH34" i="4"/>
  <c r="EI34" i="4" s="1"/>
  <c r="EJ34" i="4" s="1"/>
  <c r="EK34" i="4" s="1"/>
  <c r="EH18" i="4"/>
  <c r="EI18" i="4" s="1"/>
  <c r="EJ18" i="4" s="1"/>
  <c r="EK18" i="4" s="1"/>
  <c r="EL18" i="4"/>
  <c r="EL10" i="4"/>
  <c r="EM10" i="4" s="1"/>
  <c r="EH10" i="4"/>
  <c r="EI10" i="4" s="1"/>
  <c r="EJ10" i="4" s="1"/>
  <c r="EK10" i="4" s="1"/>
  <c r="EH19" i="4"/>
  <c r="EI19" i="4" s="1"/>
  <c r="EJ19" i="4" s="1"/>
  <c r="EK19" i="4" s="1"/>
  <c r="EL19" i="4"/>
  <c r="EL11" i="4"/>
  <c r="EM11" i="4" s="1"/>
  <c r="EH11" i="4"/>
  <c r="EI11" i="4" s="1"/>
  <c r="EJ11" i="4" s="1"/>
  <c r="EH14" i="4"/>
  <c r="EI14" i="4" s="1"/>
  <c r="EJ14" i="4" s="1"/>
  <c r="EK14" i="4" s="1"/>
  <c r="EL14" i="4"/>
  <c r="EM14" i="4" s="1"/>
  <c r="EH8" i="4"/>
  <c r="EI8" i="4" s="1"/>
  <c r="EJ8" i="4" s="1"/>
  <c r="EK8" i="4" s="1"/>
  <c r="EL8" i="4"/>
  <c r="EL21" i="4"/>
  <c r="EH21" i="4"/>
  <c r="EI21" i="4" s="1"/>
  <c r="EJ21" i="4" s="1"/>
  <c r="EK21" i="4" s="1"/>
  <c r="EL5" i="4"/>
  <c r="EH5" i="4"/>
  <c r="EI5" i="4" s="1"/>
  <c r="EJ5" i="4" s="1"/>
  <c r="EK5" i="4" s="1"/>
  <c r="EH22" i="4"/>
  <c r="EI22" i="4" s="1"/>
  <c r="EJ22" i="4" s="1"/>
  <c r="EK22" i="4" s="1"/>
  <c r="EL22" i="4"/>
  <c r="EL23" i="4"/>
  <c r="EM23" i="4" s="1"/>
  <c r="EH23" i="4"/>
  <c r="EI23" i="4" s="1"/>
  <c r="EJ23" i="4" s="1"/>
  <c r="EH29" i="4"/>
  <c r="EI29" i="4" s="1"/>
  <c r="EJ29" i="4" s="1"/>
  <c r="EK29" i="4" s="1"/>
  <c r="EL29" i="4"/>
  <c r="EM29" i="4" s="1"/>
  <c r="EL24" i="4"/>
  <c r="EH24" i="4"/>
  <c r="EI24" i="4" s="1"/>
  <c r="EJ24" i="4" s="1"/>
  <c r="EK24" i="4" s="1"/>
  <c r="EL30" i="4"/>
  <c r="EM30" i="4" s="1"/>
  <c r="EH30" i="4"/>
  <c r="EI30" i="4" s="1"/>
  <c r="EJ30" i="4" s="1"/>
  <c r="EL9" i="4"/>
  <c r="EM9" i="4" s="1"/>
  <c r="EH9" i="4"/>
  <c r="EI9" i="4" s="1"/>
  <c r="EJ9" i="4" s="1"/>
  <c r="EH16" i="4"/>
  <c r="EI16" i="4" s="1"/>
  <c r="EJ16" i="4" s="1"/>
  <c r="EK16" i="4" s="1"/>
  <c r="EL16" i="4"/>
  <c r="EL12" i="4"/>
  <c r="EM12" i="4" s="1"/>
  <c r="EH12" i="4"/>
  <c r="EI12" i="4" s="1"/>
  <c r="EJ12" i="4" s="1"/>
  <c r="EH27" i="4"/>
  <c r="EI27" i="4" s="1"/>
  <c r="EJ27" i="4" s="1"/>
  <c r="EK27" i="4" s="1"/>
  <c r="EL27" i="4"/>
  <c r="DR4" i="4"/>
  <c r="DP4" i="4"/>
  <c r="DN36" i="4"/>
  <c r="DO4" i="4"/>
  <c r="DO36" i="4" s="1"/>
  <c r="EL25" i="4"/>
  <c r="EH25" i="4"/>
  <c r="EI25" i="4" s="1"/>
  <c r="EJ25" i="4" s="1"/>
  <c r="EH6" i="4"/>
  <c r="EI6" i="4" s="1"/>
  <c r="EJ6" i="4" s="1"/>
  <c r="EK6" i="4" s="1"/>
  <c r="EL6" i="4"/>
  <c r="EH20" i="4"/>
  <c r="EI20" i="4" s="1"/>
  <c r="EJ20" i="4" s="1"/>
  <c r="EK20" i="4" s="1"/>
  <c r="EL20" i="4"/>
  <c r="EM20" i="4" s="1"/>
  <c r="EL17" i="4"/>
  <c r="EH17" i="4"/>
  <c r="EI17" i="4" s="1"/>
  <c r="EJ17" i="4" s="1"/>
  <c r="EK17" i="4" s="1"/>
  <c r="EL7" i="4"/>
  <c r="EH7" i="4"/>
  <c r="EI7" i="4" s="1"/>
  <c r="EJ7" i="4" s="1"/>
  <c r="EK7" i="4" s="1"/>
  <c r="EL28" i="4"/>
  <c r="EM28" i="4" s="1"/>
  <c r="EH28" i="4"/>
  <c r="EI28" i="4" s="1"/>
  <c r="EJ28" i="4" s="1"/>
  <c r="EK28" i="4" s="1"/>
  <c r="EM21" i="4" l="1"/>
  <c r="EN21" i="4" s="1"/>
  <c r="EN20" i="4"/>
  <c r="EO35" i="4"/>
  <c r="EN29" i="4"/>
  <c r="EO21" i="4"/>
  <c r="EO31" i="4"/>
  <c r="EO10" i="4"/>
  <c r="EO29" i="4"/>
  <c r="EN10" i="4"/>
  <c r="EN35" i="4"/>
  <c r="EO20" i="4"/>
  <c r="EN28" i="4"/>
  <c r="EO14" i="4"/>
  <c r="EK11" i="4"/>
  <c r="EO11" i="4" s="1"/>
  <c r="EN11" i="4"/>
  <c r="EO7" i="4"/>
  <c r="EM7" i="4"/>
  <c r="EN7" i="4" s="1"/>
  <c r="EM24" i="4"/>
  <c r="EN24" i="4" s="1"/>
  <c r="EO24" i="4"/>
  <c r="EO5" i="4"/>
  <c r="EM5" i="4"/>
  <c r="EN5" i="4" s="1"/>
  <c r="EM34" i="4"/>
  <c r="EN34" i="4" s="1"/>
  <c r="EO34" i="4"/>
  <c r="EO33" i="4"/>
  <c r="EM33" i="4"/>
  <c r="EN33" i="4" s="1"/>
  <c r="EN12" i="4"/>
  <c r="EK12" i="4"/>
  <c r="EO12" i="4" s="1"/>
  <c r="EO16" i="4"/>
  <c r="EM16" i="4"/>
  <c r="EN16" i="4" s="1"/>
  <c r="EO19" i="4"/>
  <c r="EM19" i="4"/>
  <c r="EN19" i="4" s="1"/>
  <c r="EO26" i="4"/>
  <c r="EM26" i="4"/>
  <c r="EN26" i="4" s="1"/>
  <c r="EK25" i="4"/>
  <c r="EO25" i="4" s="1"/>
  <c r="EM17" i="4"/>
  <c r="EN17" i="4" s="1"/>
  <c r="EO17" i="4"/>
  <c r="EN31" i="4"/>
  <c r="DN45" i="4"/>
  <c r="DP36" i="4"/>
  <c r="EN9" i="4"/>
  <c r="EK9" i="4"/>
  <c r="EO9" i="4" s="1"/>
  <c r="EK23" i="4"/>
  <c r="EO23" i="4" s="1"/>
  <c r="EN23" i="4"/>
  <c r="EO8" i="4"/>
  <c r="EM8" i="4"/>
  <c r="EN8" i="4" s="1"/>
  <c r="EM32" i="4"/>
  <c r="EN32" i="4" s="1"/>
  <c r="EO32" i="4"/>
  <c r="DZ4" i="4"/>
  <c r="DR36" i="4"/>
  <c r="EO28" i="4"/>
  <c r="EO6" i="4"/>
  <c r="EM6" i="4"/>
  <c r="EN6" i="4" s="1"/>
  <c r="EM27" i="4"/>
  <c r="EN27" i="4" s="1"/>
  <c r="EO27" i="4"/>
  <c r="EN30" i="4"/>
  <c r="EK30" i="4"/>
  <c r="EO30" i="4" s="1"/>
  <c r="EM22" i="4"/>
  <c r="EN22" i="4" s="1"/>
  <c r="EO22" i="4"/>
  <c r="EN14" i="4"/>
  <c r="EO18" i="4"/>
  <c r="EM18" i="4"/>
  <c r="EN18" i="4" s="1"/>
  <c r="EK13" i="4"/>
  <c r="EO13" i="4" s="1"/>
  <c r="EN13" i="4"/>
  <c r="EM15" i="4"/>
  <c r="EN15" i="4" s="1"/>
  <c r="EO15" i="4"/>
  <c r="EM25" i="4" l="1"/>
  <c r="EN25" i="4" s="1"/>
  <c r="ED4" i="4"/>
  <c r="DZ36" i="4"/>
  <c r="DZ45" i="4" s="1"/>
  <c r="EF4" i="4" l="1"/>
  <c r="ED36" i="4"/>
  <c r="ED45" i="4" s="1"/>
  <c r="EL4" i="4" l="1"/>
  <c r="EO4" i="4" s="1"/>
  <c r="EO36" i="4" s="1"/>
  <c r="EH4" i="4"/>
  <c r="EF36" i="4"/>
  <c r="EI4" i="4" l="1"/>
  <c r="EH36" i="4"/>
  <c r="EI36" i="4" l="1"/>
  <c r="EJ4" i="4"/>
  <c r="EK4" i="4" l="1"/>
  <c r="EM4" i="4" s="1"/>
  <c r="EM36" i="4" s="1"/>
  <c r="EM45" i="4" s="1"/>
  <c r="EI45" i="4"/>
  <c r="EN4" i="4" l="1"/>
  <c r="EN41" i="4"/>
  <c r="EP11" i="4" l="1"/>
  <c r="EP19" i="4"/>
  <c r="EP27" i="4"/>
  <c r="EP35" i="4"/>
  <c r="EP4" i="4"/>
  <c r="EP12" i="4"/>
  <c r="EP20" i="4"/>
  <c r="EP28" i="4"/>
  <c r="EP5" i="4"/>
  <c r="EP13" i="4"/>
  <c r="EP21" i="4"/>
  <c r="EP29" i="4"/>
  <c r="EP6" i="4"/>
  <c r="EP14" i="4"/>
  <c r="EP22" i="4"/>
  <c r="EP30" i="4"/>
  <c r="EP7" i="4"/>
  <c r="EP15" i="4"/>
  <c r="EP23" i="4"/>
  <c r="EP31" i="4"/>
  <c r="EP8" i="4"/>
  <c r="EP16" i="4"/>
  <c r="EP24" i="4"/>
  <c r="EP32" i="4"/>
  <c r="EP9" i="4"/>
  <c r="EP17" i="4"/>
  <c r="EP25" i="4"/>
  <c r="EP33" i="4"/>
  <c r="EP10" i="4"/>
  <c r="EP18" i="4"/>
  <c r="EP26" i="4"/>
  <c r="EP34" i="4"/>
  <c r="ER23" i="4"/>
  <c r="ES23" i="4" s="1"/>
  <c r="ER29" i="4"/>
  <c r="ES29" i="4" s="1"/>
  <c r="ER31" i="4"/>
  <c r="ES31" i="4" s="1"/>
  <c r="ER22" i="4"/>
  <c r="ES22" i="4" s="1"/>
  <c r="ER15" i="4"/>
  <c r="ES15" i="4" s="1"/>
  <c r="ER30" i="4"/>
  <c r="ES30" i="4" s="1"/>
  <c r="ER26" i="4"/>
  <c r="ES26" i="4" s="1"/>
  <c r="ER14" i="4"/>
  <c r="ES14" i="4" s="1"/>
  <c r="ER24" i="4"/>
  <c r="ES24" i="4" s="1"/>
  <c r="ER21" i="4"/>
  <c r="ES21" i="4" s="1"/>
  <c r="ER20" i="4"/>
  <c r="ES20" i="4" s="1"/>
  <c r="ER33" i="4"/>
  <c r="ES33" i="4" s="1"/>
  <c r="ER13" i="4"/>
  <c r="ES13" i="4" s="1"/>
  <c r="ER18" i="4"/>
  <c r="ES18" i="4" s="1"/>
  <c r="ER10" i="4"/>
  <c r="ES10" i="4" s="1"/>
  <c r="ER25" i="4"/>
  <c r="ES25" i="4" s="1"/>
  <c r="ER12" i="4"/>
  <c r="ES12" i="4" s="1"/>
  <c r="ER8" i="4"/>
  <c r="ES8" i="4" s="1"/>
  <c r="ER19" i="4"/>
  <c r="ES19" i="4" s="1"/>
  <c r="ER27" i="4"/>
  <c r="ES27" i="4" s="1"/>
  <c r="ER16" i="4"/>
  <c r="ES16" i="4" s="1"/>
  <c r="ER11" i="4"/>
  <c r="ES11" i="4" s="1"/>
  <c r="ER5" i="4"/>
  <c r="ES5" i="4" s="1"/>
  <c r="ER9" i="4"/>
  <c r="ES9" i="4" s="1"/>
  <c r="ER34" i="4"/>
  <c r="ES34" i="4" s="1"/>
  <c r="EN45" i="4"/>
  <c r="ER35" i="4"/>
  <c r="ES35" i="4" s="1"/>
  <c r="ER32" i="4"/>
  <c r="ES32" i="4" s="1"/>
  <c r="ER17" i="4"/>
  <c r="ES17" i="4" s="1"/>
  <c r="ER6" i="4"/>
  <c r="ES6" i="4" s="1"/>
  <c r="ER28" i="4"/>
  <c r="ES28" i="4" s="1"/>
  <c r="ER7" i="4"/>
  <c r="ES7" i="4" s="1"/>
  <c r="EO45" i="4"/>
  <c r="EP36" i="4" l="1"/>
  <c r="EW5" i="4"/>
  <c r="FE5" i="4" s="1"/>
  <c r="FI5" i="4" s="1"/>
  <c r="FK5" i="4" s="1"/>
  <c r="ET5" i="4"/>
  <c r="EU5" i="4"/>
  <c r="EW10" i="4"/>
  <c r="FE10" i="4" s="1"/>
  <c r="FI10" i="4" s="1"/>
  <c r="FK10" i="4" s="1"/>
  <c r="EU10" i="4"/>
  <c r="ET10" i="4"/>
  <c r="EW26" i="4"/>
  <c r="FE26" i="4" s="1"/>
  <c r="FI26" i="4" s="1"/>
  <c r="FK26" i="4" s="1"/>
  <c r="ET26" i="4"/>
  <c r="EU26" i="4"/>
  <c r="EW6" i="4"/>
  <c r="FE6" i="4" s="1"/>
  <c r="FI6" i="4" s="1"/>
  <c r="FK6" i="4" s="1"/>
  <c r="EU6" i="4"/>
  <c r="ET6" i="4"/>
  <c r="EW11" i="4"/>
  <c r="FE11" i="4" s="1"/>
  <c r="FI11" i="4" s="1"/>
  <c r="FK11" i="4" s="1"/>
  <c r="ET11" i="4"/>
  <c r="EU11" i="4"/>
  <c r="EW18" i="4"/>
  <c r="FE18" i="4" s="1"/>
  <c r="FI18" i="4" s="1"/>
  <c r="FK18" i="4" s="1"/>
  <c r="EU18" i="4"/>
  <c r="ET18" i="4"/>
  <c r="EW30" i="4"/>
  <c r="FE30" i="4" s="1"/>
  <c r="FI30" i="4" s="1"/>
  <c r="FK30" i="4" s="1"/>
  <c r="ET30" i="4"/>
  <c r="EU30" i="4"/>
  <c r="EW15" i="4"/>
  <c r="FE15" i="4" s="1"/>
  <c r="FI15" i="4" s="1"/>
  <c r="FK15" i="4" s="1"/>
  <c r="EU15" i="4"/>
  <c r="ET15" i="4"/>
  <c r="EW32" i="4"/>
  <c r="FE32" i="4" s="1"/>
  <c r="FI32" i="4" s="1"/>
  <c r="FK32" i="4" s="1"/>
  <c r="ET32" i="4"/>
  <c r="ET22" i="4"/>
  <c r="EW22" i="4"/>
  <c r="FE22" i="4" s="1"/>
  <c r="FI22" i="4" s="1"/>
  <c r="FK22" i="4" s="1"/>
  <c r="EW16" i="4"/>
  <c r="FE16" i="4" s="1"/>
  <c r="FI16" i="4" s="1"/>
  <c r="FK16" i="4" s="1"/>
  <c r="EU16" i="4"/>
  <c r="ET16" i="4"/>
  <c r="ET35" i="4"/>
  <c r="EW35" i="4"/>
  <c r="FE35" i="4" s="1"/>
  <c r="FI35" i="4" s="1"/>
  <c r="FK35" i="4" s="1"/>
  <c r="EW19" i="4"/>
  <c r="FE19" i="4" s="1"/>
  <c r="FI19" i="4" s="1"/>
  <c r="FK19" i="4" s="1"/>
  <c r="ET19" i="4"/>
  <c r="EU19" i="4"/>
  <c r="EW20" i="4"/>
  <c r="FE20" i="4" s="1"/>
  <c r="FI20" i="4" s="1"/>
  <c r="FK20" i="4" s="1"/>
  <c r="EU20" i="4"/>
  <c r="ET20" i="4"/>
  <c r="ET31" i="4"/>
  <c r="EW31" i="4"/>
  <c r="FE31" i="4" s="1"/>
  <c r="FI31" i="4" s="1"/>
  <c r="FK31" i="4" s="1"/>
  <c r="EW17" i="4"/>
  <c r="FE17" i="4" s="1"/>
  <c r="FI17" i="4" s="1"/>
  <c r="FK17" i="4" s="1"/>
  <c r="EU17" i="4"/>
  <c r="ET17" i="4"/>
  <c r="ET33" i="4"/>
  <c r="EW33" i="4"/>
  <c r="FE33" i="4" s="1"/>
  <c r="FI33" i="4" s="1"/>
  <c r="FK33" i="4" s="1"/>
  <c r="EW8" i="4"/>
  <c r="FE8" i="4" s="1"/>
  <c r="FI8" i="4" s="1"/>
  <c r="FK8" i="4" s="1"/>
  <c r="EU8" i="4"/>
  <c r="ET8" i="4"/>
  <c r="EW21" i="4"/>
  <c r="FE21" i="4" s="1"/>
  <c r="FI21" i="4" s="1"/>
  <c r="FK21" i="4" s="1"/>
  <c r="EU21" i="4"/>
  <c r="ET21" i="4"/>
  <c r="EW29" i="4"/>
  <c r="FE29" i="4" s="1"/>
  <c r="FI29" i="4" s="1"/>
  <c r="FK29" i="4" s="1"/>
  <c r="EU29" i="4"/>
  <c r="ET29" i="4"/>
  <c r="EW28" i="4"/>
  <c r="FE28" i="4" s="1"/>
  <c r="FI28" i="4" s="1"/>
  <c r="FK28" i="4" s="1"/>
  <c r="EU28" i="4"/>
  <c r="ET28" i="4"/>
  <c r="EW27" i="4"/>
  <c r="FE27" i="4" s="1"/>
  <c r="FI27" i="4" s="1"/>
  <c r="FK27" i="4" s="1"/>
  <c r="ET27" i="4"/>
  <c r="EU27" i="4"/>
  <c r="ET34" i="4"/>
  <c r="EW34" i="4"/>
  <c r="FE34" i="4" s="1"/>
  <c r="FI34" i="4" s="1"/>
  <c r="FK34" i="4" s="1"/>
  <c r="EW12" i="4"/>
  <c r="FE12" i="4" s="1"/>
  <c r="FI12" i="4" s="1"/>
  <c r="FK12" i="4" s="1"/>
  <c r="EU12" i="4"/>
  <c r="ET12" i="4"/>
  <c r="EW24" i="4"/>
  <c r="FE24" i="4" s="1"/>
  <c r="FI24" i="4" s="1"/>
  <c r="FK24" i="4" s="1"/>
  <c r="ET24" i="4"/>
  <c r="ET23" i="4"/>
  <c r="EW23" i="4"/>
  <c r="FE23" i="4" s="1"/>
  <c r="FI23" i="4" s="1"/>
  <c r="FK23" i="4" s="1"/>
  <c r="EW13" i="4"/>
  <c r="FE13" i="4" s="1"/>
  <c r="FI13" i="4" s="1"/>
  <c r="FK13" i="4" s="1"/>
  <c r="ET13" i="4"/>
  <c r="EU13" i="4"/>
  <c r="EW7" i="4"/>
  <c r="FE7" i="4" s="1"/>
  <c r="FI7" i="4" s="1"/>
  <c r="FK7" i="4" s="1"/>
  <c r="ET7" i="4"/>
  <c r="EU7" i="4"/>
  <c r="EW9" i="4"/>
  <c r="FE9" i="4" s="1"/>
  <c r="FI9" i="4" s="1"/>
  <c r="FK9" i="4" s="1"/>
  <c r="EU9" i="4"/>
  <c r="ET9" i="4"/>
  <c r="EW25" i="4"/>
  <c r="FE25" i="4" s="1"/>
  <c r="FI25" i="4" s="1"/>
  <c r="FK25" i="4" s="1"/>
  <c r="EU25" i="4"/>
  <c r="ET25" i="4"/>
  <c r="EW14" i="4"/>
  <c r="FE14" i="4" s="1"/>
  <c r="FI14" i="4" s="1"/>
  <c r="FK14" i="4" s="1"/>
  <c r="ET14" i="4"/>
  <c r="EU14" i="4"/>
  <c r="EQ36" i="4"/>
  <c r="EQ45" i="4" s="1"/>
  <c r="ER4" i="4"/>
  <c r="ES4" i="4" s="1"/>
  <c r="FM25" i="4" l="1"/>
  <c r="FN25" i="4" s="1"/>
  <c r="FO25" i="4" s="1"/>
  <c r="FQ25" i="4"/>
  <c r="FQ18" i="4"/>
  <c r="FM18" i="4"/>
  <c r="FN18" i="4" s="1"/>
  <c r="FO18" i="4" s="1"/>
  <c r="FP18" i="4" s="1"/>
  <c r="EW4" i="4"/>
  <c r="ET4" i="4"/>
  <c r="ET36" i="4" s="1"/>
  <c r="EU4" i="4"/>
  <c r="ES36" i="4"/>
  <c r="FQ13" i="4"/>
  <c r="FM13" i="4"/>
  <c r="FN13" i="4" s="1"/>
  <c r="FO13" i="4" s="1"/>
  <c r="FM34" i="4"/>
  <c r="FN34" i="4" s="1"/>
  <c r="FO34" i="4" s="1"/>
  <c r="FQ34" i="4"/>
  <c r="FM8" i="4"/>
  <c r="FN8" i="4" s="1"/>
  <c r="FO8" i="4" s="1"/>
  <c r="FQ8" i="4"/>
  <c r="FQ26" i="4"/>
  <c r="FM26" i="4"/>
  <c r="FN26" i="4" s="1"/>
  <c r="FO26" i="4" s="1"/>
  <c r="FM33" i="4"/>
  <c r="FN33" i="4" s="1"/>
  <c r="FO33" i="4" s="1"/>
  <c r="FQ33" i="4"/>
  <c r="FM15" i="4"/>
  <c r="FN15" i="4" s="1"/>
  <c r="FO15" i="4" s="1"/>
  <c r="FP15" i="4" s="1"/>
  <c r="FQ15" i="4"/>
  <c r="FM16" i="4"/>
  <c r="FN16" i="4" s="1"/>
  <c r="FO16" i="4" s="1"/>
  <c r="FP16" i="4" s="1"/>
  <c r="FQ16" i="4"/>
  <c r="FQ11" i="4"/>
  <c r="FM11" i="4"/>
  <c r="FN11" i="4" s="1"/>
  <c r="FO11" i="4" s="1"/>
  <c r="FP11" i="4" s="1"/>
  <c r="FM9" i="4"/>
  <c r="FN9" i="4" s="1"/>
  <c r="FO9" i="4" s="1"/>
  <c r="FQ9" i="4"/>
  <c r="FM22" i="4"/>
  <c r="FN22" i="4" s="1"/>
  <c r="FO22" i="4" s="1"/>
  <c r="FP22" i="4" s="1"/>
  <c r="FQ22" i="4"/>
  <c r="FM10" i="4"/>
  <c r="FN10" i="4" s="1"/>
  <c r="FO10" i="4" s="1"/>
  <c r="FP10" i="4" s="1"/>
  <c r="FQ10" i="4"/>
  <c r="FQ12" i="4"/>
  <c r="FM12" i="4"/>
  <c r="FN12" i="4" s="1"/>
  <c r="FO12" i="4" s="1"/>
  <c r="FQ20" i="4"/>
  <c r="FR20" i="4" s="1"/>
  <c r="FM20" i="4"/>
  <c r="FN20" i="4" s="1"/>
  <c r="FO20" i="4" s="1"/>
  <c r="FQ27" i="4"/>
  <c r="FM27" i="4"/>
  <c r="FN27" i="4" s="1"/>
  <c r="FO27" i="4" s="1"/>
  <c r="FP27" i="4" s="1"/>
  <c r="FM30" i="4"/>
  <c r="FN30" i="4" s="1"/>
  <c r="FO30" i="4" s="1"/>
  <c r="FQ30" i="4"/>
  <c r="FM28" i="4"/>
  <c r="FN28" i="4" s="1"/>
  <c r="FO28" i="4" s="1"/>
  <c r="FQ28" i="4"/>
  <c r="FM14" i="4"/>
  <c r="FN14" i="4" s="1"/>
  <c r="FO14" i="4" s="1"/>
  <c r="FQ14" i="4"/>
  <c r="FM7" i="4"/>
  <c r="FN7" i="4" s="1"/>
  <c r="FO7" i="4" s="1"/>
  <c r="FP7" i="4" s="1"/>
  <c r="FQ7" i="4"/>
  <c r="FQ21" i="4"/>
  <c r="FM21" i="4"/>
  <c r="FN21" i="4" s="1"/>
  <c r="FO21" i="4" s="1"/>
  <c r="FQ17" i="4"/>
  <c r="FM17" i="4"/>
  <c r="FN17" i="4" s="1"/>
  <c r="FO17" i="4" s="1"/>
  <c r="FP17" i="4" s="1"/>
  <c r="FM19" i="4"/>
  <c r="FN19" i="4" s="1"/>
  <c r="FO19" i="4" s="1"/>
  <c r="FP19" i="4" s="1"/>
  <c r="FQ19" i="4"/>
  <c r="FM6" i="4"/>
  <c r="FN6" i="4" s="1"/>
  <c r="FO6" i="4" s="1"/>
  <c r="FP6" i="4" s="1"/>
  <c r="FQ6" i="4"/>
  <c r="FQ23" i="4"/>
  <c r="FM23" i="4"/>
  <c r="FN23" i="4" s="1"/>
  <c r="FO23" i="4" s="1"/>
  <c r="FM29" i="4"/>
  <c r="FN29" i="4" s="1"/>
  <c r="FO29" i="4" s="1"/>
  <c r="FQ29" i="4"/>
  <c r="FR29" i="4" s="1"/>
  <c r="FQ24" i="4"/>
  <c r="FM24" i="4"/>
  <c r="FN24" i="4" s="1"/>
  <c r="FO24" i="4" s="1"/>
  <c r="FQ31" i="4"/>
  <c r="FM31" i="4"/>
  <c r="FN31" i="4" s="1"/>
  <c r="FO31" i="4" s="1"/>
  <c r="FQ35" i="4"/>
  <c r="FR35" i="4" s="1"/>
  <c r="FM35" i="4"/>
  <c r="FN35" i="4" s="1"/>
  <c r="FO35" i="4" s="1"/>
  <c r="FM32" i="4"/>
  <c r="FN32" i="4" s="1"/>
  <c r="FO32" i="4" s="1"/>
  <c r="FQ32" i="4"/>
  <c r="FM5" i="4"/>
  <c r="FN5" i="4" s="1"/>
  <c r="FO5" i="4" s="1"/>
  <c r="FP5" i="4" s="1"/>
  <c r="FQ5" i="4"/>
  <c r="FP12" i="4" l="1"/>
  <c r="FT12" i="4" s="1"/>
  <c r="ES45" i="4"/>
  <c r="EU36" i="4"/>
  <c r="FP32" i="4"/>
  <c r="FT32" i="4" s="1"/>
  <c r="FP29" i="4"/>
  <c r="FT29" i="4" s="1"/>
  <c r="FS29" i="4"/>
  <c r="FT17" i="4"/>
  <c r="FR17" i="4"/>
  <c r="FS17" i="4" s="1"/>
  <c r="FP28" i="4"/>
  <c r="FT28" i="4" s="1"/>
  <c r="FR12" i="4"/>
  <c r="FS12" i="4" s="1"/>
  <c r="FR11" i="4"/>
  <c r="FS11" i="4" s="1"/>
  <c r="FT11" i="4"/>
  <c r="FR26" i="4"/>
  <c r="FS26" i="4" s="1"/>
  <c r="FR32" i="4"/>
  <c r="FS32" i="4" s="1"/>
  <c r="FP23" i="4"/>
  <c r="FT23" i="4" s="1"/>
  <c r="FP30" i="4"/>
  <c r="FT30" i="4" s="1"/>
  <c r="FP8" i="4"/>
  <c r="FT8" i="4" s="1"/>
  <c r="FE4" i="4"/>
  <c r="EW36" i="4"/>
  <c r="FS35" i="4"/>
  <c r="FP35" i="4"/>
  <c r="FT35" i="4" s="1"/>
  <c r="FT10" i="4"/>
  <c r="FR10" i="4"/>
  <c r="FS10" i="4" s="1"/>
  <c r="FR21" i="4"/>
  <c r="FS21" i="4" s="1"/>
  <c r="FP31" i="4"/>
  <c r="FT31" i="4" s="1"/>
  <c r="FT6" i="4"/>
  <c r="FR6" i="4"/>
  <c r="FS6" i="4" s="1"/>
  <c r="FT7" i="4"/>
  <c r="FR7" i="4"/>
  <c r="FS7" i="4" s="1"/>
  <c r="FR22" i="4"/>
  <c r="FS22" i="4" s="1"/>
  <c r="FT22" i="4"/>
  <c r="FT15" i="4"/>
  <c r="FR15" i="4"/>
  <c r="FS15" i="4" s="1"/>
  <c r="FR34" i="4"/>
  <c r="FS34" i="4" s="1"/>
  <c r="FP26" i="4"/>
  <c r="FT26" i="4" s="1"/>
  <c r="FT16" i="4"/>
  <c r="FR16" i="4"/>
  <c r="FS16" i="4" s="1"/>
  <c r="FR31" i="4"/>
  <c r="FS31" i="4" s="1"/>
  <c r="FT27" i="4"/>
  <c r="FR27" i="4"/>
  <c r="FS27" i="4" s="1"/>
  <c r="FP34" i="4"/>
  <c r="FT34" i="4" s="1"/>
  <c r="FT18" i="4"/>
  <c r="FR18" i="4"/>
  <c r="FS18" i="4" s="1"/>
  <c r="FR28" i="4"/>
  <c r="FS28" i="4" s="1"/>
  <c r="FP21" i="4"/>
  <c r="FT21" i="4" s="1"/>
  <c r="FT5" i="4"/>
  <c r="FR5" i="4"/>
  <c r="FS5" i="4" s="1"/>
  <c r="FP24" i="4"/>
  <c r="FT24" i="4" s="1"/>
  <c r="FT19" i="4"/>
  <c r="FR19" i="4"/>
  <c r="FS19" i="4" s="1"/>
  <c r="FR14" i="4"/>
  <c r="FS14" i="4" s="1"/>
  <c r="FP20" i="4"/>
  <c r="FT20" i="4" s="1"/>
  <c r="FS20" i="4"/>
  <c r="FR9" i="4"/>
  <c r="FS9" i="4" s="1"/>
  <c r="FR33" i="4"/>
  <c r="FS33" i="4" s="1"/>
  <c r="FP13" i="4"/>
  <c r="FT13" i="4" s="1"/>
  <c r="FR30" i="4"/>
  <c r="FS30" i="4" s="1"/>
  <c r="FR23" i="4"/>
  <c r="FS23" i="4" s="1"/>
  <c r="FR24" i="4"/>
  <c r="FS24" i="4" s="1"/>
  <c r="FP14" i="4"/>
  <c r="FT14" i="4" s="1"/>
  <c r="FP9" i="4"/>
  <c r="FT9" i="4" s="1"/>
  <c r="FP33" i="4"/>
  <c r="FT33" i="4" s="1"/>
  <c r="FR13" i="4"/>
  <c r="FS13" i="4" s="1"/>
  <c r="FP25" i="4"/>
  <c r="FT25" i="4" s="1"/>
  <c r="FR25" i="4" l="1"/>
  <c r="FS25" i="4" s="1"/>
  <c r="FR8" i="4"/>
  <c r="FS8" i="4" s="1"/>
  <c r="FE36" i="4"/>
  <c r="FE45" i="4" s="1"/>
  <c r="FI4" i="4"/>
  <c r="FZ4" i="4"/>
  <c r="FK4" i="4" l="1"/>
  <c r="FI36" i="4"/>
  <c r="FI45" i="4" s="1"/>
  <c r="FM4" i="4" l="1"/>
  <c r="FK36" i="4"/>
  <c r="FQ4" i="4"/>
  <c r="FT4" i="4" s="1"/>
  <c r="FT36" i="4" s="1"/>
  <c r="FM36" i="4" l="1"/>
  <c r="FN4" i="4"/>
  <c r="FN36" i="4" l="1"/>
  <c r="FO4" i="4"/>
  <c r="FP4" i="4" l="1"/>
  <c r="FR4" i="4" s="1"/>
  <c r="FR36" i="4" s="1"/>
  <c r="FR45" i="4" s="1"/>
  <c r="FN45" i="4"/>
  <c r="FS4" i="4" l="1"/>
  <c r="FS41" i="4"/>
  <c r="FU11" i="4" l="1"/>
  <c r="FU19" i="4"/>
  <c r="FU27" i="4"/>
  <c r="FU35" i="4"/>
  <c r="FU4" i="4"/>
  <c r="FU12" i="4"/>
  <c r="FU20" i="4"/>
  <c r="FU28" i="4"/>
  <c r="FU5" i="4"/>
  <c r="FU13" i="4"/>
  <c r="FU21" i="4"/>
  <c r="FU29" i="4"/>
  <c r="FU6" i="4"/>
  <c r="FU14" i="4"/>
  <c r="FU22" i="4"/>
  <c r="FU30" i="4"/>
  <c r="FU7" i="4"/>
  <c r="FU15" i="4"/>
  <c r="FU23" i="4"/>
  <c r="FU31" i="4"/>
  <c r="FU8" i="4"/>
  <c r="FU16" i="4"/>
  <c r="FU24" i="4"/>
  <c r="FU32" i="4"/>
  <c r="FU9" i="4"/>
  <c r="FU17" i="4"/>
  <c r="FU25" i="4"/>
  <c r="FU33" i="4"/>
  <c r="FU10" i="4"/>
  <c r="FU18" i="4"/>
  <c r="FU26" i="4"/>
  <c r="FU34" i="4"/>
  <c r="FW32" i="4"/>
  <c r="FX32" i="4" s="1"/>
  <c r="FW6" i="4"/>
  <c r="FX6" i="4" s="1"/>
  <c r="FW33" i="4"/>
  <c r="FX33" i="4" s="1"/>
  <c r="FW18" i="4"/>
  <c r="FX18" i="4" s="1"/>
  <c r="FW30" i="4"/>
  <c r="FX30" i="4" s="1"/>
  <c r="FW19" i="4"/>
  <c r="FX19" i="4" s="1"/>
  <c r="FW34" i="4"/>
  <c r="FX34" i="4" s="1"/>
  <c r="FW35" i="4"/>
  <c r="FX35" i="4" s="1"/>
  <c r="FW20" i="4"/>
  <c r="FX20" i="4" s="1"/>
  <c r="FW26" i="4"/>
  <c r="FX26" i="4" s="1"/>
  <c r="FW28" i="4"/>
  <c r="FX28" i="4" s="1"/>
  <c r="FW9" i="4"/>
  <c r="FX9" i="4" s="1"/>
  <c r="FW16" i="4"/>
  <c r="FX16" i="4" s="1"/>
  <c r="FW10" i="4"/>
  <c r="FX10" i="4" s="1"/>
  <c r="FW13" i="4"/>
  <c r="FX13" i="4" s="1"/>
  <c r="FW22" i="4"/>
  <c r="FX22" i="4" s="1"/>
  <c r="FW11" i="4"/>
  <c r="FX11" i="4" s="1"/>
  <c r="FW31" i="4"/>
  <c r="FX31" i="4" s="1"/>
  <c r="FW5" i="4"/>
  <c r="FX5" i="4" s="1"/>
  <c r="FW17" i="4"/>
  <c r="FX17" i="4" s="1"/>
  <c r="FW8" i="4"/>
  <c r="FX8" i="4" s="1"/>
  <c r="FW24" i="4"/>
  <c r="FX24" i="4" s="1"/>
  <c r="FW7" i="4"/>
  <c r="FX7" i="4" s="1"/>
  <c r="FW29" i="4"/>
  <c r="FX29" i="4" s="1"/>
  <c r="FW15" i="4"/>
  <c r="FX15" i="4" s="1"/>
  <c r="FW14" i="4"/>
  <c r="FX14" i="4" s="1"/>
  <c r="FW27" i="4"/>
  <c r="FX27" i="4" s="1"/>
  <c r="FW23" i="4"/>
  <c r="FX23" i="4" s="1"/>
  <c r="FW12" i="4"/>
  <c r="FX12" i="4" s="1"/>
  <c r="FS45" i="4"/>
  <c r="FW21" i="4"/>
  <c r="FX21" i="4" s="1"/>
  <c r="FW25" i="4"/>
  <c r="FX25" i="4" s="1"/>
  <c r="FT45" i="4"/>
  <c r="FU36" i="4" l="1"/>
  <c r="FY15" i="4"/>
  <c r="GB15" i="4"/>
  <c r="GJ15" i="4" s="1"/>
  <c r="GN15" i="4" s="1"/>
  <c r="GP15" i="4" s="1"/>
  <c r="FZ15" i="4"/>
  <c r="GB31" i="4"/>
  <c r="GJ31" i="4" s="1"/>
  <c r="GN31" i="4" s="1"/>
  <c r="GP31" i="4" s="1"/>
  <c r="FY31" i="4"/>
  <c r="GB26" i="4"/>
  <c r="GJ26" i="4" s="1"/>
  <c r="GN26" i="4" s="1"/>
  <c r="GP26" i="4" s="1"/>
  <c r="FY26" i="4"/>
  <c r="FZ26" i="4"/>
  <c r="FZ6" i="4"/>
  <c r="GB6" i="4"/>
  <c r="GJ6" i="4" s="1"/>
  <c r="GN6" i="4" s="1"/>
  <c r="GP6" i="4" s="1"/>
  <c r="FY6" i="4"/>
  <c r="FY25" i="4"/>
  <c r="FZ25" i="4"/>
  <c r="GB25" i="4"/>
  <c r="GJ25" i="4" s="1"/>
  <c r="GN25" i="4" s="1"/>
  <c r="GP25" i="4" s="1"/>
  <c r="GB29" i="4"/>
  <c r="GJ29" i="4" s="1"/>
  <c r="GN29" i="4" s="1"/>
  <c r="GP29" i="4" s="1"/>
  <c r="FZ29" i="4"/>
  <c r="FY29" i="4"/>
  <c r="GB11" i="4"/>
  <c r="GJ11" i="4" s="1"/>
  <c r="GN11" i="4" s="1"/>
  <c r="GP11" i="4" s="1"/>
  <c r="FZ11" i="4"/>
  <c r="FY11" i="4"/>
  <c r="GB20" i="4"/>
  <c r="GJ20" i="4" s="1"/>
  <c r="GN20" i="4" s="1"/>
  <c r="GP20" i="4" s="1"/>
  <c r="FZ20" i="4"/>
  <c r="FY20" i="4"/>
  <c r="GB32" i="4"/>
  <c r="GJ32" i="4" s="1"/>
  <c r="GN32" i="4" s="1"/>
  <c r="GP32" i="4" s="1"/>
  <c r="FY32" i="4"/>
  <c r="GB21" i="4"/>
  <c r="GJ21" i="4" s="1"/>
  <c r="GN21" i="4" s="1"/>
  <c r="GP21" i="4" s="1"/>
  <c r="FZ21" i="4"/>
  <c r="FY21" i="4"/>
  <c r="FV36" i="4"/>
  <c r="FV45" i="4" s="1"/>
  <c r="FW4" i="4"/>
  <c r="FX4" i="4" s="1"/>
  <c r="FY22" i="4"/>
  <c r="GB22" i="4"/>
  <c r="GJ22" i="4" s="1"/>
  <c r="GN22" i="4" s="1"/>
  <c r="GP22" i="4" s="1"/>
  <c r="GB35" i="4"/>
  <c r="GJ35" i="4" s="1"/>
  <c r="GN35" i="4" s="1"/>
  <c r="GP35" i="4" s="1"/>
  <c r="FY35" i="4"/>
  <c r="GB34" i="4"/>
  <c r="GJ34" i="4" s="1"/>
  <c r="GN34" i="4" s="1"/>
  <c r="GP34" i="4" s="1"/>
  <c r="FY34" i="4"/>
  <c r="FY10" i="4"/>
  <c r="GB10" i="4"/>
  <c r="GJ10" i="4" s="1"/>
  <c r="GN10" i="4" s="1"/>
  <c r="GP10" i="4" s="1"/>
  <c r="FZ10" i="4"/>
  <c r="GB8" i="4"/>
  <c r="GJ8" i="4" s="1"/>
  <c r="GN8" i="4" s="1"/>
  <c r="GP8" i="4" s="1"/>
  <c r="FZ8" i="4"/>
  <c r="FY8" i="4"/>
  <c r="FZ16" i="4"/>
  <c r="FY16" i="4"/>
  <c r="GB16" i="4"/>
  <c r="GJ16" i="4" s="1"/>
  <c r="GN16" i="4" s="1"/>
  <c r="GP16" i="4" s="1"/>
  <c r="GB30" i="4"/>
  <c r="GJ30" i="4" s="1"/>
  <c r="GN30" i="4" s="1"/>
  <c r="GP30" i="4" s="1"/>
  <c r="FZ30" i="4"/>
  <c r="FY30" i="4"/>
  <c r="FY13" i="4"/>
  <c r="GB13" i="4"/>
  <c r="GJ13" i="4" s="1"/>
  <c r="GN13" i="4" s="1"/>
  <c r="GP13" i="4" s="1"/>
  <c r="FZ13" i="4"/>
  <c r="GB24" i="4"/>
  <c r="GJ24" i="4" s="1"/>
  <c r="GN24" i="4" s="1"/>
  <c r="GP24" i="4" s="1"/>
  <c r="FY24" i="4"/>
  <c r="GB23" i="4"/>
  <c r="GJ23" i="4" s="1"/>
  <c r="GN23" i="4" s="1"/>
  <c r="GP23" i="4" s="1"/>
  <c r="FY23" i="4"/>
  <c r="FY27" i="4"/>
  <c r="FZ27" i="4"/>
  <c r="GB27" i="4"/>
  <c r="GJ27" i="4" s="1"/>
  <c r="GN27" i="4" s="1"/>
  <c r="GP27" i="4" s="1"/>
  <c r="GB17" i="4"/>
  <c r="GJ17" i="4" s="1"/>
  <c r="GN17" i="4" s="1"/>
  <c r="GP17" i="4" s="1"/>
  <c r="FY17" i="4"/>
  <c r="FZ17" i="4"/>
  <c r="FY9" i="4"/>
  <c r="GB9" i="4"/>
  <c r="GJ9" i="4" s="1"/>
  <c r="GN9" i="4" s="1"/>
  <c r="GP9" i="4" s="1"/>
  <c r="FZ9" i="4"/>
  <c r="FZ18" i="4"/>
  <c r="FY18" i="4"/>
  <c r="GB18" i="4"/>
  <c r="GJ18" i="4" s="1"/>
  <c r="GN18" i="4" s="1"/>
  <c r="GP18" i="4" s="1"/>
  <c r="GB7" i="4"/>
  <c r="GJ7" i="4" s="1"/>
  <c r="GN7" i="4" s="1"/>
  <c r="GP7" i="4" s="1"/>
  <c r="FZ7" i="4"/>
  <c r="FY7" i="4"/>
  <c r="FZ12" i="4"/>
  <c r="GB12" i="4"/>
  <c r="GJ12" i="4" s="1"/>
  <c r="GN12" i="4" s="1"/>
  <c r="GP12" i="4" s="1"/>
  <c r="FY12" i="4"/>
  <c r="FZ19" i="4"/>
  <c r="GB19" i="4"/>
  <c r="GJ19" i="4" s="1"/>
  <c r="GN19" i="4" s="1"/>
  <c r="GP19" i="4" s="1"/>
  <c r="FY19" i="4"/>
  <c r="GB14" i="4"/>
  <c r="GJ14" i="4" s="1"/>
  <c r="GN14" i="4" s="1"/>
  <c r="GP14" i="4" s="1"/>
  <c r="FZ14" i="4"/>
  <c r="FY14" i="4"/>
  <c r="FY5" i="4"/>
  <c r="FZ5" i="4"/>
  <c r="GB5" i="4"/>
  <c r="GJ5" i="4" s="1"/>
  <c r="GN5" i="4" s="1"/>
  <c r="GP5" i="4" s="1"/>
  <c r="GB28" i="4"/>
  <c r="GJ28" i="4" s="1"/>
  <c r="GN28" i="4" s="1"/>
  <c r="GP28" i="4" s="1"/>
  <c r="FY28" i="4"/>
  <c r="FZ28" i="4"/>
  <c r="FY33" i="4"/>
  <c r="GB33" i="4"/>
  <c r="GJ33" i="4" s="1"/>
  <c r="GN33" i="4" s="1"/>
  <c r="GP33" i="4" s="1"/>
  <c r="GV5" i="4" l="1"/>
  <c r="GR5" i="4"/>
  <c r="GS5" i="4" s="1"/>
  <c r="GT5" i="4" s="1"/>
  <c r="GU5" i="4" s="1"/>
  <c r="GV13" i="4"/>
  <c r="GR13" i="4"/>
  <c r="GS13" i="4" s="1"/>
  <c r="GT13" i="4" s="1"/>
  <c r="GV6" i="4"/>
  <c r="GR6" i="4"/>
  <c r="GS6" i="4" s="1"/>
  <c r="GT6" i="4" s="1"/>
  <c r="GU6" i="4" s="1"/>
  <c r="GR35" i="4"/>
  <c r="GS35" i="4" s="1"/>
  <c r="GT35" i="4" s="1"/>
  <c r="GV35" i="4"/>
  <c r="GR12" i="4"/>
  <c r="GS12" i="4" s="1"/>
  <c r="GT12" i="4" s="1"/>
  <c r="GV12" i="4"/>
  <c r="GW12" i="4" s="1"/>
  <c r="GR8" i="4"/>
  <c r="GS8" i="4" s="1"/>
  <c r="GT8" i="4" s="1"/>
  <c r="GU8" i="4" s="1"/>
  <c r="GV8" i="4"/>
  <c r="GR22" i="4"/>
  <c r="GS22" i="4" s="1"/>
  <c r="GT22" i="4" s="1"/>
  <c r="GU22" i="4" s="1"/>
  <c r="GV22" i="4"/>
  <c r="GV32" i="4"/>
  <c r="GW32" i="4" s="1"/>
  <c r="GR32" i="4"/>
  <c r="GS32" i="4" s="1"/>
  <c r="GT32" i="4" s="1"/>
  <c r="GR10" i="4"/>
  <c r="GS10" i="4" s="1"/>
  <c r="GT10" i="4" s="1"/>
  <c r="GV10" i="4"/>
  <c r="GR20" i="4"/>
  <c r="GS20" i="4" s="1"/>
  <c r="GT20" i="4" s="1"/>
  <c r="GU20" i="4" s="1"/>
  <c r="GV20" i="4"/>
  <c r="GV9" i="4"/>
  <c r="GR9" i="4"/>
  <c r="GS9" i="4" s="1"/>
  <c r="GT9" i="4" s="1"/>
  <c r="GU9" i="4" s="1"/>
  <c r="GR23" i="4"/>
  <c r="GS23" i="4" s="1"/>
  <c r="GT23" i="4" s="1"/>
  <c r="GV23" i="4"/>
  <c r="GB4" i="4"/>
  <c r="FY4" i="4"/>
  <c r="FY36" i="4" s="1"/>
  <c r="FX36" i="4"/>
  <c r="GV26" i="4"/>
  <c r="GR26" i="4"/>
  <c r="GS26" i="4" s="1"/>
  <c r="GT26" i="4" s="1"/>
  <c r="GV14" i="4"/>
  <c r="GR14" i="4"/>
  <c r="GS14" i="4" s="1"/>
  <c r="GT14" i="4" s="1"/>
  <c r="GR16" i="4"/>
  <c r="GS16" i="4" s="1"/>
  <c r="GT16" i="4" s="1"/>
  <c r="GV16" i="4"/>
  <c r="GV7" i="4"/>
  <c r="GR7" i="4"/>
  <c r="GS7" i="4" s="1"/>
  <c r="GT7" i="4" s="1"/>
  <c r="GU7" i="4" s="1"/>
  <c r="GR24" i="4"/>
  <c r="GS24" i="4" s="1"/>
  <c r="GT24" i="4" s="1"/>
  <c r="GU24" i="4" s="1"/>
  <c r="GV24" i="4"/>
  <c r="GV31" i="4"/>
  <c r="GR31" i="4"/>
  <c r="GS31" i="4" s="1"/>
  <c r="GT31" i="4" s="1"/>
  <c r="GV30" i="4"/>
  <c r="GR30" i="4"/>
  <c r="GS30" i="4" s="1"/>
  <c r="GT30" i="4" s="1"/>
  <c r="GV25" i="4"/>
  <c r="GW25" i="4" s="1"/>
  <c r="GR25" i="4"/>
  <c r="GS25" i="4" s="1"/>
  <c r="GT25" i="4" s="1"/>
  <c r="GV28" i="4"/>
  <c r="GR28" i="4"/>
  <c r="GS28" i="4" s="1"/>
  <c r="GT28" i="4" s="1"/>
  <c r="GU28" i="4" s="1"/>
  <c r="GR19" i="4"/>
  <c r="GS19" i="4" s="1"/>
  <c r="GT19" i="4" s="1"/>
  <c r="GU19" i="4" s="1"/>
  <c r="GV19" i="4"/>
  <c r="GV18" i="4"/>
  <c r="GR18" i="4"/>
  <c r="GS18" i="4" s="1"/>
  <c r="GT18" i="4" s="1"/>
  <c r="GU18" i="4" s="1"/>
  <c r="GR17" i="4"/>
  <c r="GS17" i="4" s="1"/>
  <c r="GT17" i="4" s="1"/>
  <c r="GU17" i="4" s="1"/>
  <c r="GV17" i="4"/>
  <c r="GV34" i="4"/>
  <c r="GW34" i="4" s="1"/>
  <c r="GR34" i="4"/>
  <c r="GS34" i="4" s="1"/>
  <c r="GT34" i="4" s="1"/>
  <c r="GU34" i="4" s="1"/>
  <c r="GV33" i="4"/>
  <c r="GR33" i="4"/>
  <c r="GS33" i="4" s="1"/>
  <c r="GT33" i="4" s="1"/>
  <c r="GV27" i="4"/>
  <c r="GR27" i="4"/>
  <c r="GS27" i="4" s="1"/>
  <c r="GT27" i="4" s="1"/>
  <c r="GU27" i="4" s="1"/>
  <c r="GV11" i="4"/>
  <c r="GR11" i="4"/>
  <c r="GS11" i="4" s="1"/>
  <c r="GT11" i="4" s="1"/>
  <c r="GU11" i="4" s="1"/>
  <c r="GR15" i="4"/>
  <c r="GS15" i="4" s="1"/>
  <c r="GT15" i="4" s="1"/>
  <c r="GU15" i="4" s="1"/>
  <c r="GV15" i="4"/>
  <c r="GV29" i="4"/>
  <c r="GR29" i="4"/>
  <c r="GS29" i="4" s="1"/>
  <c r="GT29" i="4" s="1"/>
  <c r="GR21" i="4"/>
  <c r="GS21" i="4" s="1"/>
  <c r="GT21" i="4" s="1"/>
  <c r="GU21" i="4" s="1"/>
  <c r="GV21" i="4"/>
  <c r="GY34" i="4" l="1"/>
  <c r="GU16" i="4"/>
  <c r="GY16" i="4" s="1"/>
  <c r="GW35" i="4"/>
  <c r="GX35" i="4" s="1"/>
  <c r="GU33" i="4"/>
  <c r="GY33" i="4" s="1"/>
  <c r="GU31" i="4"/>
  <c r="GY31" i="4" s="1"/>
  <c r="GU35" i="4"/>
  <c r="GY35" i="4" s="1"/>
  <c r="GU29" i="4"/>
  <c r="GY29" i="4" s="1"/>
  <c r="GW19" i="4"/>
  <c r="GX19" i="4" s="1"/>
  <c r="GY19" i="4"/>
  <c r="GU14" i="4"/>
  <c r="GY14" i="4" s="1"/>
  <c r="GU23" i="4"/>
  <c r="GY23" i="4" s="1"/>
  <c r="GW29" i="4"/>
  <c r="GX29" i="4" s="1"/>
  <c r="GW33" i="4"/>
  <c r="GX33" i="4" s="1"/>
  <c r="GW31" i="4"/>
  <c r="GX31" i="4" s="1"/>
  <c r="GW14" i="4"/>
  <c r="GX14" i="4" s="1"/>
  <c r="GW22" i="4"/>
  <c r="GX22" i="4" s="1"/>
  <c r="GY22" i="4"/>
  <c r="GU32" i="4"/>
  <c r="GY32" i="4" s="1"/>
  <c r="GX32" i="4"/>
  <c r="GY15" i="4"/>
  <c r="GW15" i="4"/>
  <c r="GX15" i="4" s="1"/>
  <c r="GY24" i="4"/>
  <c r="GW24" i="4"/>
  <c r="GX24" i="4" s="1"/>
  <c r="GX34" i="4"/>
  <c r="GW28" i="4"/>
  <c r="GX28" i="4" s="1"/>
  <c r="GY28" i="4"/>
  <c r="GW26" i="4"/>
  <c r="GX26" i="4" s="1"/>
  <c r="GY20" i="4"/>
  <c r="GW20" i="4"/>
  <c r="GX20" i="4" s="1"/>
  <c r="GY8" i="4"/>
  <c r="GW8" i="4"/>
  <c r="GX8" i="4" s="1"/>
  <c r="GU13" i="4"/>
  <c r="GY13" i="4" s="1"/>
  <c r="GU25" i="4"/>
  <c r="GY25" i="4" s="1"/>
  <c r="GX25" i="4"/>
  <c r="FX45" i="4"/>
  <c r="FZ36" i="4"/>
  <c r="GW13" i="4"/>
  <c r="GX13" i="4" s="1"/>
  <c r="GY27" i="4"/>
  <c r="GW27" i="4"/>
  <c r="GX27" i="4" s="1"/>
  <c r="GW30" i="4"/>
  <c r="GX30" i="4" s="1"/>
  <c r="GW9" i="4"/>
  <c r="GX9" i="4" s="1"/>
  <c r="GY9" i="4"/>
  <c r="GY11" i="4"/>
  <c r="GW11" i="4"/>
  <c r="GX11" i="4" s="1"/>
  <c r="GW10" i="4"/>
  <c r="GX10" i="4" s="1"/>
  <c r="GY18" i="4"/>
  <c r="GW18" i="4"/>
  <c r="GX18" i="4" s="1"/>
  <c r="GW23" i="4"/>
  <c r="GX23" i="4" s="1"/>
  <c r="GU26" i="4"/>
  <c r="GY26" i="4" s="1"/>
  <c r="GY6" i="4"/>
  <c r="GW6" i="4"/>
  <c r="GX6" i="4" s="1"/>
  <c r="GY17" i="4"/>
  <c r="GW17" i="4"/>
  <c r="GX17" i="4" s="1"/>
  <c r="GY7" i="4"/>
  <c r="GW7" i="4"/>
  <c r="GX7" i="4" s="1"/>
  <c r="GW21" i="4"/>
  <c r="GX21" i="4" s="1"/>
  <c r="GY21" i="4"/>
  <c r="GU30" i="4"/>
  <c r="GY30" i="4" s="1"/>
  <c r="GW16" i="4"/>
  <c r="GX16" i="4" s="1"/>
  <c r="GB36" i="4"/>
  <c r="GJ4" i="4"/>
  <c r="GU10" i="4"/>
  <c r="GY10" i="4" s="1"/>
  <c r="GX12" i="4"/>
  <c r="GU12" i="4"/>
  <c r="GY12" i="4" s="1"/>
  <c r="GY5" i="4"/>
  <c r="GW5" i="4"/>
  <c r="GX5" i="4" s="1"/>
  <c r="GJ36" i="4" l="1"/>
  <c r="GJ45" i="4" s="1"/>
  <c r="GN4" i="4"/>
  <c r="GN36" i="4" l="1"/>
  <c r="GN45" i="4" s="1"/>
  <c r="GP4" i="4"/>
  <c r="GP36" i="4" l="1"/>
  <c r="GV4" i="4"/>
  <c r="GY4" i="4" s="1"/>
  <c r="GY36" i="4" s="1"/>
  <c r="GR4" i="4"/>
  <c r="GR36" i="4" l="1"/>
  <c r="GS4" i="4"/>
  <c r="GS36" i="4" l="1"/>
  <c r="GT4" i="4"/>
  <c r="GU4" i="4" l="1"/>
  <c r="GW4" i="4" s="1"/>
  <c r="GW36" i="4" s="1"/>
  <c r="GW45" i="4" s="1"/>
  <c r="GS45" i="4"/>
  <c r="GX41" i="4" l="1"/>
  <c r="GX4" i="4"/>
  <c r="GZ11" i="4" l="1"/>
  <c r="GZ19" i="4"/>
  <c r="GZ27" i="4"/>
  <c r="GZ35" i="4"/>
  <c r="GZ4" i="4"/>
  <c r="GZ12" i="4"/>
  <c r="GZ20" i="4"/>
  <c r="GZ28" i="4"/>
  <c r="GZ5" i="4"/>
  <c r="GZ13" i="4"/>
  <c r="GZ21" i="4"/>
  <c r="GZ29" i="4"/>
  <c r="GZ6" i="4"/>
  <c r="GZ14" i="4"/>
  <c r="GZ22" i="4"/>
  <c r="GZ30" i="4"/>
  <c r="GZ7" i="4"/>
  <c r="GZ15" i="4"/>
  <c r="GZ23" i="4"/>
  <c r="GZ31" i="4"/>
  <c r="GZ8" i="4"/>
  <c r="GZ16" i="4"/>
  <c r="GZ24" i="4"/>
  <c r="GZ32" i="4"/>
  <c r="GZ9" i="4"/>
  <c r="GZ17" i="4"/>
  <c r="GZ25" i="4"/>
  <c r="GZ33" i="4"/>
  <c r="GZ10" i="4"/>
  <c r="GZ18" i="4"/>
  <c r="GZ26" i="4"/>
  <c r="GZ34" i="4"/>
  <c r="HB34" i="4"/>
  <c r="HC34" i="4" s="1"/>
  <c r="HB14" i="4"/>
  <c r="HC14" i="4" s="1"/>
  <c r="HB21" i="4"/>
  <c r="HC21" i="4" s="1"/>
  <c r="HB30" i="4"/>
  <c r="HC30" i="4" s="1"/>
  <c r="HB12" i="4"/>
  <c r="HC12" i="4" s="1"/>
  <c r="HB25" i="4"/>
  <c r="HC25" i="4" s="1"/>
  <c r="HB27" i="4"/>
  <c r="HC27" i="4" s="1"/>
  <c r="HB7" i="4"/>
  <c r="HC7" i="4" s="1"/>
  <c r="HB28" i="4"/>
  <c r="HC28" i="4" s="1"/>
  <c r="HB17" i="4"/>
  <c r="HC17" i="4" s="1"/>
  <c r="HB26" i="4"/>
  <c r="HC26" i="4" s="1"/>
  <c r="HB11" i="4"/>
  <c r="HC11" i="4" s="1"/>
  <c r="HB6" i="4"/>
  <c r="HC6" i="4" s="1"/>
  <c r="HB24" i="4"/>
  <c r="HC24" i="4" s="1"/>
  <c r="HB8" i="4"/>
  <c r="HC8" i="4" s="1"/>
  <c r="HB10" i="4"/>
  <c r="HC10" i="4" s="1"/>
  <c r="HB13" i="4"/>
  <c r="HC13" i="4" s="1"/>
  <c r="GX45" i="4"/>
  <c r="HB20" i="4"/>
  <c r="HC20" i="4" s="1"/>
  <c r="HB32" i="4"/>
  <c r="HC32" i="4" s="1"/>
  <c r="HB35" i="4"/>
  <c r="HC35" i="4" s="1"/>
  <c r="HB23" i="4"/>
  <c r="HC23" i="4" s="1"/>
  <c r="HB9" i="4"/>
  <c r="HC9" i="4" s="1"/>
  <c r="HB5" i="4"/>
  <c r="HC5" i="4" s="1"/>
  <c r="HB33" i="4"/>
  <c r="HC33" i="4" s="1"/>
  <c r="HB16" i="4"/>
  <c r="HC16" i="4" s="1"/>
  <c r="HB29" i="4"/>
  <c r="HC29" i="4" s="1"/>
  <c r="HB22" i="4"/>
  <c r="HC22" i="4" s="1"/>
  <c r="HB18" i="4"/>
  <c r="HC18" i="4" s="1"/>
  <c r="HB15" i="4"/>
  <c r="HC15" i="4" s="1"/>
  <c r="HB31" i="4"/>
  <c r="HC31" i="4" s="1"/>
  <c r="HB19" i="4"/>
  <c r="HC19" i="4" s="1"/>
  <c r="GY45" i="4"/>
  <c r="GZ36" i="4" l="1"/>
  <c r="HG31" i="4"/>
  <c r="HO31" i="4" s="1"/>
  <c r="HS31" i="4" s="1"/>
  <c r="HU31" i="4" s="1"/>
  <c r="HD31" i="4"/>
  <c r="HG9" i="4"/>
  <c r="HO9" i="4" s="1"/>
  <c r="HS9" i="4" s="1"/>
  <c r="HU9" i="4" s="1"/>
  <c r="HE9" i="4"/>
  <c r="HD9" i="4"/>
  <c r="HG8" i="4"/>
  <c r="HO8" i="4" s="1"/>
  <c r="HS8" i="4" s="1"/>
  <c r="HU8" i="4" s="1"/>
  <c r="HD8" i="4"/>
  <c r="HE8" i="4"/>
  <c r="HG27" i="4"/>
  <c r="HO27" i="4" s="1"/>
  <c r="HS27" i="4" s="1"/>
  <c r="HU27" i="4" s="1"/>
  <c r="HE27" i="4"/>
  <c r="HD27" i="4"/>
  <c r="HG15" i="4"/>
  <c r="HO15" i="4" s="1"/>
  <c r="HS15" i="4" s="1"/>
  <c r="HU15" i="4" s="1"/>
  <c r="HD15" i="4"/>
  <c r="HE15" i="4"/>
  <c r="HD23" i="4"/>
  <c r="HG23" i="4"/>
  <c r="HO23" i="4" s="1"/>
  <c r="HS23" i="4" s="1"/>
  <c r="HU23" i="4" s="1"/>
  <c r="HD24" i="4"/>
  <c r="HG24" i="4"/>
  <c r="HO24" i="4" s="1"/>
  <c r="HS24" i="4" s="1"/>
  <c r="HU24" i="4" s="1"/>
  <c r="HG25" i="4"/>
  <c r="HO25" i="4" s="1"/>
  <c r="HS25" i="4" s="1"/>
  <c r="HU25" i="4" s="1"/>
  <c r="HE25" i="4"/>
  <c r="HD25" i="4"/>
  <c r="HD12" i="4"/>
  <c r="HG12" i="4"/>
  <c r="HO12" i="4" s="1"/>
  <c r="HS12" i="4" s="1"/>
  <c r="HU12" i="4" s="1"/>
  <c r="HE12" i="4"/>
  <c r="HE30" i="4"/>
  <c r="HG30" i="4"/>
  <c r="HO30" i="4" s="1"/>
  <c r="HS30" i="4" s="1"/>
  <c r="HU30" i="4" s="1"/>
  <c r="HD30" i="4"/>
  <c r="HG22" i="4"/>
  <c r="HO22" i="4" s="1"/>
  <c r="HS22" i="4" s="1"/>
  <c r="HU22" i="4" s="1"/>
  <c r="HD22" i="4"/>
  <c r="HG20" i="4"/>
  <c r="HO20" i="4" s="1"/>
  <c r="HS20" i="4" s="1"/>
  <c r="HU20" i="4" s="1"/>
  <c r="HD20" i="4"/>
  <c r="HE20" i="4"/>
  <c r="HE26" i="4"/>
  <c r="HD26" i="4"/>
  <c r="HG26" i="4"/>
  <c r="HO26" i="4" s="1"/>
  <c r="HS26" i="4" s="1"/>
  <c r="HU26" i="4" s="1"/>
  <c r="HD21" i="4"/>
  <c r="HE21" i="4"/>
  <c r="HG21" i="4"/>
  <c r="HO21" i="4" s="1"/>
  <c r="HS21" i="4" s="1"/>
  <c r="HU21" i="4" s="1"/>
  <c r="HE18" i="4"/>
  <c r="HD18" i="4"/>
  <c r="HG18" i="4"/>
  <c r="HO18" i="4" s="1"/>
  <c r="HS18" i="4" s="1"/>
  <c r="HU18" i="4" s="1"/>
  <c r="HD32" i="4"/>
  <c r="HG32" i="4"/>
  <c r="HO32" i="4" s="1"/>
  <c r="HS32" i="4" s="1"/>
  <c r="HU32" i="4" s="1"/>
  <c r="HE16" i="4"/>
  <c r="HG16" i="4"/>
  <c r="HO16" i="4" s="1"/>
  <c r="HS16" i="4" s="1"/>
  <c r="HU16" i="4" s="1"/>
  <c r="HD16" i="4"/>
  <c r="HD17" i="4"/>
  <c r="HG17" i="4"/>
  <c r="HO17" i="4" s="1"/>
  <c r="HS17" i="4" s="1"/>
  <c r="HU17" i="4" s="1"/>
  <c r="HE17" i="4"/>
  <c r="HB4" i="4"/>
  <c r="HC4" i="4" s="1"/>
  <c r="HA36" i="4"/>
  <c r="HA45" i="4" s="1"/>
  <c r="HE6" i="4"/>
  <c r="HD6" i="4"/>
  <c r="HG6" i="4"/>
  <c r="HO6" i="4" s="1"/>
  <c r="HS6" i="4" s="1"/>
  <c r="HU6" i="4" s="1"/>
  <c r="HG29" i="4"/>
  <c r="HO29" i="4" s="1"/>
  <c r="HS29" i="4" s="1"/>
  <c r="HU29" i="4" s="1"/>
  <c r="HE29" i="4"/>
  <c r="HD29" i="4"/>
  <c r="HG33" i="4"/>
  <c r="HO33" i="4" s="1"/>
  <c r="HS33" i="4" s="1"/>
  <c r="HU33" i="4" s="1"/>
  <c r="HD33" i="4"/>
  <c r="HG13" i="4"/>
  <c r="HO13" i="4" s="1"/>
  <c r="HS13" i="4" s="1"/>
  <c r="HU13" i="4" s="1"/>
  <c r="HE13" i="4"/>
  <c r="HD13" i="4"/>
  <c r="HG28" i="4"/>
  <c r="HO28" i="4" s="1"/>
  <c r="HS28" i="4" s="1"/>
  <c r="HU28" i="4" s="1"/>
  <c r="HE28" i="4"/>
  <c r="HD28" i="4"/>
  <c r="HD14" i="4"/>
  <c r="HE14" i="4"/>
  <c r="HG14" i="4"/>
  <c r="HO14" i="4" s="1"/>
  <c r="HS14" i="4" s="1"/>
  <c r="HU14" i="4" s="1"/>
  <c r="HG35" i="4"/>
  <c r="HO35" i="4" s="1"/>
  <c r="HS35" i="4" s="1"/>
  <c r="HU35" i="4" s="1"/>
  <c r="HD35" i="4"/>
  <c r="HE11" i="4"/>
  <c r="HG11" i="4"/>
  <c r="HO11" i="4" s="1"/>
  <c r="HS11" i="4" s="1"/>
  <c r="HU11" i="4" s="1"/>
  <c r="HD11" i="4"/>
  <c r="HE19" i="4"/>
  <c r="HG19" i="4"/>
  <c r="HO19" i="4" s="1"/>
  <c r="HS19" i="4" s="1"/>
  <c r="HU19" i="4" s="1"/>
  <c r="HD19" i="4"/>
  <c r="HE5" i="4"/>
  <c r="HD5" i="4"/>
  <c r="HG5" i="4"/>
  <c r="HO5" i="4" s="1"/>
  <c r="HS5" i="4" s="1"/>
  <c r="HU5" i="4" s="1"/>
  <c r="HE10" i="4"/>
  <c r="HD10" i="4"/>
  <c r="HG10" i="4"/>
  <c r="HO10" i="4" s="1"/>
  <c r="HS10" i="4" s="1"/>
  <c r="HU10" i="4" s="1"/>
  <c r="HG7" i="4"/>
  <c r="HO7" i="4" s="1"/>
  <c r="HS7" i="4" s="1"/>
  <c r="HU7" i="4" s="1"/>
  <c r="HE7" i="4"/>
  <c r="HD7" i="4"/>
  <c r="HG34" i="4"/>
  <c r="HO34" i="4" s="1"/>
  <c r="HS34" i="4" s="1"/>
  <c r="HU34" i="4" s="1"/>
  <c r="HD34" i="4"/>
  <c r="IA18" i="4" l="1"/>
  <c r="HW18" i="4"/>
  <c r="HX18" i="4" s="1"/>
  <c r="HY18" i="4" s="1"/>
  <c r="HZ18" i="4" s="1"/>
  <c r="HW27" i="4"/>
  <c r="HX27" i="4" s="1"/>
  <c r="HY27" i="4" s="1"/>
  <c r="HZ27" i="4" s="1"/>
  <c r="IA27" i="4"/>
  <c r="IA31" i="4"/>
  <c r="HW31" i="4"/>
  <c r="HX31" i="4" s="1"/>
  <c r="HY31" i="4" s="1"/>
  <c r="IA11" i="4"/>
  <c r="HW11" i="4"/>
  <c r="HX11" i="4" s="1"/>
  <c r="HY11" i="4" s="1"/>
  <c r="IA17" i="4"/>
  <c r="HW17" i="4"/>
  <c r="HX17" i="4" s="1"/>
  <c r="HY17" i="4" s="1"/>
  <c r="HZ17" i="4" s="1"/>
  <c r="HW23" i="4"/>
  <c r="HX23" i="4" s="1"/>
  <c r="HY23" i="4" s="1"/>
  <c r="IA23" i="4"/>
  <c r="IB23" i="4" s="1"/>
  <c r="HW5" i="4"/>
  <c r="HX5" i="4" s="1"/>
  <c r="HY5" i="4" s="1"/>
  <c r="HZ5" i="4" s="1"/>
  <c r="IA5" i="4"/>
  <c r="IA12" i="4"/>
  <c r="HW12" i="4"/>
  <c r="HX12" i="4" s="1"/>
  <c r="HY12" i="4" s="1"/>
  <c r="IA21" i="4"/>
  <c r="HW21" i="4"/>
  <c r="HX21" i="4" s="1"/>
  <c r="HY21" i="4" s="1"/>
  <c r="HW35" i="4"/>
  <c r="HX35" i="4" s="1"/>
  <c r="HY35" i="4" s="1"/>
  <c r="HZ35" i="4" s="1"/>
  <c r="IA35" i="4"/>
  <c r="HW16" i="4"/>
  <c r="HX16" i="4" s="1"/>
  <c r="HY16" i="4" s="1"/>
  <c r="IA16" i="4"/>
  <c r="IA29" i="4"/>
  <c r="HW29" i="4"/>
  <c r="HX29" i="4" s="1"/>
  <c r="HY29" i="4" s="1"/>
  <c r="HZ29" i="4" s="1"/>
  <c r="IA20" i="4"/>
  <c r="HW20" i="4"/>
  <c r="HX20" i="4" s="1"/>
  <c r="HY20" i="4" s="1"/>
  <c r="IA14" i="4"/>
  <c r="HW14" i="4"/>
  <c r="HX14" i="4" s="1"/>
  <c r="HY14" i="4" s="1"/>
  <c r="HW13" i="4"/>
  <c r="HX13" i="4" s="1"/>
  <c r="HY13" i="4" s="1"/>
  <c r="HZ13" i="4" s="1"/>
  <c r="IA13" i="4"/>
  <c r="HW22" i="4"/>
  <c r="HX22" i="4" s="1"/>
  <c r="HY22" i="4" s="1"/>
  <c r="HZ22" i="4" s="1"/>
  <c r="IA22" i="4"/>
  <c r="HW15" i="4"/>
  <c r="HX15" i="4" s="1"/>
  <c r="HY15" i="4" s="1"/>
  <c r="HZ15" i="4" s="1"/>
  <c r="IA15" i="4"/>
  <c r="HW34" i="4"/>
  <c r="HX34" i="4" s="1"/>
  <c r="HY34" i="4" s="1"/>
  <c r="IA34" i="4"/>
  <c r="IA8" i="4"/>
  <c r="HW8" i="4"/>
  <c r="HX8" i="4" s="1"/>
  <c r="HY8" i="4" s="1"/>
  <c r="IA26" i="4"/>
  <c r="HW26" i="4"/>
  <c r="HX26" i="4" s="1"/>
  <c r="HY26" i="4" s="1"/>
  <c r="HZ26" i="4" s="1"/>
  <c r="IA25" i="4"/>
  <c r="HW25" i="4"/>
  <c r="HX25" i="4" s="1"/>
  <c r="HY25" i="4" s="1"/>
  <c r="IA9" i="4"/>
  <c r="HW9" i="4"/>
  <c r="HX9" i="4" s="1"/>
  <c r="HY9" i="4" s="1"/>
  <c r="HZ9" i="4" s="1"/>
  <c r="IA28" i="4"/>
  <c r="IB28" i="4" s="1"/>
  <c r="HW28" i="4"/>
  <c r="HX28" i="4" s="1"/>
  <c r="HY28" i="4" s="1"/>
  <c r="HW6" i="4"/>
  <c r="HX6" i="4" s="1"/>
  <c r="HY6" i="4" s="1"/>
  <c r="HZ6" i="4" s="1"/>
  <c r="IA6" i="4"/>
  <c r="IA7" i="4"/>
  <c r="HW7" i="4"/>
  <c r="HX7" i="4" s="1"/>
  <c r="HY7" i="4" s="1"/>
  <c r="HZ7" i="4" s="1"/>
  <c r="HW19" i="4"/>
  <c r="HX19" i="4" s="1"/>
  <c r="HY19" i="4" s="1"/>
  <c r="HZ19" i="4" s="1"/>
  <c r="IA19" i="4"/>
  <c r="IA32" i="4"/>
  <c r="HW32" i="4"/>
  <c r="HX32" i="4" s="1"/>
  <c r="HY32" i="4" s="1"/>
  <c r="HW10" i="4"/>
  <c r="HX10" i="4" s="1"/>
  <c r="HY10" i="4" s="1"/>
  <c r="IA10" i="4"/>
  <c r="IA33" i="4"/>
  <c r="HW33" i="4"/>
  <c r="HX33" i="4" s="1"/>
  <c r="HY33" i="4" s="1"/>
  <c r="HZ33" i="4" s="1"/>
  <c r="HD4" i="4"/>
  <c r="HD36" i="4" s="1"/>
  <c r="HC36" i="4"/>
  <c r="HG4" i="4"/>
  <c r="IA30" i="4"/>
  <c r="HW30" i="4"/>
  <c r="HX30" i="4" s="1"/>
  <c r="HY30" i="4" s="1"/>
  <c r="IA24" i="4"/>
  <c r="HW24" i="4"/>
  <c r="HX24" i="4" s="1"/>
  <c r="HY24" i="4" s="1"/>
  <c r="ID6" i="4" l="1"/>
  <c r="IB6" i="4"/>
  <c r="IC6" i="4" s="1"/>
  <c r="HZ11" i="4"/>
  <c r="ID11" i="4" s="1"/>
  <c r="HZ30" i="4"/>
  <c r="ID30" i="4" s="1"/>
  <c r="HZ10" i="4"/>
  <c r="ID10" i="4" s="1"/>
  <c r="ID26" i="4"/>
  <c r="IB26" i="4"/>
  <c r="IC26" i="4" s="1"/>
  <c r="IB29" i="4"/>
  <c r="IC29" i="4" s="1"/>
  <c r="ID29" i="4"/>
  <c r="IB12" i="4"/>
  <c r="IC12" i="4" s="1"/>
  <c r="IB11" i="4"/>
  <c r="IC11" i="4" s="1"/>
  <c r="HZ12" i="4"/>
  <c r="ID12" i="4" s="1"/>
  <c r="IB30" i="4"/>
  <c r="IC30" i="4" s="1"/>
  <c r="HZ32" i="4"/>
  <c r="ID32" i="4" s="1"/>
  <c r="HZ28" i="4"/>
  <c r="ID28" i="4" s="1"/>
  <c r="IC28" i="4"/>
  <c r="HZ8" i="4"/>
  <c r="ID8" i="4" s="1"/>
  <c r="ID13" i="4"/>
  <c r="IB13" i="4"/>
  <c r="IC13" i="4" s="1"/>
  <c r="IB16" i="4"/>
  <c r="IC16" i="4" s="1"/>
  <c r="IB5" i="4"/>
  <c r="IC5" i="4" s="1"/>
  <c r="ID5" i="4"/>
  <c r="HZ31" i="4"/>
  <c r="ID31" i="4" s="1"/>
  <c r="HO4" i="4"/>
  <c r="HG36" i="4"/>
  <c r="IB32" i="4"/>
  <c r="IC32" i="4" s="1"/>
  <c r="HZ16" i="4"/>
  <c r="ID16" i="4" s="1"/>
  <c r="IB31" i="4"/>
  <c r="IC31" i="4" s="1"/>
  <c r="HE36" i="4"/>
  <c r="HC45" i="4"/>
  <c r="ID19" i="4"/>
  <c r="IB19" i="4"/>
  <c r="IC19" i="4" s="1"/>
  <c r="IB34" i="4"/>
  <c r="IC34" i="4" s="1"/>
  <c r="HZ14" i="4"/>
  <c r="ID14" i="4" s="1"/>
  <c r="IB35" i="4"/>
  <c r="IC35" i="4" s="1"/>
  <c r="ID35" i="4"/>
  <c r="ID27" i="4"/>
  <c r="IB27" i="4"/>
  <c r="IC27" i="4" s="1"/>
  <c r="IB24" i="4"/>
  <c r="IC24" i="4" s="1"/>
  <c r="IB9" i="4"/>
  <c r="IC9" i="4" s="1"/>
  <c r="ID9" i="4"/>
  <c r="HZ34" i="4"/>
  <c r="ID34" i="4" s="1"/>
  <c r="IB14" i="4"/>
  <c r="IC14" i="4" s="1"/>
  <c r="IC23" i="4"/>
  <c r="HZ23" i="4"/>
  <c r="ID23" i="4" s="1"/>
  <c r="IB22" i="4"/>
  <c r="IC22" i="4" s="1"/>
  <c r="ID22" i="4"/>
  <c r="HZ25" i="4"/>
  <c r="ID25" i="4" s="1"/>
  <c r="ID15" i="4"/>
  <c r="IB15" i="4"/>
  <c r="IC15" i="4" s="1"/>
  <c r="HZ20" i="4"/>
  <c r="ID20" i="4" s="1"/>
  <c r="HZ21" i="4"/>
  <c r="ID21" i="4" s="1"/>
  <c r="IB10" i="4"/>
  <c r="IC10" i="4" s="1"/>
  <c r="HZ24" i="4"/>
  <c r="ID24" i="4" s="1"/>
  <c r="ID33" i="4"/>
  <c r="IB33" i="4"/>
  <c r="IC33" i="4" s="1"/>
  <c r="IB7" i="4"/>
  <c r="IC7" i="4" s="1"/>
  <c r="ID7" i="4"/>
  <c r="IB25" i="4"/>
  <c r="IC25" i="4" s="1"/>
  <c r="IB20" i="4"/>
  <c r="IC20" i="4" s="1"/>
  <c r="IB21" i="4"/>
  <c r="IC21" i="4" s="1"/>
  <c r="ID17" i="4"/>
  <c r="IB17" i="4"/>
  <c r="IC17" i="4" s="1"/>
  <c r="ID18" i="4"/>
  <c r="IB18" i="4"/>
  <c r="IC18" i="4" s="1"/>
  <c r="IB8" i="4" l="1"/>
  <c r="IC8" i="4" s="1"/>
  <c r="HO36" i="4"/>
  <c r="HO45" i="4" s="1"/>
  <c r="HS4" i="4"/>
  <c r="HS36" i="4" l="1"/>
  <c r="HS45" i="4" s="1"/>
  <c r="HU4" i="4"/>
  <c r="HU36" i="4" l="1"/>
  <c r="IA4" i="4"/>
  <c r="ID4" i="4" s="1"/>
  <c r="ID36" i="4" s="1"/>
  <c r="HW4" i="4"/>
  <c r="HW36" i="4" l="1"/>
  <c r="HX4" i="4"/>
  <c r="HX36" i="4" l="1"/>
  <c r="HY4" i="4"/>
  <c r="HZ4" i="4" l="1"/>
  <c r="IB4" i="4" s="1"/>
  <c r="IB36" i="4" s="1"/>
  <c r="IB45" i="4" s="1"/>
  <c r="HX45" i="4"/>
  <c r="IC4" i="4" l="1"/>
  <c r="IC41" i="4"/>
  <c r="IE11" i="4" l="1"/>
  <c r="IE19" i="4"/>
  <c r="IE27" i="4"/>
  <c r="IE35" i="4"/>
  <c r="IE4" i="4"/>
  <c r="IE12" i="4"/>
  <c r="IE20" i="4"/>
  <c r="IE28" i="4"/>
  <c r="IE5" i="4"/>
  <c r="IE13" i="4"/>
  <c r="IE21" i="4"/>
  <c r="IE29" i="4"/>
  <c r="IE6" i="4"/>
  <c r="IE14" i="4"/>
  <c r="IE22" i="4"/>
  <c r="IE30" i="4"/>
  <c r="IE7" i="4"/>
  <c r="IE15" i="4"/>
  <c r="IE23" i="4"/>
  <c r="IE31" i="4"/>
  <c r="IE8" i="4"/>
  <c r="IE16" i="4"/>
  <c r="IE24" i="4"/>
  <c r="IE32" i="4"/>
  <c r="IE9" i="4"/>
  <c r="IE17" i="4"/>
  <c r="IE25" i="4"/>
  <c r="IE33" i="4"/>
  <c r="IE10" i="4"/>
  <c r="IE18" i="4"/>
  <c r="IE26" i="4"/>
  <c r="IE34" i="4"/>
  <c r="IG8" i="4"/>
  <c r="IH8" i="4" s="1"/>
  <c r="IG34" i="4"/>
  <c r="IH34" i="4" s="1"/>
  <c r="IG16" i="4"/>
  <c r="IH16" i="4" s="1"/>
  <c r="IG5" i="4"/>
  <c r="IH5" i="4" s="1"/>
  <c r="IG17" i="4"/>
  <c r="IH17" i="4" s="1"/>
  <c r="IG29" i="4"/>
  <c r="IH29" i="4" s="1"/>
  <c r="IG23" i="4"/>
  <c r="IH23" i="4" s="1"/>
  <c r="IG11" i="4"/>
  <c r="IH11" i="4" s="1"/>
  <c r="IG27" i="4"/>
  <c r="IH27" i="4" s="1"/>
  <c r="IG31" i="4"/>
  <c r="IH31" i="4" s="1"/>
  <c r="IG18" i="4"/>
  <c r="IH18" i="4" s="1"/>
  <c r="IG7" i="4"/>
  <c r="IH7" i="4" s="1"/>
  <c r="IG25" i="4"/>
  <c r="IH25" i="4" s="1"/>
  <c r="IG35" i="4"/>
  <c r="IH35" i="4" s="1"/>
  <c r="IG21" i="4"/>
  <c r="IH21" i="4" s="1"/>
  <c r="IG20" i="4"/>
  <c r="IH20" i="4" s="1"/>
  <c r="IG12" i="4"/>
  <c r="IH12" i="4" s="1"/>
  <c r="IG28" i="4"/>
  <c r="IH28" i="4" s="1"/>
  <c r="IG22" i="4"/>
  <c r="IH22" i="4" s="1"/>
  <c r="IG26" i="4"/>
  <c r="IH26" i="4" s="1"/>
  <c r="IG15" i="4"/>
  <c r="IH15" i="4" s="1"/>
  <c r="IG13" i="4"/>
  <c r="IH13" i="4" s="1"/>
  <c r="IG19" i="4"/>
  <c r="IH19" i="4" s="1"/>
  <c r="IG14" i="4"/>
  <c r="IH14" i="4" s="1"/>
  <c r="IG6" i="4"/>
  <c r="IH6" i="4" s="1"/>
  <c r="IG24" i="4"/>
  <c r="IH24" i="4" s="1"/>
  <c r="IG33" i="4"/>
  <c r="IH33" i="4" s="1"/>
  <c r="IG30" i="4"/>
  <c r="IH30" i="4" s="1"/>
  <c r="IC45" i="4"/>
  <c r="IG9" i="4"/>
  <c r="IH9" i="4" s="1"/>
  <c r="IG10" i="4"/>
  <c r="IH10" i="4" s="1"/>
  <c r="IG32" i="4"/>
  <c r="IH32" i="4" s="1"/>
  <c r="ID45" i="4"/>
  <c r="IE36" i="4" l="1"/>
  <c r="IL32" i="4"/>
  <c r="IT32" i="4" s="1"/>
  <c r="II32" i="4"/>
  <c r="II12" i="4"/>
  <c r="IL12" i="4"/>
  <c r="IT12" i="4" s="1"/>
  <c r="IJ12" i="4"/>
  <c r="IL27" i="4"/>
  <c r="IT27" i="4" s="1"/>
  <c r="II27" i="4"/>
  <c r="IJ27" i="4"/>
  <c r="IJ8" i="4"/>
  <c r="IL8" i="4"/>
  <c r="IT8" i="4" s="1"/>
  <c r="II8" i="4"/>
  <c r="IJ10" i="4"/>
  <c r="II10" i="4"/>
  <c r="IL10" i="4"/>
  <c r="IT10" i="4" s="1"/>
  <c r="IL19" i="4"/>
  <c r="IT19" i="4" s="1"/>
  <c r="IJ19" i="4"/>
  <c r="II19" i="4"/>
  <c r="IJ20" i="4"/>
  <c r="IL20" i="4"/>
  <c r="IT20" i="4" s="1"/>
  <c r="II20" i="4"/>
  <c r="IL11" i="4"/>
  <c r="IT11" i="4" s="1"/>
  <c r="II11" i="4"/>
  <c r="IJ11" i="4"/>
  <c r="IJ21" i="4"/>
  <c r="II21" i="4"/>
  <c r="IL21" i="4"/>
  <c r="IT21" i="4" s="1"/>
  <c r="IJ13" i="4"/>
  <c r="IL13" i="4"/>
  <c r="IT13" i="4" s="1"/>
  <c r="II13" i="4"/>
  <c r="IL35" i="4"/>
  <c r="IT35" i="4" s="1"/>
  <c r="II35" i="4"/>
  <c r="IJ15" i="4"/>
  <c r="II15" i="4"/>
  <c r="IL15" i="4"/>
  <c r="IT15" i="4" s="1"/>
  <c r="IL7" i="4"/>
  <c r="IT7" i="4" s="1"/>
  <c r="IJ7" i="4"/>
  <c r="II7" i="4"/>
  <c r="IJ14" i="4"/>
  <c r="II14" i="4"/>
  <c r="IL14" i="4"/>
  <c r="IT14" i="4" s="1"/>
  <c r="IJ29" i="4"/>
  <c r="II29" i="4"/>
  <c r="IL29" i="4"/>
  <c r="IT29" i="4" s="1"/>
  <c r="II25" i="4"/>
  <c r="IJ25" i="4"/>
  <c r="IL25" i="4"/>
  <c r="IT25" i="4" s="1"/>
  <c r="IL33" i="4"/>
  <c r="IT33" i="4" s="1"/>
  <c r="II33" i="4"/>
  <c r="II24" i="4"/>
  <c r="IL24" i="4"/>
  <c r="IT24" i="4" s="1"/>
  <c r="IJ9" i="4"/>
  <c r="IL9" i="4"/>
  <c r="IT9" i="4" s="1"/>
  <c r="II9" i="4"/>
  <c r="IL23" i="4"/>
  <c r="IT23" i="4" s="1"/>
  <c r="II23" i="4"/>
  <c r="IF36" i="4"/>
  <c r="IF45" i="4" s="1"/>
  <c r="IG4" i="4"/>
  <c r="IH4" i="4" s="1"/>
  <c r="II30" i="4"/>
  <c r="IL30" i="4"/>
  <c r="IT30" i="4" s="1"/>
  <c r="IJ30" i="4"/>
  <c r="II17" i="4"/>
  <c r="IJ17" i="4"/>
  <c r="IL17" i="4"/>
  <c r="IT17" i="4" s="1"/>
  <c r="II26" i="4"/>
  <c r="IJ26" i="4"/>
  <c r="IL26" i="4"/>
  <c r="IT26" i="4" s="1"/>
  <c r="II5" i="4"/>
  <c r="IJ5" i="4"/>
  <c r="IL5" i="4"/>
  <c r="IT5" i="4" s="1"/>
  <c r="IJ22" i="4"/>
  <c r="IL22" i="4"/>
  <c r="IT22" i="4" s="1"/>
  <c r="II22" i="4"/>
  <c r="II18" i="4"/>
  <c r="IJ18" i="4"/>
  <c r="IL18" i="4"/>
  <c r="IT18" i="4" s="1"/>
  <c r="II16" i="4"/>
  <c r="IJ16" i="4"/>
  <c r="IL16" i="4"/>
  <c r="IT16" i="4" s="1"/>
  <c r="IJ6" i="4"/>
  <c r="II6" i="4"/>
  <c r="IL6" i="4"/>
  <c r="IT6" i="4" s="1"/>
  <c r="IL28" i="4"/>
  <c r="IT28" i="4" s="1"/>
  <c r="IJ28" i="4"/>
  <c r="II28" i="4"/>
  <c r="II31" i="4"/>
  <c r="IL31" i="4"/>
  <c r="IT31" i="4" s="1"/>
  <c r="IL34" i="4"/>
  <c r="IT34" i="4" s="1"/>
  <c r="II34" i="4"/>
  <c r="IH36" i="4" l="1"/>
  <c r="II4" i="4"/>
  <c r="II36" i="4" s="1"/>
  <c r="IL4" i="4"/>
  <c r="IH45" i="4" l="1"/>
  <c r="IJ36" i="4"/>
  <c r="IT4" i="4"/>
  <c r="IT36" i="4" s="1"/>
  <c r="IL36" i="4"/>
  <c r="IT45" i="4" l="1"/>
</calcChain>
</file>

<file path=xl/sharedStrings.xml><?xml version="1.0" encoding="utf-8"?>
<sst xmlns="http://schemas.openxmlformats.org/spreadsheetml/2006/main" count="2897" uniqueCount="518">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</sst>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  <xf numFmtId="44" fontId="0" fillId="0" borderId="0" xfId="3" applyNumberFormat="1" applyFont="1"/>
    <xf numFmtId="44" fontId="0" fillId="0" borderId="0" xfId="4" applyNumberFormat="1" applyFont="1"/>
    <xf numFmtId="44" fontId="0" fillId="0" borderId="0" xfId="0" applyNumberFormat="1" applyFont="1"/>
    <xf numFmtId="9" fontId="0" fillId="0" borderId="0" xfId="0" applyNumberFormat="1" applyFont="1"/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40"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9" dataDxfId="338" tableBorderDxfId="337">
  <autoFilter ref="A2:V218" xr:uid="{94B9071F-A8F0-40DF-8EE0-3537B44128CC}"/>
  <tableColumns count="22">
    <tableColumn id="1" xr3:uid="{1456FD51-FA27-42C3-8F19-BF4A71CB6C9A}" name="Date_i" dataDxfId="336"/>
    <tableColumn id="2" xr3:uid="{AF7F3C5C-34F6-469F-A108-D85EB6687E69}" name="Description_i" dataDxfId="335"/>
    <tableColumn id="3" xr3:uid="{757142C9-C4A8-45AC-9237-BF154F553D5D}" name="Original Description_i" dataDxfId="334"/>
    <tableColumn id="4" xr3:uid="{3D883421-A9FC-44E4-95D6-7856341E0049}" name="Category_i" dataDxfId="333"/>
    <tableColumn id="5" xr3:uid="{030FF39C-C88D-4147-A73A-D33B454A2C6B}" name="Amount_i" dataDxfId="332"/>
    <tableColumn id="6" xr3:uid="{630EE027-0147-4C23-90A5-EC90B8772B73}" name="Status_i" dataDxfId="331"/>
    <tableColumn id="7" xr3:uid="{AB1B2A5A-5A25-4B93-955F-6D14B9671478}" name="Account" dataDxfId="330"/>
    <tableColumn id="8" xr3:uid="{C3D84B83-F8B1-431A-9B82-36FB2730D31D}" name="Date_o" dataDxfId="329"/>
    <tableColumn id="9" xr3:uid="{E56094F8-5279-44FA-96A2-2CFF936C2128}" name="Description_o" dataDxfId="328"/>
    <tableColumn id="10" xr3:uid="{7CCE5AA7-A124-412D-9061-1FA3B6ED4B8D}" name="Original Description_o" dataDxfId="327"/>
    <tableColumn id="11" xr3:uid="{6082683B-227E-40FD-9369-4EC2B345447A}" name="Category_o" dataDxfId="326"/>
    <tableColumn id="12" xr3:uid="{B082494B-D328-4E0D-9A84-FFAEA41ECE59}" name="Amount_o" dataDxfId="325"/>
    <tableColumn id="13" xr3:uid="{790B845E-E229-4929-A236-D0F151700A8B}" name="Status_o" dataDxfId="324"/>
    <tableColumn id="14" xr3:uid="{A4ECAB93-DC57-4072-962F-127551297341}" name="Date" dataDxfId="323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22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21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20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9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18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17"/>
    <tableColumn id="22" xr3:uid="{F0EC4A1E-3071-40E7-9608-4F270F376858}" name="E" dataDxfId="316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14" tableBorderDxfId="313">
  <autoFilter ref="A2:AI6" xr:uid="{50D3C16B-42C7-4810-B70F-5FC7C51E1B1A}"/>
  <tableColumns count="35">
    <tableColumn id="1" xr3:uid="{D2C7390E-8EAE-45A6-954D-0A89783E0E5C}" name="Start" dataDxfId="312">
      <calculatedColumnFormula>EDATE($C$1, ROW(AggregateTable2023[[#This Row],[Start]])-3)</calculatedColumnFormula>
    </tableColumn>
    <tableColumn id="36" xr3:uid="{BF166E5F-6C98-496A-878E-037B3DDF6569}" name="End" totalsRowLabel="Total" dataDxfId="311">
      <calculatedColumnFormula>EDATE($C$1, ROW(AggregateTable2023[[#This Row],[Start]])-2)-1</calculatedColumnFormula>
    </tableColumn>
    <tableColumn id="2" xr3:uid="{1E2D0247-E988-49A4-B1E7-087BCA0F35AD}" name="Car - Note" totalsRowFunction="custom" dataDxfId="310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9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08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307" dataDxfId="306" tableBorderDxfId="305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304"/>
    <tableColumn id="2" xr3:uid="{C4E161B1-7EC0-4B5A-B627-5F4CD0D3F69D}" name="Description_i" dataDxfId="303"/>
    <tableColumn id="3" xr3:uid="{D87CBB1E-40B0-46A1-BF9F-B71D1D36953B}" name="Original Description_i" dataDxfId="302"/>
    <tableColumn id="4" xr3:uid="{1F8EA09F-F922-4D75-9BF8-2A688E248E83}" name="Category_i" dataDxfId="301"/>
    <tableColumn id="5" xr3:uid="{342607B4-67DB-4AE4-AE82-D221FECBDA04}" name="Amount_i" dataDxfId="300"/>
    <tableColumn id="6" xr3:uid="{A891E1EE-8666-4BE3-AD19-1E7E8EC6C461}" name="Status_i" dataDxfId="299"/>
    <tableColumn id="7" xr3:uid="{AD4643DC-63C3-442D-842F-43415922D12E}" name="Account" dataDxfId="298"/>
    <tableColumn id="8" xr3:uid="{6C533F92-784F-45FC-966D-50BC2E4A1210}" name="Date_o" dataDxfId="297"/>
    <tableColumn id="9" xr3:uid="{45467360-0D62-456C-B2BA-9B991A3A5382}" name="Description_o" dataDxfId="296"/>
    <tableColumn id="10" xr3:uid="{19A84DFE-5CD3-4E2C-9C5C-B25420C85630}" name="Original Description_o" dataDxfId="295"/>
    <tableColumn id="11" xr3:uid="{76B3F91C-FD9B-4D78-AD4A-7F77D26B6DCB}" name="Category_o" dataDxfId="294"/>
    <tableColumn id="12" xr3:uid="{247075B3-D888-4516-9151-DE8A293E72DC}" name="Amount_o" dataDxfId="293"/>
    <tableColumn id="13" xr3:uid="{6A8BAE22-8BD2-45C8-BFAF-C180689CC976}" name="Status_o" dataDxfId="292"/>
    <tableColumn id="14" xr3:uid="{5D74B7B5-4875-4547-94AA-4E70285D77FF}" name="Date" dataDxfId="291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90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9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88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87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86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85"/>
    <tableColumn id="22" xr3:uid="{85B37286-156B-408D-9B9C-80972C23A441}" name="E" dataDxfId="284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82" tableBorderDxfId="281">
  <autoFilter ref="A2:AI6" xr:uid="{50D3C16B-42C7-4810-B70F-5FC7C51E1B1A}"/>
  <tableColumns count="35">
    <tableColumn id="1" xr3:uid="{87891042-87C7-43CD-A777-91AFD41DE3F9}" name="Start" dataDxfId="280">
      <calculatedColumnFormula>EDATE($C$1, ROW(AggregateTable2024[[#This Row],[Start]])-3)</calculatedColumnFormula>
    </tableColumn>
    <tableColumn id="36" xr3:uid="{9DFCAA47-E867-479A-AF5E-7C220CB06EC6}" name="End" totalsRowLabel="Total" dataDxfId="279">
      <calculatedColumnFormula>EDATE($C$1, ROW(AggregateTable2024[[#This Row],[Start]])-2)-1</calculatedColumnFormula>
    </tableColumn>
    <tableColumn id="2" xr3:uid="{D1B0515E-B383-4AD7-9C82-02FD11C064D0}" name="Car - Note" totalsRowFunction="custom" dataDxfId="278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77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76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75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74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73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72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71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70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9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68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67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66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65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64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63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62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61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60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9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58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57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56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55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54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53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52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51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50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9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48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47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46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AA36" totalsRowCount="1">
  <autoFilter ref="J3:AA35" xr:uid="{C2FDB7F6-99A6-4615-90BD-88A1FD1D4962}"/>
  <tableColumns count="18">
    <tableColumn id="1" xr3:uid="{AC966554-4456-4F5C-9140-4C039CCC2E13}" name="Start" totalsRowFunction="custom" dataDxfId="140" totalsRowDxfId="115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139" totalsRowDxfId="114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138" totalsRowDxfId="113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137" totalsRowDxfId="112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136" totalsRowDxfId="111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135" totalsRowDxfId="110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134" totalsRowDxfId="109" dataCellStyle="Currency">
      <calculatedColumnFormula>Buckets_9_23[[#This Row],[After T]]-Buckets_9_23[[#This Row],[Slush]]</calculatedColumnFormula>
    </tableColumn>
    <tableColumn id="12" xr3:uid="{681D5640-D79E-4B7C-868E-C1313E631A28}" name="S Cap Diff" dataDxfId="133" totalsRowDxfId="108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132" totalsRowDxfId="107" dataCellStyle="Linked Cell">
      <calculatedColumnFormula>H4</calculatedColumnFormula>
    </tableColumn>
    <tableColumn id="7" xr3:uid="{3D2682D3-82E9-4FCE-81AF-3307428CF180}" name="Crit To Fill" totalsRowFunction="custom" dataDxfId="131" totalsRowDxfId="106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130" totalsRowDxfId="105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129" totalsRowDxfId="104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124" totalsRowDxfId="103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123" totalsRowDxfId="102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128" totalsRowDxfId="101">
      <calculatedColumnFormula>Buckets_9_23[[#This Row],[Crit Filled]]+Buckets_9_23[[#This Row],[Scaled]]</calculatedColumnFormula>
    </tableColumn>
    <tableColumn id="15" xr3:uid="{59462133-8D91-40F3-B0B6-1C9547FC94EC}" name="Final" totalsRowFunction="custom" dataDxfId="127" totalsRowDxfId="100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26" totalsRowDxfId="99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125" totalsRowDxfId="98" dataCellStyle="Note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O3:BF36" totalsRowCount="1">
  <autoFilter ref="AO3:BF35" xr:uid="{95B4DEE2-9165-4C8B-A480-3DB30F997CE4}"/>
  <tableColumns count="18">
    <tableColumn id="1" xr3:uid="{2E2996F9-309A-495B-90C8-1CD7CBA2686B}" name="Start" totalsRowFunction="custom" dataDxfId="245" totalsRowDxfId="97" dataCellStyle="Currency">
      <calculatedColumnFormula>AK4</calculatedColumnFormula>
      <totalsRowFormula>SUBTOTAL(9, Buckets_10_23[Start])</totalsRowFormula>
    </tableColumn>
    <tableColumn id="2" xr3:uid="{38554CF6-A4C6-4C3A-9C0C-0553DFFD0DEF}" name="Transactions" totalsRowFunction="custom" dataDxfId="244" totalsRowDxfId="96" dataCellStyle="Currency">
      <calculatedColumnFormula>GetTransactionTotal(AggregateTable2023[], AggregateTable2023[Start], AO$1,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43" totalsRowDxfId="95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42" totalsRowDxfId="94" dataCellStyle="Currency">
      <calculatedColumnFormula>AL4</calculatedColumnFormula>
      <totalsRowFormula>SUBTOTAL(9, Buckets_10_23[Capacity])</totalsRowFormula>
    </tableColumn>
    <tableColumn id="5" xr3:uid="{B1B06936-3731-4ED7-9D1B-39FC87994896}" name="Cap Diff" totalsRowFunction="custom" dataDxfId="241" totalsRowDxfId="93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40" totalsRowDxfId="92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39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38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OR(AM4, Buckets_10_23[[#This Row],[After T]]&lt;0)</calculatedColumnFormula>
    </tableColumn>
    <tableColumn id="7" xr3:uid="{3ED7F987-7D81-4E83-B53B-852B495417F2}" name="Crit To Fill" totalsRowFunction="custom" dataDxfId="237" totalsRowDxfId="91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36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35" totalsRowDxfId="90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122" totalsRowDxfId="84" dataCellStyle="Currency">
      <calculatedColumnFormula>ROUND(AY$41/Buckets_10_23[[#Totals],[NC To Fill]]*Buckets_10_23[[#This Row],[NC To Fill]], 2)</calculatedColumnFormula>
    </tableColumn>
    <tableColumn id="13" xr3:uid="{535DD8D9-ACB0-49C1-8985-8A90452F6861}" name="Scaled" totalsRowFunction="custom" dataDxfId="85" totalsRowDxfId="89">
      <calculatedColumnFormula>Buckets_10_23[[#This Row],[Pre Scale]] + IF($D4="Unexpected Fund", AY20-Buckets_10_23[[#Totals],[Pre Scale]], 0)</calculatedColumnFormula>
      <totalsRowFormula>SUBTOTAL(9, Buckets_10_23[Scaled])</totalsRowFormula>
    </tableColumn>
    <tableColumn id="14" xr3:uid="{A2DB5951-BFB5-4908-812C-AE42C350D2B3}" name="NC Filled" dataDxfId="234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33" totalsRowDxfId="88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32" totalsRowDxfId="87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231" totalsRowDxfId="86" data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T3:CK36" totalsRowCount="1">
  <autoFilter ref="BT3:CK35" xr:uid="{FCAF0FAF-8D32-46CD-9693-20BB82A6F732}"/>
  <tableColumns count="18">
    <tableColumn id="1" xr3:uid="{AD34FAB2-A4B0-4457-BCAE-4DA67720473D}" name="Start" totalsRowFunction="custom" dataDxfId="230" totalsRowDxfId="83" dataCellStyle="Currency">
      <calculatedColumnFormula>BP4</calculatedColumnFormula>
      <totalsRowFormula>SUBTOTAL(9, Buckets_11_23[Start])</totalsRowFormula>
    </tableColumn>
    <tableColumn id="2" xr3:uid="{3EC673F7-B4EF-4C5A-8FE9-0D4F4C350848}" name="Transactions" totalsRowFunction="custom" dataDxfId="229" totalsRowDxfId="82" dataCellStyle="Currency">
      <calculatedColumnFormula>GetTransactionTotal(AggregateTable2023[], AggregateTable2023[Start], BT$1,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228" totalsRowDxfId="81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227" totalsRowDxfId="80" dataCellStyle="Currency">
      <calculatedColumnFormula>BQ4</calculatedColumnFormula>
      <totalsRowFormula>SUBTOTAL(9, Buckets_11_23[Capacity])</totalsRowFormula>
    </tableColumn>
    <tableColumn id="5" xr3:uid="{016FC966-2170-4B1B-AE87-0E64C6791246}" name="Cap Diff" totalsRowFunction="custom" dataDxfId="226" totalsRowDxfId="79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225" totalsRowDxfId="78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224" dataCellStyle="Currency">
      <calculatedColumnFormula>Buckets_11_23[[#This Row],[After T]]-Buckets_11_23[[#This Row],[Slush]]</calculatedColumnFormula>
    </tableColumn>
    <tableColumn id="12" xr3:uid="{107AE8A3-E948-49FA-9174-B00B5145A711}" name="S Cap Diff" dataDxfId="223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OR(BR4, Buckets_11_23[[#This Row],[After T]]&lt;0)</calculatedColumnFormula>
    </tableColumn>
    <tableColumn id="7" xr3:uid="{4BE5FBEC-EC9D-4451-B0AD-4BE86665B66D}" name="Crit To Fill" totalsRowFunction="custom" dataDxfId="222" totalsRowDxfId="7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221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220" totalsRowDxfId="76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121" totalsRowDxfId="75" dataCellStyle="Currency">
      <calculatedColumnFormula>ROUND(CD$41/Buckets_11_23[[#Totals],[NC To Fill]]*Buckets_11_23[[#This Row],[NC To Fill]], 2)</calculatedColumnFormula>
    </tableColumn>
    <tableColumn id="13" xr3:uid="{50D39684-D5CB-4A4F-A6A2-9507A99F3DF0}" name="Scaled" totalsRowFunction="custom" dataDxfId="70" totalsRowDxfId="74">
      <calculatedColumnFormula>Buckets_11_23[[#This Row],[Pre Scale]] + IF($D4="Unexpected Fund", CD20-Buckets_11_23[[#Totals],[Pre Scale]], 0)</calculatedColumnFormula>
      <totalsRowFormula>SUBTOTAL(9, Buckets_11_23[Scaled])</totalsRowFormula>
    </tableColumn>
    <tableColumn id="14" xr3:uid="{13E38229-25D3-48A1-91F7-086AAB3D29FC}" name="NC Filled" dataDxfId="219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218" totalsRowDxfId="73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217" totalsRowDxfId="72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216" totalsRowDxfId="71" data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Y3:DP36" totalsRowCount="1">
  <autoFilter ref="CY3:DP35" xr:uid="{70C0DC49-583C-4B3B-B35E-B2E818E5AFFE}"/>
  <tableColumns count="18">
    <tableColumn id="1" xr3:uid="{4C868A14-A682-491E-ACB3-C20C571871A4}" name="Start" totalsRowFunction="custom" dataDxfId="215" totalsRowDxfId="68" dataCellStyle="Currency">
      <calculatedColumnFormula>CU4</calculatedColumnFormula>
      <totalsRowFormula>SUBTOTAL(9, Buckets_12_23[Start])</totalsRowFormula>
    </tableColumn>
    <tableColumn id="2" xr3:uid="{65ABE8FF-231C-4E3D-908F-E7FC8DF4079C}" name="Transactions" totalsRowFunction="custom" dataDxfId="214" totalsRowDxfId="67" dataCellStyle="Currency">
      <calculatedColumnFormula>GetTransactionTotal(AggregateTable2023[], AggregateTable2023[Start], CY$1,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213" totalsRowDxfId="66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212" totalsRowDxfId="65" dataCellStyle="Currency">
      <calculatedColumnFormula>CV4</calculatedColumnFormula>
      <totalsRowFormula>SUBTOTAL(9, Buckets_12_23[Capacity])</totalsRowFormula>
    </tableColumn>
    <tableColumn id="5" xr3:uid="{819EF0F6-804C-4ADE-A9F0-B68B00627E51}" name="Cap Diff" totalsRowFunction="custom" dataDxfId="211" totalsRowDxfId="6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210" totalsRowDxfId="63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209" dataCellStyle="Currency">
      <calculatedColumnFormula>Buckets_12_23[[#This Row],[After T]]-Buckets_12_23[[#This Row],[Slush]]</calculatedColumnFormula>
    </tableColumn>
    <tableColumn id="12" xr3:uid="{86B9840A-F74F-4A44-99CD-E16B9DB3AD7F}" name="S Cap Diff" dataDxfId="208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OR(CW4, Buckets_12_23[[#This Row],[After T]]&lt;0)</calculatedColumnFormula>
    </tableColumn>
    <tableColumn id="7" xr3:uid="{2F13DD93-8EA1-49AE-B95A-34494DFBAE83}" name="Crit To Fill" totalsRowFunction="custom" dataDxfId="207" totalsRowDxfId="62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206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205" totalsRowDxfId="6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20" totalsRowDxfId="60" dataCellStyle="Currency">
      <calculatedColumnFormula>ROUND(DI$41/Buckets_12_23[[#Totals],[NC To Fill]]*Buckets_12_23[[#This Row],[NC To Fill]], 2)</calculatedColumnFormula>
    </tableColumn>
    <tableColumn id="13" xr3:uid="{2906C7E9-EB95-4933-9541-DE09E58395AE}" name="Scaled" totalsRowFunction="custom" dataDxfId="69" totalsRowDxfId="59">
      <calculatedColumnFormula>Buckets_12_23[[#This Row],[Pre Scale]] + IF($D4="Unexpected Fund", DI20-Buckets_12_23[[#Totals],[Pre Scale]], 0)</calculatedColumnFormula>
      <totalsRowFormula>SUBTOTAL(9, Buckets_12_23[Scaled])</totalsRowFormula>
    </tableColumn>
    <tableColumn id="14" xr3:uid="{4B1A2EF8-3743-4D9A-890E-510FB1C2E302}" name="NC Filled" dataDxfId="204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203" totalsRowDxfId="58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202" totalsRowDxfId="57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201" totalsRowDxfId="56" data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ED3:EU36" totalsRowCount="1">
  <autoFilter ref="ED3:EU35" xr:uid="{F9BE6235-E303-48A8-B574-840AE3631BBA}"/>
  <tableColumns count="18">
    <tableColumn id="1" xr3:uid="{ECBF5E5A-49B8-41D0-977B-8E462A00B690}" name="Start" totalsRowFunction="custom" dataDxfId="200" totalsRowDxfId="55" dataCellStyle="Currency">
      <calculatedColumnFormula>DZ4</calculatedColumnFormula>
      <totalsRowFormula>SUBTOTAL(9, Buckets_1_24[Start])</totalsRowFormula>
    </tableColumn>
    <tableColumn id="2" xr3:uid="{45BBF2C7-62FB-4084-89E7-289C29064F34}" name="Transactions" totalsRowFunction="custom" dataDxfId="199" totalsRowDxfId="54" dataCellStyle="Currency">
      <calculatedColumnFormula>GetTransactionTotal(AggregateTable2024[], AggregateTable2024[Start], ED$1,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98" totalsRowDxfId="53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97" totalsRowDxfId="52" dataCellStyle="Currency">
      <calculatedColumnFormula>EA4</calculatedColumnFormula>
      <totalsRowFormula>SUBTOTAL(9, Buckets_1_24[Capacity])</totalsRowFormula>
    </tableColumn>
    <tableColumn id="5" xr3:uid="{2B9715A7-3A35-4858-B398-CFE04CF87C2C}" name="Cap Diff" totalsRowFunction="custom" dataDxfId="196" totalsRowDxfId="51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95" totalsRowDxfId="5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94" dataCellStyle="Currency">
      <calculatedColumnFormula>Buckets_1_24[[#This Row],[After T]]-Buckets_1_24[[#This Row],[Slush]]</calculatedColumnFormula>
    </tableColumn>
    <tableColumn id="12" xr3:uid="{EBB07E1C-7578-4C01-9C01-ADAD3DF17EB0}" name="S Cap Diff" dataDxfId="193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OR(EB4, Buckets_1_24[[#This Row],[After T]]&lt;0)</calculatedColumnFormula>
    </tableColumn>
    <tableColumn id="7" xr3:uid="{B1BC89F3-2321-4EC3-9826-D07BD97994F9}" name="Crit To Fill" totalsRowFunction="custom" dataDxfId="192" totalsRowDxfId="49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91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90" totalsRowDxfId="48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119" totalsRowDxfId="47" dataCellStyle="Currency">
      <calculatedColumnFormula>ROUND(EN$41/Buckets_1_24[[#Totals],[NC To Fill]]*Buckets_1_24[[#This Row],[NC To Fill]], 2)</calculatedColumnFormula>
    </tableColumn>
    <tableColumn id="13" xr3:uid="{E875E086-DDBE-45AF-BB09-2E1101A17303}" name="Scaled" totalsRowFunction="custom" dataDxfId="42" totalsRowDxfId="46">
      <calculatedColumnFormula>Buckets_1_24[[#This Row],[Pre Scale]] + IF($D4="Unexpected Fund", EN20-Buckets_1_24[[#Totals],[Pre Scale]], 0)</calculatedColumnFormula>
      <totalsRowFormula>SUBTOTAL(9, Buckets_1_24[Scaled])</totalsRowFormula>
    </tableColumn>
    <tableColumn id="14" xr3:uid="{AC5F99C5-30FD-425D-9546-D71D089C6021}" name="NC Filled" dataDxfId="189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88" totalsRowDxfId="45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187" totalsRowDxfId="44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186" totalsRowDxfId="43" data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I3:FZ36" totalsRowCount="1">
  <autoFilter ref="FI3:FZ35" xr:uid="{6261269E-9330-4402-B472-DD4459D7C497}"/>
  <tableColumns count="18">
    <tableColumn id="1" xr3:uid="{6919576C-8EE9-4B7F-AD3C-201381EAE6F6}" name="Start" totalsRowFunction="custom" dataDxfId="185" totalsRowDxfId="41" dataCellStyle="Currency">
      <calculatedColumnFormula>FE4</calculatedColumnFormula>
      <totalsRowFormula>SUBTOTAL(9, Buckets_2_24[Start])</totalsRowFormula>
    </tableColumn>
    <tableColumn id="2" xr3:uid="{A1A830DE-5EFE-4F01-A54F-12598EF3C6AD}" name="Transactions" totalsRowFunction="custom" dataDxfId="184" totalsRowDxfId="40" dataCellStyle="Currency">
      <calculatedColumnFormula>GetTransactionTotal(AggregateTable2024[], AggregateTable2024[Start], FI$1,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83" totalsRowDxfId="39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82" totalsRowDxfId="38" dataCellStyle="Currency">
      <calculatedColumnFormula>FF4</calculatedColumnFormula>
      <totalsRowFormula>SUBTOTAL(9, Buckets_2_24[Capacity])</totalsRowFormula>
    </tableColumn>
    <tableColumn id="5" xr3:uid="{8E3BB9D6-3FF3-4392-8A9C-6F6036196A61}" name="Cap Diff" totalsRowFunction="custom" dataDxfId="181" totalsRowDxfId="37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80" totalsRowDxfId="36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79" dataCellStyle="Currency">
      <calculatedColumnFormula>Buckets_2_24[[#This Row],[After T]]-Buckets_2_24[[#This Row],[Slush]]</calculatedColumnFormula>
    </tableColumn>
    <tableColumn id="12" xr3:uid="{6B17C2C7-BC72-4D05-8127-32966E670A42}" name="S Cap Diff" dataDxfId="178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OR(FG4, Buckets_2_24[[#This Row],[After T]]&lt;0)</calculatedColumnFormula>
    </tableColumn>
    <tableColumn id="7" xr3:uid="{275B9E0E-82A0-4105-9B99-BFD69FB15750}" name="Crit To Fill" totalsRowFunction="custom" dataDxfId="177" totalsRowDxfId="35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76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75" totalsRowDxfId="34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118" totalsRowDxfId="33" dataCellStyle="Currency">
      <calculatedColumnFormula>ROUND(FS$41/Buckets_2_24[[#Totals],[NC To Fill]]*Buckets_2_24[[#This Row],[NC To Fill]], 2)</calculatedColumnFormula>
    </tableColumn>
    <tableColumn id="13" xr3:uid="{54DDEF06-1940-48F4-B8FF-683FE4B0790B}" name="Scaled" totalsRowFunction="custom" dataDxfId="28" totalsRowDxfId="32">
      <calculatedColumnFormula>Buckets_2_24[[#This Row],[Pre Scale]] + IF($D4="Unexpected Fund", FS20-Buckets_2_24[[#Totals],[Pre Scale]], 0)</calculatedColumnFormula>
      <totalsRowFormula>SUBTOTAL(9, Buckets_2_24[Scaled])</totalsRowFormula>
    </tableColumn>
    <tableColumn id="14" xr3:uid="{DF680109-43DA-4589-818B-0867CAEC3E0E}" name="NC Filled" dataDxfId="174">
      <calculatedColumnFormula>Buckets_2_24[[#This Row],[Crit Filled]]+Buckets_2_24[[#This Row],[Scaled]]</calculatedColumnFormula>
    </tableColumn>
    <tableColumn id="15" xr3:uid="{D3BE9DC6-BEBC-484A-8726-23E7C93CA855}" name="Final" totalsRowFunction="custom" dataDxfId="173" totalsRowDxfId="31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172" totalsRowDxfId="30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171" totalsRowDxfId="29" data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N3:HE36" totalsRowCount="1">
  <autoFilter ref="GN3:HE35" xr:uid="{40964C78-7D5D-46BB-B500-09AE87F274F3}"/>
  <tableColumns count="18">
    <tableColumn id="1" xr3:uid="{AC5ADBEC-EC2C-48C1-B09E-007291609DE6}" name="Start" totalsRowFunction="custom" dataDxfId="170" totalsRowDxfId="27" dataCellStyle="Currency">
      <calculatedColumnFormula>GJ4</calculatedColumnFormula>
      <totalsRowFormula>SUBTOTAL(9, Buckets_3_24[Start])</totalsRowFormula>
    </tableColumn>
    <tableColumn id="2" xr3:uid="{787E7E35-96CA-4507-9F1F-4452B5D3A1AC}" name="Transactions" totalsRowFunction="custom" dataDxfId="169" totalsRowDxfId="26" dataCellStyle="Currency">
      <calculatedColumnFormula>GetTransactionTotal(AggregateTable2024[], AggregateTable2024[Start], GN$1,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168" totalsRowDxfId="25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167" totalsRowDxfId="24" dataCellStyle="Currency">
      <calculatedColumnFormula>GK4</calculatedColumnFormula>
      <totalsRowFormula>SUBTOTAL(9, Buckets_3_24[Capacity])</totalsRowFormula>
    </tableColumn>
    <tableColumn id="5" xr3:uid="{27E34592-AF44-4F0F-AA1B-4D81D7684C28}" name="Cap Diff" totalsRowFunction="custom" dataDxfId="166" totalsRowDxfId="23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165" totalsRowDxfId="22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164" dataCellStyle="Currency">
      <calculatedColumnFormula>Buckets_3_24[[#This Row],[After T]]-Buckets_3_24[[#This Row],[Slush]]</calculatedColumnFormula>
    </tableColumn>
    <tableColumn id="12" xr3:uid="{0CDD43CB-7C8D-4C42-AAD1-AB55D0F6E929}" name="S Cap Diff" dataDxfId="163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OR(GL4, Buckets_3_24[[#This Row],[After T]]&lt;0)</calculatedColumnFormula>
    </tableColumn>
    <tableColumn id="7" xr3:uid="{70E29A61-4BB0-4CB2-98FF-649E140472FC}" name="Crit To Fill" totalsRowFunction="custom" dataDxfId="162" totalsRowDxfId="21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161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160" totalsRowDxfId="20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117" totalsRowDxfId="19" dataCellStyle="Currency">
      <calculatedColumnFormula>ROUND(GX$41/Buckets_3_24[[#Totals],[NC To Fill]]*Buckets_3_24[[#This Row],[NC To Fill]], 2)</calculatedColumnFormula>
    </tableColumn>
    <tableColumn id="13" xr3:uid="{81BFD222-C69C-44C0-9AB7-95A1B039E2EA}" name="Scaled" totalsRowFunction="custom" dataDxfId="14" totalsRowDxfId="18">
      <calculatedColumnFormula>Buckets_3_24[[#This Row],[Pre Scale]] + IF($D4="Unexpected Fund", GX20-Buckets_3_24[[#Totals],[Pre Scale]], 0)</calculatedColumnFormula>
      <totalsRowFormula>SUBTOTAL(9, Buckets_3_24[Scaled])</totalsRowFormula>
    </tableColumn>
    <tableColumn id="14" xr3:uid="{0BEF3D82-3D40-4CED-A938-D0A575D0B688}" name="NC Filled" dataDxfId="159">
      <calculatedColumnFormula>Buckets_3_24[[#This Row],[Crit Filled]]+Buckets_3_24[[#This Row],[Scaled]]</calculatedColumnFormula>
    </tableColumn>
    <tableColumn id="15" xr3:uid="{0E31E2F2-E1D8-4B11-B05A-7A2FDF884CA9}" name="Final" totalsRowFunction="custom" dataDxfId="158" totalsRowDxfId="17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157" totalsRowDxfId="16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156" totalsRowDxfId="15" data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S3:IJ36" totalsRowCount="1">
  <autoFilter ref="HS3:IJ35" xr:uid="{F316C53B-7546-4C0D-B3EC-4E7255B1A17D}"/>
  <tableColumns count="18">
    <tableColumn id="1" xr3:uid="{59C0E2F3-9EC6-466D-9665-8CF23D10B907}" name="Start" totalsRowFunction="custom" dataDxfId="155" totalsRowDxfId="13" dataCellStyle="Currency">
      <calculatedColumnFormula>HO4</calculatedColumnFormula>
      <totalsRowFormula>SUBTOTAL(9, Buckets_4_24[Start])</totalsRowFormula>
    </tableColumn>
    <tableColumn id="2" xr3:uid="{8EE8D795-F277-455D-BCA0-7DDBEF95BC65}" name="Transactions" totalsRowFunction="custom" dataDxfId="154" totalsRowDxfId="12" dataCellStyle="Currency">
      <calculatedColumnFormula>GetTransactionTotal(AggregateTable2024[], AggregateTable2024[Start], HS$1,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153" totalsRowDxfId="11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152" totalsRowDxfId="10" dataCellStyle="Currency">
      <calculatedColumnFormula>HP4</calculatedColumnFormula>
      <totalsRowFormula>SUBTOTAL(9, Buckets_4_24[Capacity])</totalsRowFormula>
    </tableColumn>
    <tableColumn id="5" xr3:uid="{F7770055-35C2-434D-A9B9-2452C15710F6}" name="Cap Diff" totalsRowFunction="custom" dataDxfId="151" totalsRowDxfId="9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50" totalsRowDxfId="8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49" dataCellStyle="Currency">
      <calculatedColumnFormula>Buckets_4_24[[#This Row],[After T]]-Buckets_4_24[[#This Row],[Slush]]</calculatedColumnFormula>
    </tableColumn>
    <tableColumn id="12" xr3:uid="{31CB0950-E1D8-491C-9234-045533DCC86F}" name="S Cap Diff" dataDxfId="148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OR(HQ4, Buckets_4_24[[#This Row],[After T]]&lt;0)</calculatedColumnFormula>
    </tableColumn>
    <tableColumn id="7" xr3:uid="{662A43B7-DA61-4584-A16F-EC3FA640E8C0}" name="Crit To Fill" totalsRowFunction="custom" dataDxfId="147" totalsRowDxfId="7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46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45" totalsRowDxfId="6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116" totalsRowDxfId="5" dataCellStyle="Currency">
      <calculatedColumnFormula>ROUND(IC$41/Buckets_4_24[[#Totals],[NC To Fill]]*Buckets_4_24[[#This Row],[NC To Fill]], 2)</calculatedColumnFormula>
    </tableColumn>
    <tableColumn id="13" xr3:uid="{46E12FC2-2592-41AE-B604-867B30471478}" name="Scaled" totalsRowFunction="custom" dataDxfId="0" totalsRowDxfId="4">
      <calculatedColumnFormula>Buckets_4_24[[#This Row],[Pre Scale]] + IF($D4="Unexpected Fund", IC20-Buckets_4_24[[#Totals],[Pre Scale]], 0)</calculatedColumnFormula>
      <totalsRowFormula>SUBTOTAL(9, Buckets_4_24[Scaled])</totalsRowFormula>
    </tableColumn>
    <tableColumn id="14" xr3:uid="{9066605D-363C-441C-BF68-3799EE16FAD4}" name="NC Filled" dataDxfId="144">
      <calculatedColumnFormula>Buckets_4_24[[#This Row],[Crit Filled]]+Buckets_4_24[[#This Row],[Scaled]]</calculatedColumnFormula>
    </tableColumn>
    <tableColumn id="15" xr3:uid="{49E2DD40-5F01-48E3-B32C-2A808AA5EBAD}" name="Final" totalsRowFunction="custom" dataDxfId="143" totalsRowDxfId="3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142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41" totalsRowDxfId="1" data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515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438</v>
      </c>
    </row>
    <row r="5" spans="1:22" x14ac:dyDescent="0.25">
      <c r="A5" s="4">
        <v>45289</v>
      </c>
      <c r="B5" s="5" t="s">
        <v>407</v>
      </c>
      <c r="C5" s="5" t="s">
        <v>408</v>
      </c>
      <c r="D5" s="5" t="s">
        <v>409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438</v>
      </c>
    </row>
    <row r="6" spans="1:22" x14ac:dyDescent="0.25">
      <c r="A6" s="4">
        <v>45289</v>
      </c>
      <c r="B6" s="5" t="s">
        <v>410</v>
      </c>
      <c r="C6" s="5" t="s">
        <v>411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412</v>
      </c>
      <c r="C8" s="5" t="s">
        <v>413</v>
      </c>
      <c r="D8" s="5" t="s">
        <v>414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415</v>
      </c>
      <c r="C10" s="5" t="s">
        <v>416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433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417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418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438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419</v>
      </c>
      <c r="C17" s="5" t="s">
        <v>420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421</v>
      </c>
      <c r="C19" s="5" t="s">
        <v>422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437</v>
      </c>
    </row>
    <row r="20" spans="1:22" x14ac:dyDescent="0.25">
      <c r="A20" s="4">
        <v>45277</v>
      </c>
      <c r="B20" s="5" t="s">
        <v>423</v>
      </c>
      <c r="C20" s="5" t="s">
        <v>424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437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425</v>
      </c>
      <c r="C23" s="5" t="s">
        <v>426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427</v>
      </c>
      <c r="C27" s="5" t="s">
        <v>428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436</v>
      </c>
    </row>
    <row r="28" spans="1:22" x14ac:dyDescent="0.25">
      <c r="A28" s="4">
        <v>45271</v>
      </c>
      <c r="B28" s="5" t="s">
        <v>421</v>
      </c>
      <c r="C28" s="5" t="s">
        <v>429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436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430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403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404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405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406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431</v>
      </c>
      <c r="C42" s="5" t="s">
        <v>432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435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434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450</v>
      </c>
      <c r="C8" t="s">
        <v>451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481</v>
      </c>
      <c r="C9" t="s">
        <v>482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499</v>
      </c>
      <c r="C11" t="s">
        <v>500</v>
      </c>
      <c r="D11" t="s">
        <v>501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464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502</v>
      </c>
      <c r="C15" t="s">
        <v>503</v>
      </c>
      <c r="D15" t="s">
        <v>504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455</v>
      </c>
      <c r="C21" t="s">
        <v>456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464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483</v>
      </c>
      <c r="C24" t="s">
        <v>484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465</v>
      </c>
      <c r="U24" t="str">
        <f>IF( _xlfn.IFNA(MATCH(LogTable2024[[#This Row],[My Category]], Buckets!$D$4:$D$35, 0), FALSE), ".", "E")</f>
        <v>.</v>
      </c>
      <c r="V24" t="s">
        <v>513</v>
      </c>
    </row>
    <row r="25" spans="1:22" hidden="1" x14ac:dyDescent="0.25">
      <c r="A25" s="1">
        <v>45390</v>
      </c>
      <c r="B25" t="s">
        <v>505</v>
      </c>
      <c r="C25" t="s">
        <v>506</v>
      </c>
      <c r="D25" t="s">
        <v>507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514</v>
      </c>
    </row>
    <row r="26" spans="1:22" hidden="1" x14ac:dyDescent="0.25">
      <c r="A26" s="1">
        <v>45389</v>
      </c>
      <c r="B26" t="s">
        <v>42</v>
      </c>
      <c r="C26" t="s">
        <v>485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465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486</v>
      </c>
      <c r="C30" s="5" t="s">
        <v>487</v>
      </c>
      <c r="D30" s="5" t="s">
        <v>488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489</v>
      </c>
      <c r="C33" s="5" t="s">
        <v>490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508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491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464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473</v>
      </c>
      <c r="C44" s="5" t="s">
        <v>474</v>
      </c>
      <c r="D44" s="5" t="s">
        <v>475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455</v>
      </c>
      <c r="C50" s="5" t="s">
        <v>456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464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492</v>
      </c>
      <c r="C52" s="5" t="s">
        <v>493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410</v>
      </c>
      <c r="C54" s="5" t="s">
        <v>411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509</v>
      </c>
      <c r="C55" s="5" t="s">
        <v>510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465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462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511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494</v>
      </c>
      <c r="C62" s="5" t="s">
        <v>495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496</v>
      </c>
      <c r="C63" s="5" t="s">
        <v>497</v>
      </c>
      <c r="D63" s="5" t="s">
        <v>498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462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471</v>
      </c>
      <c r="C68" s="5" t="s">
        <v>472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464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473</v>
      </c>
      <c r="C72" s="5" t="s">
        <v>474</v>
      </c>
      <c r="D72" s="5" t="s">
        <v>475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512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480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455</v>
      </c>
      <c r="C82" s="5" t="s">
        <v>456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464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476</v>
      </c>
      <c r="C85" s="5" t="s">
        <v>477</v>
      </c>
      <c r="D85" s="5" t="s">
        <v>475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465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478</v>
      </c>
      <c r="C88" s="5" t="s">
        <v>479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462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469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450</v>
      </c>
      <c r="C92" s="5" t="s">
        <v>451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470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440</v>
      </c>
      <c r="C102" s="5" t="s">
        <v>441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442</v>
      </c>
      <c r="C103" s="5" t="s">
        <v>443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410</v>
      </c>
      <c r="C104" s="5" t="s">
        <v>411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453</v>
      </c>
      <c r="C105" s="5" t="s">
        <v>454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444</v>
      </c>
      <c r="C107" s="5" t="s">
        <v>445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446</v>
      </c>
      <c r="C109" s="5" t="s">
        <v>447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462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464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448</v>
      </c>
      <c r="C112" s="5" t="s">
        <v>449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462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455</v>
      </c>
      <c r="C114" s="5" t="s">
        <v>456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450</v>
      </c>
      <c r="C115" s="5" t="s">
        <v>451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464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465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452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457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458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459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463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460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439</v>
      </c>
    </row>
    <row r="133" spans="1:22" hidden="1" x14ac:dyDescent="0.25">
      <c r="A133" s="4">
        <v>45293</v>
      </c>
      <c r="B133" s="5" t="s">
        <v>221</v>
      </c>
      <c r="C133" s="5" t="s">
        <v>461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V46"/>
  <sheetViews>
    <sheetView tabSelected="1" zoomScale="80" zoomScaleNormal="80" workbookViewId="0">
      <pane xSplit="4" ySplit="3" topLeftCell="HZ4" activePane="bottomRight" state="frozen"/>
      <selection pane="topRight" activeCell="E1" sqref="E1"/>
      <selection pane="bottomLeft" activeCell="A5" sqref="A5"/>
      <selection pane="bottomRight" activeCell="IG23" sqref="IG23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7" max="27" width="10.28515625" customWidth="1"/>
    <col min="29" max="29" width="12.28515625" bestFit="1" customWidth="1"/>
    <col min="30" max="30" width="12.42578125" customWidth="1"/>
    <col min="31" max="31" width="6.7109375" bestFit="1" customWidth="1"/>
    <col min="32" max="32" width="9.7109375" customWidth="1"/>
    <col min="33" max="33" width="8.7109375" customWidth="1"/>
    <col min="34" max="34" width="9.7109375" customWidth="1"/>
    <col min="35" max="35" width="11.28515625" bestFit="1" customWidth="1"/>
    <col min="36" max="36" width="6" bestFit="1" customWidth="1"/>
    <col min="37" max="37" width="12.28515625" bestFit="1" customWidth="1"/>
    <col min="38" max="38" width="13.140625" customWidth="1"/>
    <col min="39" max="39" width="6.7109375" bestFit="1" customWidth="1"/>
    <col min="41" max="41" width="13.140625" customWidth="1"/>
    <col min="42" max="42" width="14.28515625" bestFit="1" customWidth="1"/>
    <col min="43" max="43" width="13.42578125" customWidth="1"/>
    <col min="44" max="45" width="14.28515625" bestFit="1" customWidth="1"/>
    <col min="46" max="46" width="11.5703125" bestFit="1" customWidth="1"/>
    <col min="47" max="47" width="12.42578125" bestFit="1" customWidth="1"/>
    <col min="48" max="48" width="12.42578125" customWidth="1"/>
    <col min="49" max="49" width="8.28515625" bestFit="1" customWidth="1"/>
    <col min="50" max="50" width="12.5703125" bestFit="1" customWidth="1"/>
    <col min="51" max="51" width="14.7109375" customWidth="1"/>
    <col min="52" max="52" width="12.5703125" bestFit="1" customWidth="1"/>
    <col min="53" max="53" width="12.5703125" customWidth="1"/>
    <col min="54" max="54" width="11.140625" customWidth="1"/>
    <col min="55" max="55" width="12" customWidth="1"/>
    <col min="56" max="56" width="13.140625" customWidth="1"/>
    <col min="57" max="57" width="12.5703125" customWidth="1"/>
    <col min="58" max="58" width="10.28515625" bestFit="1" customWidth="1"/>
    <col min="60" max="60" width="12.28515625" bestFit="1" customWidth="1"/>
    <col min="61" max="61" width="12.7109375" customWidth="1"/>
    <col min="62" max="62" width="6.7109375" bestFit="1" customWidth="1"/>
    <col min="63" max="63" width="9.5703125" customWidth="1"/>
    <col min="64" max="64" width="8.85546875" customWidth="1"/>
    <col min="65" max="65" width="9.85546875" customWidth="1"/>
    <col min="66" max="66" width="11.28515625" bestFit="1" customWidth="1"/>
    <col min="67" max="67" width="6" bestFit="1" customWidth="1"/>
    <col min="68" max="68" width="12.28515625" bestFit="1" customWidth="1"/>
    <col min="69" max="69" width="13" customWidth="1"/>
    <col min="70" max="70" width="6.7109375" bestFit="1" customWidth="1"/>
    <col min="72" max="72" width="13.140625" customWidth="1"/>
    <col min="73" max="73" width="14.28515625" bestFit="1" customWidth="1"/>
    <col min="74" max="74" width="13.42578125" customWidth="1"/>
    <col min="75" max="76" width="14.28515625" bestFit="1" customWidth="1"/>
    <col min="77" max="77" width="11.5703125" bestFit="1" customWidth="1"/>
    <col min="78" max="78" width="12.42578125" bestFit="1" customWidth="1"/>
    <col min="79" max="79" width="12.42578125" customWidth="1"/>
    <col min="80" max="80" width="8.28515625" bestFit="1" customWidth="1"/>
    <col min="81" max="81" width="12.5703125" bestFit="1" customWidth="1"/>
    <col min="82" max="82" width="14.7109375" customWidth="1"/>
    <col min="83" max="83" width="12.5703125" bestFit="1" customWidth="1"/>
    <col min="84" max="84" width="12.5703125" customWidth="1"/>
    <col min="85" max="85" width="11.140625" customWidth="1"/>
    <col min="86" max="86" width="12" customWidth="1"/>
    <col min="87" max="87" width="13.140625" customWidth="1"/>
    <col min="88" max="88" width="12.5703125" customWidth="1"/>
    <col min="89" max="89" width="10.28515625" bestFit="1" customWidth="1"/>
    <col min="91" max="92" width="12.28515625" bestFit="1" customWidth="1"/>
    <col min="93" max="93" width="6.7109375" bestFit="1" customWidth="1"/>
    <col min="94" max="94" width="12" bestFit="1" customWidth="1"/>
    <col min="95" max="95" width="11.28515625" bestFit="1" customWidth="1"/>
    <col min="96" max="96" width="9.7109375" customWidth="1"/>
    <col min="97" max="97" width="11.28515625" bestFit="1" customWidth="1"/>
    <col min="98" max="98" width="6" bestFit="1" customWidth="1"/>
    <col min="99" max="100" width="12.28515625" bestFit="1" customWidth="1"/>
    <col min="101" max="101" width="6.7109375" bestFit="1" customWidth="1"/>
    <col min="103" max="103" width="13.140625" customWidth="1"/>
    <col min="104" max="104" width="14.28515625" bestFit="1" customWidth="1"/>
    <col min="105" max="105" width="13.42578125" customWidth="1"/>
    <col min="106" max="107" width="14.28515625" bestFit="1" customWidth="1"/>
    <col min="108" max="108" width="11.5703125" bestFit="1" customWidth="1"/>
    <col min="109" max="109" width="12.42578125" bestFit="1" customWidth="1"/>
    <col min="110" max="110" width="12.42578125" customWidth="1"/>
    <col min="111" max="111" width="8.28515625" bestFit="1" customWidth="1"/>
    <col min="112" max="112" width="12.5703125" bestFit="1" customWidth="1"/>
    <col min="113" max="113" width="14.7109375" customWidth="1"/>
    <col min="114" max="114" width="12.5703125" bestFit="1" customWidth="1"/>
    <col min="115" max="115" width="12.5703125" customWidth="1"/>
    <col min="116" max="116" width="11.140625" customWidth="1"/>
    <col min="117" max="117" width="12" customWidth="1"/>
    <col min="118" max="118" width="13.140625" customWidth="1"/>
    <col min="119" max="119" width="12.5703125" customWidth="1"/>
    <col min="120" max="120" width="10.28515625" bestFit="1" customWidth="1"/>
    <col min="122" max="123" width="12.28515625" bestFit="1" customWidth="1"/>
    <col min="124" max="124" width="6.7109375" bestFit="1" customWidth="1"/>
    <col min="125" max="125" width="12" bestFit="1" customWidth="1"/>
    <col min="126" max="126" width="11.28515625" bestFit="1" customWidth="1"/>
    <col min="127" max="127" width="9.7109375" customWidth="1"/>
    <col min="128" max="128" width="11.28515625" bestFit="1" customWidth="1"/>
    <col min="129" max="129" width="6" bestFit="1" customWidth="1"/>
    <col min="130" max="131" width="12.28515625" bestFit="1" customWidth="1"/>
    <col min="132" max="132" width="6.7109375" bestFit="1" customWidth="1"/>
    <col min="134" max="134" width="13.140625" customWidth="1"/>
    <col min="135" max="135" width="14.28515625" bestFit="1" customWidth="1"/>
    <col min="136" max="136" width="13.42578125" customWidth="1"/>
    <col min="137" max="138" width="14.28515625" bestFit="1" customWidth="1"/>
    <col min="139" max="139" width="11.5703125" bestFit="1" customWidth="1"/>
    <col min="140" max="140" width="12.42578125" bestFit="1" customWidth="1"/>
    <col min="141" max="141" width="12.42578125" customWidth="1"/>
    <col min="142" max="142" width="8.28515625" bestFit="1" customWidth="1"/>
    <col min="143" max="143" width="12.5703125" bestFit="1" customWidth="1"/>
    <col min="144" max="144" width="14.7109375" customWidth="1"/>
    <col min="145" max="145" width="12.5703125" bestFit="1" customWidth="1"/>
    <col min="146" max="146" width="12.5703125" customWidth="1"/>
    <col min="147" max="147" width="11.140625" customWidth="1"/>
    <col min="148" max="148" width="12" customWidth="1"/>
    <col min="149" max="149" width="13.140625" customWidth="1"/>
    <col min="150" max="150" width="12.5703125" customWidth="1"/>
    <col min="151" max="151" width="10.28515625" bestFit="1" customWidth="1"/>
    <col min="153" max="154" width="12.28515625" bestFit="1" customWidth="1"/>
    <col min="155" max="155" width="6.7109375" bestFit="1" customWidth="1"/>
    <col min="156" max="156" width="12" bestFit="1" customWidth="1"/>
    <col min="157" max="157" width="11.28515625" bestFit="1" customWidth="1"/>
    <col min="158" max="158" width="11.28515625" customWidth="1"/>
    <col min="159" max="159" width="11.28515625" bestFit="1" customWidth="1"/>
    <col min="160" max="160" width="6" bestFit="1" customWidth="1"/>
    <col min="161" max="162" width="12.28515625" bestFit="1" customWidth="1"/>
    <col min="163" max="163" width="6.7109375" bestFit="1" customWidth="1"/>
    <col min="165" max="165" width="13.140625" customWidth="1"/>
    <col min="166" max="166" width="14.28515625" bestFit="1" customWidth="1"/>
    <col min="167" max="167" width="13.42578125" customWidth="1"/>
    <col min="168" max="169" width="14.28515625" bestFit="1" customWidth="1"/>
    <col min="170" max="170" width="11.5703125" bestFit="1" customWidth="1"/>
    <col min="171" max="171" width="12.42578125" bestFit="1" customWidth="1"/>
    <col min="172" max="172" width="12.42578125" customWidth="1"/>
    <col min="173" max="173" width="8.28515625" bestFit="1" customWidth="1"/>
    <col min="174" max="174" width="12.5703125" bestFit="1" customWidth="1"/>
    <col min="175" max="175" width="14.7109375" customWidth="1"/>
    <col min="176" max="176" width="12.5703125" bestFit="1" customWidth="1"/>
    <col min="177" max="177" width="12.5703125" customWidth="1"/>
    <col min="178" max="178" width="11.140625" customWidth="1"/>
    <col min="179" max="179" width="12" customWidth="1"/>
    <col min="180" max="180" width="13.140625" customWidth="1"/>
    <col min="181" max="181" width="12.5703125" customWidth="1"/>
    <col min="182" max="182" width="10.28515625" bestFit="1" customWidth="1"/>
    <col min="184" max="185" width="12.28515625" bestFit="1" customWidth="1"/>
    <col min="186" max="186" width="6.7109375" bestFit="1" customWidth="1"/>
    <col min="187" max="187" width="12" bestFit="1" customWidth="1"/>
    <col min="188" max="188" width="11.28515625" bestFit="1" customWidth="1"/>
    <col min="189" max="189" width="11.28515625" customWidth="1"/>
    <col min="190" max="190" width="11.28515625" bestFit="1" customWidth="1"/>
    <col min="191" max="191" width="6" bestFit="1" customWidth="1"/>
    <col min="192" max="193" width="12.28515625" bestFit="1" customWidth="1"/>
    <col min="194" max="194" width="6.7109375" bestFit="1" customWidth="1"/>
    <col min="196" max="196" width="13.140625" customWidth="1"/>
    <col min="197" max="197" width="14.28515625" bestFit="1" customWidth="1"/>
    <col min="198" max="198" width="13.42578125" customWidth="1"/>
    <col min="199" max="200" width="14.28515625" bestFit="1" customWidth="1"/>
    <col min="201" max="201" width="11.5703125" bestFit="1" customWidth="1"/>
    <col min="202" max="202" width="12.42578125" bestFit="1" customWidth="1"/>
    <col min="203" max="203" width="12.42578125" customWidth="1"/>
    <col min="204" max="204" width="8.28515625" bestFit="1" customWidth="1"/>
    <col min="205" max="205" width="12.5703125" bestFit="1" customWidth="1"/>
    <col min="206" max="206" width="14.7109375" customWidth="1"/>
    <col min="207" max="207" width="12.5703125" bestFit="1" customWidth="1"/>
    <col min="208" max="208" width="12.5703125" customWidth="1"/>
    <col min="209" max="209" width="11.140625" customWidth="1"/>
    <col min="210" max="210" width="12" customWidth="1"/>
    <col min="211" max="211" width="13.140625" customWidth="1"/>
    <col min="212" max="212" width="12.5703125" customWidth="1"/>
    <col min="213" max="213" width="10.28515625" bestFit="1" customWidth="1"/>
    <col min="215" max="216" width="12.28515625" bestFit="1" customWidth="1"/>
    <col min="217" max="217" width="6.7109375" bestFit="1" customWidth="1"/>
    <col min="218" max="218" width="12" bestFit="1" customWidth="1"/>
    <col min="219" max="219" width="11.28515625" bestFit="1" customWidth="1"/>
    <col min="220" max="220" width="11.28515625" customWidth="1"/>
    <col min="221" max="221" width="11.28515625" bestFit="1" customWidth="1"/>
    <col min="222" max="222" width="6" bestFit="1" customWidth="1"/>
    <col min="223" max="224" width="12.28515625" bestFit="1" customWidth="1"/>
    <col min="225" max="225" width="6.7109375" bestFit="1" customWidth="1"/>
    <col min="227" max="227" width="13.140625" customWidth="1"/>
    <col min="228" max="228" width="14.28515625" bestFit="1" customWidth="1"/>
    <col min="229" max="229" width="13.42578125" customWidth="1"/>
    <col min="230" max="231" width="14.28515625" bestFit="1" customWidth="1"/>
    <col min="232" max="232" width="13" customWidth="1"/>
    <col min="233" max="233" width="12.42578125" bestFit="1" customWidth="1"/>
    <col min="234" max="234" width="12.42578125" customWidth="1"/>
    <col min="235" max="235" width="8.28515625" bestFit="1" customWidth="1"/>
    <col min="236" max="236" width="12.5703125" bestFit="1" customWidth="1"/>
    <col min="237" max="237" width="14.7109375" customWidth="1"/>
    <col min="238" max="238" width="12.5703125" bestFit="1" customWidth="1"/>
    <col min="239" max="239" width="12.5703125" customWidth="1"/>
    <col min="240" max="240" width="11.140625" customWidth="1"/>
    <col min="241" max="241" width="12" customWidth="1"/>
    <col min="242" max="242" width="13.140625" customWidth="1"/>
    <col min="243" max="243" width="12.5703125" customWidth="1"/>
    <col min="244" max="244" width="10.28515625" bestFit="1" customWidth="1"/>
    <col min="246" max="247" width="12.28515625" bestFit="1" customWidth="1"/>
    <col min="248" max="248" width="6.7109375" bestFit="1" customWidth="1"/>
    <col min="249" max="249" width="12" bestFit="1" customWidth="1"/>
    <col min="250" max="250" width="11.28515625" bestFit="1" customWidth="1"/>
    <col min="251" max="251" width="11.28515625" customWidth="1"/>
    <col min="252" max="252" width="11.28515625" bestFit="1" customWidth="1"/>
    <col min="253" max="253" width="6" bestFit="1" customWidth="1"/>
    <col min="254" max="255" width="12.28515625" bestFit="1" customWidth="1"/>
    <col min="256" max="256" width="6.7109375" bestFit="1" customWidth="1"/>
  </cols>
  <sheetData>
    <row r="1" spans="1:256" x14ac:dyDescent="0.25">
      <c r="F1" s="28" t="s">
        <v>402</v>
      </c>
      <c r="J1" s="27">
        <v>45170</v>
      </c>
      <c r="AO1" s="27">
        <v>45200</v>
      </c>
      <c r="BT1" s="27">
        <v>45231</v>
      </c>
      <c r="CY1" s="27">
        <v>45261</v>
      </c>
      <c r="ED1" s="27">
        <v>45292</v>
      </c>
      <c r="FI1" s="27">
        <v>45323</v>
      </c>
      <c r="GN1" s="27">
        <v>45352</v>
      </c>
      <c r="HS1" s="27">
        <v>45383</v>
      </c>
    </row>
    <row r="2" spans="1:256" x14ac:dyDescent="0.25">
      <c r="F2" s="47" t="s">
        <v>401</v>
      </c>
      <c r="G2" s="47"/>
      <c r="H2" s="47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517</v>
      </c>
      <c r="W2" t="s">
        <v>390</v>
      </c>
      <c r="X2" t="s">
        <v>392</v>
      </c>
      <c r="Y2" t="s">
        <v>397</v>
      </c>
      <c r="AC2" s="47" t="s">
        <v>399</v>
      </c>
      <c r="AD2" s="47"/>
      <c r="AE2" s="47"/>
      <c r="AF2" s="47" t="s">
        <v>400</v>
      </c>
      <c r="AG2" s="47"/>
      <c r="AH2" s="47"/>
      <c r="AI2" s="47"/>
      <c r="AJ2" s="47"/>
      <c r="AK2" s="47" t="s">
        <v>401</v>
      </c>
      <c r="AL2" s="47"/>
      <c r="AM2" s="47"/>
      <c r="AO2" t="s">
        <v>372</v>
      </c>
      <c r="AP2" s="26" t="s">
        <v>373</v>
      </c>
      <c r="AQ2" t="s">
        <v>374</v>
      </c>
      <c r="AR2" t="s">
        <v>375</v>
      </c>
      <c r="AS2" t="s">
        <v>376</v>
      </c>
      <c r="AT2" t="s">
        <v>377</v>
      </c>
      <c r="AU2" t="s">
        <v>378</v>
      </c>
      <c r="AV2" t="s">
        <v>386</v>
      </c>
      <c r="AW2" t="s">
        <v>379</v>
      </c>
      <c r="AX2" t="s">
        <v>380</v>
      </c>
      <c r="AY2" t="s">
        <v>383</v>
      </c>
      <c r="AZ2" t="s">
        <v>381</v>
      </c>
      <c r="BA2" t="s">
        <v>517</v>
      </c>
      <c r="BB2" t="s">
        <v>390</v>
      </c>
      <c r="BC2" t="s">
        <v>392</v>
      </c>
      <c r="BD2" t="s">
        <v>397</v>
      </c>
      <c r="BH2" s="47" t="s">
        <v>399</v>
      </c>
      <c r="BI2" s="47"/>
      <c r="BJ2" s="47"/>
      <c r="BK2" s="47" t="s">
        <v>400</v>
      </c>
      <c r="BL2" s="47"/>
      <c r="BM2" s="47"/>
      <c r="BN2" s="47"/>
      <c r="BO2" s="47"/>
      <c r="BP2" s="47" t="s">
        <v>401</v>
      </c>
      <c r="BQ2" s="47"/>
      <c r="BR2" s="47"/>
      <c r="BT2" t="s">
        <v>372</v>
      </c>
      <c r="BU2" s="26" t="s">
        <v>373</v>
      </c>
      <c r="BV2" t="s">
        <v>374</v>
      </c>
      <c r="BW2" t="s">
        <v>375</v>
      </c>
      <c r="BX2" t="s">
        <v>376</v>
      </c>
      <c r="BY2" t="s">
        <v>377</v>
      </c>
      <c r="BZ2" t="s">
        <v>378</v>
      </c>
      <c r="CA2" t="s">
        <v>386</v>
      </c>
      <c r="CB2" t="s">
        <v>379</v>
      </c>
      <c r="CC2" t="s">
        <v>380</v>
      </c>
      <c r="CD2" t="s">
        <v>383</v>
      </c>
      <c r="CE2" t="s">
        <v>381</v>
      </c>
      <c r="CF2" t="s">
        <v>517</v>
      </c>
      <c r="CG2" t="s">
        <v>390</v>
      </c>
      <c r="CH2" t="s">
        <v>392</v>
      </c>
      <c r="CI2" t="s">
        <v>397</v>
      </c>
      <c r="CM2" s="47" t="s">
        <v>399</v>
      </c>
      <c r="CN2" s="47"/>
      <c r="CO2" s="47"/>
      <c r="CP2" s="47" t="s">
        <v>400</v>
      </c>
      <c r="CQ2" s="47"/>
      <c r="CR2" s="47"/>
      <c r="CS2" s="47"/>
      <c r="CT2" s="47"/>
      <c r="CU2" s="47" t="s">
        <v>401</v>
      </c>
      <c r="CV2" s="47"/>
      <c r="CW2" s="47"/>
      <c r="CY2" t="s">
        <v>372</v>
      </c>
      <c r="CZ2" s="26" t="s">
        <v>373</v>
      </c>
      <c r="DA2" t="s">
        <v>374</v>
      </c>
      <c r="DB2" t="s">
        <v>375</v>
      </c>
      <c r="DC2" t="s">
        <v>376</v>
      </c>
      <c r="DD2" t="s">
        <v>377</v>
      </c>
      <c r="DE2" t="s">
        <v>378</v>
      </c>
      <c r="DF2" t="s">
        <v>386</v>
      </c>
      <c r="DG2" t="s">
        <v>379</v>
      </c>
      <c r="DH2" t="s">
        <v>380</v>
      </c>
      <c r="DI2" t="s">
        <v>383</v>
      </c>
      <c r="DJ2" t="s">
        <v>381</v>
      </c>
      <c r="DK2" t="s">
        <v>517</v>
      </c>
      <c r="DL2" t="s">
        <v>390</v>
      </c>
      <c r="DM2" t="s">
        <v>392</v>
      </c>
      <c r="DN2" t="s">
        <v>397</v>
      </c>
      <c r="DR2" s="47" t="s">
        <v>399</v>
      </c>
      <c r="DS2" s="47"/>
      <c r="DT2" s="47"/>
      <c r="DU2" s="47" t="s">
        <v>400</v>
      </c>
      <c r="DV2" s="47"/>
      <c r="DW2" s="47"/>
      <c r="DX2" s="47"/>
      <c r="DY2" s="47"/>
      <c r="DZ2" s="47" t="s">
        <v>401</v>
      </c>
      <c r="EA2" s="47"/>
      <c r="EB2" s="47"/>
      <c r="ED2" t="s">
        <v>372</v>
      </c>
      <c r="EE2" s="26" t="s">
        <v>373</v>
      </c>
      <c r="EF2" t="s">
        <v>374</v>
      </c>
      <c r="EG2" t="s">
        <v>375</v>
      </c>
      <c r="EH2" t="s">
        <v>376</v>
      </c>
      <c r="EI2" t="s">
        <v>377</v>
      </c>
      <c r="EJ2" t="s">
        <v>378</v>
      </c>
      <c r="EK2" t="s">
        <v>386</v>
      </c>
      <c r="EL2" t="s">
        <v>379</v>
      </c>
      <c r="EM2" t="s">
        <v>380</v>
      </c>
      <c r="EN2" t="s">
        <v>383</v>
      </c>
      <c r="EO2" t="s">
        <v>381</v>
      </c>
      <c r="EP2" t="s">
        <v>517</v>
      </c>
      <c r="EQ2" t="s">
        <v>390</v>
      </c>
      <c r="ER2" t="s">
        <v>392</v>
      </c>
      <c r="ES2" t="s">
        <v>397</v>
      </c>
      <c r="EW2" s="47" t="s">
        <v>399</v>
      </c>
      <c r="EX2" s="47"/>
      <c r="EY2" s="47"/>
      <c r="EZ2" s="47" t="s">
        <v>400</v>
      </c>
      <c r="FA2" s="47"/>
      <c r="FB2" s="47"/>
      <c r="FC2" s="47"/>
      <c r="FD2" s="47"/>
      <c r="FE2" s="47" t="s">
        <v>401</v>
      </c>
      <c r="FF2" s="47"/>
      <c r="FG2" s="47"/>
      <c r="FI2" t="s">
        <v>372</v>
      </c>
      <c r="FJ2" s="26" t="s">
        <v>373</v>
      </c>
      <c r="FK2" t="s">
        <v>374</v>
      </c>
      <c r="FL2" t="s">
        <v>375</v>
      </c>
      <c r="FM2" t="s">
        <v>376</v>
      </c>
      <c r="FN2" t="s">
        <v>377</v>
      </c>
      <c r="FO2" t="s">
        <v>378</v>
      </c>
      <c r="FP2" t="s">
        <v>386</v>
      </c>
      <c r="FQ2" t="s">
        <v>379</v>
      </c>
      <c r="FR2" t="s">
        <v>380</v>
      </c>
      <c r="FS2" t="s">
        <v>383</v>
      </c>
      <c r="FT2" t="s">
        <v>381</v>
      </c>
      <c r="FU2" t="s">
        <v>517</v>
      </c>
      <c r="FV2" t="s">
        <v>390</v>
      </c>
      <c r="FW2" t="s">
        <v>392</v>
      </c>
      <c r="FX2" t="s">
        <v>397</v>
      </c>
      <c r="GB2" s="47" t="s">
        <v>399</v>
      </c>
      <c r="GC2" s="47"/>
      <c r="GD2" s="47"/>
      <c r="GE2" s="47" t="s">
        <v>400</v>
      </c>
      <c r="GF2" s="47"/>
      <c r="GG2" s="47"/>
      <c r="GH2" s="47"/>
      <c r="GI2" s="47"/>
      <c r="GJ2" s="47" t="s">
        <v>401</v>
      </c>
      <c r="GK2" s="47"/>
      <c r="GL2" s="47"/>
      <c r="GN2" t="s">
        <v>372</v>
      </c>
      <c r="GO2" s="26" t="s">
        <v>373</v>
      </c>
      <c r="GP2" t="s">
        <v>374</v>
      </c>
      <c r="GQ2" t="s">
        <v>375</v>
      </c>
      <c r="GR2" t="s">
        <v>376</v>
      </c>
      <c r="GS2" t="s">
        <v>377</v>
      </c>
      <c r="GT2" t="s">
        <v>378</v>
      </c>
      <c r="GU2" t="s">
        <v>386</v>
      </c>
      <c r="GV2" t="s">
        <v>379</v>
      </c>
      <c r="GW2" t="s">
        <v>380</v>
      </c>
      <c r="GX2" t="s">
        <v>383</v>
      </c>
      <c r="GY2" t="s">
        <v>381</v>
      </c>
      <c r="GZ2" t="s">
        <v>517</v>
      </c>
      <c r="HA2" t="s">
        <v>390</v>
      </c>
      <c r="HB2" t="s">
        <v>392</v>
      </c>
      <c r="HC2" t="s">
        <v>397</v>
      </c>
      <c r="HG2" s="47" t="s">
        <v>399</v>
      </c>
      <c r="HH2" s="47"/>
      <c r="HI2" s="47"/>
      <c r="HJ2" s="47" t="s">
        <v>400</v>
      </c>
      <c r="HK2" s="47"/>
      <c r="HL2" s="47"/>
      <c r="HM2" s="47"/>
      <c r="HN2" s="47"/>
      <c r="HO2" s="47" t="s">
        <v>401</v>
      </c>
      <c r="HP2" s="47"/>
      <c r="HQ2" s="47"/>
      <c r="HS2" t="s">
        <v>372</v>
      </c>
      <c r="HT2" s="26" t="s">
        <v>373</v>
      </c>
      <c r="HU2" t="s">
        <v>374</v>
      </c>
      <c r="HV2" t="s">
        <v>375</v>
      </c>
      <c r="HW2" t="s">
        <v>376</v>
      </c>
      <c r="HX2" t="s">
        <v>377</v>
      </c>
      <c r="HY2" t="s">
        <v>378</v>
      </c>
      <c r="HZ2" t="s">
        <v>386</v>
      </c>
      <c r="IA2" t="s">
        <v>379</v>
      </c>
      <c r="IB2" t="s">
        <v>380</v>
      </c>
      <c r="IC2" t="s">
        <v>383</v>
      </c>
      <c r="ID2" t="s">
        <v>381</v>
      </c>
      <c r="IE2" t="s">
        <v>517</v>
      </c>
      <c r="IF2" t="s">
        <v>390</v>
      </c>
      <c r="IG2" t="s">
        <v>392</v>
      </c>
      <c r="IH2" t="s">
        <v>397</v>
      </c>
      <c r="IL2" s="47" t="s">
        <v>399</v>
      </c>
      <c r="IM2" s="47"/>
      <c r="IN2" s="47"/>
      <c r="IO2" s="47" t="s">
        <v>400</v>
      </c>
      <c r="IP2" s="47"/>
      <c r="IQ2" s="47"/>
      <c r="IR2" s="47"/>
      <c r="IS2" s="47"/>
      <c r="IT2" s="47" t="s">
        <v>401</v>
      </c>
      <c r="IU2" s="47"/>
      <c r="IV2" s="47"/>
    </row>
    <row r="3" spans="1:256" x14ac:dyDescent="0.25">
      <c r="A3" t="s">
        <v>315</v>
      </c>
      <c r="B3" t="s">
        <v>312</v>
      </c>
      <c r="C3" t="s">
        <v>313</v>
      </c>
      <c r="D3" t="s">
        <v>314</v>
      </c>
      <c r="F3" t="s">
        <v>398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516</v>
      </c>
      <c r="W3" t="s">
        <v>388</v>
      </c>
      <c r="X3" t="s">
        <v>391</v>
      </c>
      <c r="Y3" t="s">
        <v>394</v>
      </c>
      <c r="Z3" t="s">
        <v>395</v>
      </c>
      <c r="AA3" t="s">
        <v>396</v>
      </c>
      <c r="AC3" t="s">
        <v>398</v>
      </c>
      <c r="AD3" t="s">
        <v>333</v>
      </c>
      <c r="AE3" t="s">
        <v>332</v>
      </c>
      <c r="AF3" t="s">
        <v>466</v>
      </c>
      <c r="AG3" t="s">
        <v>467</v>
      </c>
      <c r="AH3" t="s">
        <v>370</v>
      </c>
      <c r="AI3" t="s">
        <v>468</v>
      </c>
      <c r="AJ3" t="s">
        <v>332</v>
      </c>
      <c r="AK3" t="s">
        <v>398</v>
      </c>
      <c r="AL3" t="s">
        <v>333</v>
      </c>
      <c r="AM3" t="s">
        <v>332</v>
      </c>
      <c r="AO3" t="s">
        <v>270</v>
      </c>
      <c r="AP3" t="s">
        <v>330</v>
      </c>
      <c r="AQ3" t="s">
        <v>331</v>
      </c>
      <c r="AR3" t="s">
        <v>333</v>
      </c>
      <c r="AS3" t="s">
        <v>370</v>
      </c>
      <c r="AT3" t="s">
        <v>368</v>
      </c>
      <c r="AU3" t="s">
        <v>369</v>
      </c>
      <c r="AV3" t="s">
        <v>385</v>
      </c>
      <c r="AW3" t="s">
        <v>332</v>
      </c>
      <c r="AX3" t="s">
        <v>367</v>
      </c>
      <c r="AY3" t="s">
        <v>382</v>
      </c>
      <c r="AZ3" t="s">
        <v>387</v>
      </c>
      <c r="BA3" t="s">
        <v>516</v>
      </c>
      <c r="BB3" t="s">
        <v>388</v>
      </c>
      <c r="BC3" t="s">
        <v>391</v>
      </c>
      <c r="BD3" t="s">
        <v>394</v>
      </c>
      <c r="BE3" t="s">
        <v>395</v>
      </c>
      <c r="BF3" t="s">
        <v>396</v>
      </c>
      <c r="BH3" t="s">
        <v>398</v>
      </c>
      <c r="BI3" t="s">
        <v>333</v>
      </c>
      <c r="BJ3" t="s">
        <v>332</v>
      </c>
      <c r="BK3" t="s">
        <v>466</v>
      </c>
      <c r="BL3" t="s">
        <v>467</v>
      </c>
      <c r="BM3" t="s">
        <v>370</v>
      </c>
      <c r="BN3" t="s">
        <v>468</v>
      </c>
      <c r="BO3" t="s">
        <v>332</v>
      </c>
      <c r="BP3" t="s">
        <v>398</v>
      </c>
      <c r="BQ3" t="s">
        <v>333</v>
      </c>
      <c r="BR3" t="s">
        <v>332</v>
      </c>
      <c r="BT3" t="s">
        <v>270</v>
      </c>
      <c r="BU3" t="s">
        <v>330</v>
      </c>
      <c r="BV3" t="s">
        <v>331</v>
      </c>
      <c r="BW3" t="s">
        <v>333</v>
      </c>
      <c r="BX3" t="s">
        <v>370</v>
      </c>
      <c r="BY3" t="s">
        <v>368</v>
      </c>
      <c r="BZ3" t="s">
        <v>369</v>
      </c>
      <c r="CA3" t="s">
        <v>385</v>
      </c>
      <c r="CB3" t="s">
        <v>332</v>
      </c>
      <c r="CC3" t="s">
        <v>367</v>
      </c>
      <c r="CD3" t="s">
        <v>382</v>
      </c>
      <c r="CE3" t="s">
        <v>387</v>
      </c>
      <c r="CF3" t="s">
        <v>516</v>
      </c>
      <c r="CG3" t="s">
        <v>388</v>
      </c>
      <c r="CH3" t="s">
        <v>391</v>
      </c>
      <c r="CI3" t="s">
        <v>394</v>
      </c>
      <c r="CJ3" t="s">
        <v>395</v>
      </c>
      <c r="CK3" t="s">
        <v>396</v>
      </c>
      <c r="CM3" t="s">
        <v>398</v>
      </c>
      <c r="CN3" t="s">
        <v>333</v>
      </c>
      <c r="CO3" t="s">
        <v>332</v>
      </c>
      <c r="CP3" t="s">
        <v>466</v>
      </c>
      <c r="CQ3" t="s">
        <v>467</v>
      </c>
      <c r="CR3" t="s">
        <v>370</v>
      </c>
      <c r="CS3" t="s">
        <v>468</v>
      </c>
      <c r="CT3" t="s">
        <v>332</v>
      </c>
      <c r="CU3" t="s">
        <v>398</v>
      </c>
      <c r="CV3" t="s">
        <v>333</v>
      </c>
      <c r="CW3" t="s">
        <v>332</v>
      </c>
      <c r="CY3" t="s">
        <v>270</v>
      </c>
      <c r="CZ3" t="s">
        <v>330</v>
      </c>
      <c r="DA3" t="s">
        <v>331</v>
      </c>
      <c r="DB3" t="s">
        <v>333</v>
      </c>
      <c r="DC3" t="s">
        <v>370</v>
      </c>
      <c r="DD3" t="s">
        <v>368</v>
      </c>
      <c r="DE3" t="s">
        <v>369</v>
      </c>
      <c r="DF3" t="s">
        <v>385</v>
      </c>
      <c r="DG3" t="s">
        <v>332</v>
      </c>
      <c r="DH3" t="s">
        <v>367</v>
      </c>
      <c r="DI3" t="s">
        <v>382</v>
      </c>
      <c r="DJ3" t="s">
        <v>387</v>
      </c>
      <c r="DK3" t="s">
        <v>516</v>
      </c>
      <c r="DL3" t="s">
        <v>388</v>
      </c>
      <c r="DM3" t="s">
        <v>391</v>
      </c>
      <c r="DN3" t="s">
        <v>394</v>
      </c>
      <c r="DO3" t="s">
        <v>395</v>
      </c>
      <c r="DP3" t="s">
        <v>396</v>
      </c>
      <c r="DR3" t="s">
        <v>398</v>
      </c>
      <c r="DS3" t="s">
        <v>333</v>
      </c>
      <c r="DT3" t="s">
        <v>332</v>
      </c>
      <c r="DU3" t="s">
        <v>466</v>
      </c>
      <c r="DV3" t="s">
        <v>467</v>
      </c>
      <c r="DW3" t="s">
        <v>370</v>
      </c>
      <c r="DX3" t="s">
        <v>468</v>
      </c>
      <c r="DY3" t="s">
        <v>332</v>
      </c>
      <c r="DZ3" t="s">
        <v>398</v>
      </c>
      <c r="EA3" t="s">
        <v>333</v>
      </c>
      <c r="EB3" t="s">
        <v>332</v>
      </c>
      <c r="ED3" t="s">
        <v>270</v>
      </c>
      <c r="EE3" t="s">
        <v>330</v>
      </c>
      <c r="EF3" t="s">
        <v>331</v>
      </c>
      <c r="EG3" t="s">
        <v>333</v>
      </c>
      <c r="EH3" t="s">
        <v>370</v>
      </c>
      <c r="EI3" t="s">
        <v>368</v>
      </c>
      <c r="EJ3" t="s">
        <v>369</v>
      </c>
      <c r="EK3" t="s">
        <v>385</v>
      </c>
      <c r="EL3" t="s">
        <v>332</v>
      </c>
      <c r="EM3" t="s">
        <v>367</v>
      </c>
      <c r="EN3" t="s">
        <v>382</v>
      </c>
      <c r="EO3" t="s">
        <v>387</v>
      </c>
      <c r="EP3" t="s">
        <v>516</v>
      </c>
      <c r="EQ3" t="s">
        <v>388</v>
      </c>
      <c r="ER3" t="s">
        <v>391</v>
      </c>
      <c r="ES3" t="s">
        <v>394</v>
      </c>
      <c r="ET3" t="s">
        <v>395</v>
      </c>
      <c r="EU3" t="s">
        <v>396</v>
      </c>
      <c r="EW3" t="s">
        <v>398</v>
      </c>
      <c r="EX3" t="s">
        <v>333</v>
      </c>
      <c r="EY3" t="s">
        <v>332</v>
      </c>
      <c r="EZ3" t="s">
        <v>466</v>
      </c>
      <c r="FA3" t="s">
        <v>467</v>
      </c>
      <c r="FB3" t="s">
        <v>370</v>
      </c>
      <c r="FC3" t="s">
        <v>468</v>
      </c>
      <c r="FD3" t="s">
        <v>332</v>
      </c>
      <c r="FE3" t="s">
        <v>398</v>
      </c>
      <c r="FF3" t="s">
        <v>333</v>
      </c>
      <c r="FG3" t="s">
        <v>332</v>
      </c>
      <c r="FI3" t="s">
        <v>270</v>
      </c>
      <c r="FJ3" t="s">
        <v>330</v>
      </c>
      <c r="FK3" t="s">
        <v>331</v>
      </c>
      <c r="FL3" t="s">
        <v>333</v>
      </c>
      <c r="FM3" t="s">
        <v>370</v>
      </c>
      <c r="FN3" t="s">
        <v>368</v>
      </c>
      <c r="FO3" t="s">
        <v>369</v>
      </c>
      <c r="FP3" t="s">
        <v>385</v>
      </c>
      <c r="FQ3" t="s">
        <v>332</v>
      </c>
      <c r="FR3" t="s">
        <v>367</v>
      </c>
      <c r="FS3" t="s">
        <v>382</v>
      </c>
      <c r="FT3" t="s">
        <v>387</v>
      </c>
      <c r="FU3" t="s">
        <v>516</v>
      </c>
      <c r="FV3" t="s">
        <v>388</v>
      </c>
      <c r="FW3" t="s">
        <v>391</v>
      </c>
      <c r="FX3" t="s">
        <v>394</v>
      </c>
      <c r="FY3" t="s">
        <v>395</v>
      </c>
      <c r="FZ3" t="s">
        <v>396</v>
      </c>
      <c r="GB3" t="s">
        <v>398</v>
      </c>
      <c r="GC3" t="s">
        <v>333</v>
      </c>
      <c r="GD3" t="s">
        <v>332</v>
      </c>
      <c r="GE3" t="s">
        <v>466</v>
      </c>
      <c r="GF3" t="s">
        <v>467</v>
      </c>
      <c r="GG3" t="s">
        <v>370</v>
      </c>
      <c r="GH3" t="s">
        <v>468</v>
      </c>
      <c r="GI3" t="s">
        <v>332</v>
      </c>
      <c r="GJ3" t="s">
        <v>398</v>
      </c>
      <c r="GK3" t="s">
        <v>333</v>
      </c>
      <c r="GL3" t="s">
        <v>332</v>
      </c>
      <c r="GN3" t="s">
        <v>270</v>
      </c>
      <c r="GO3" t="s">
        <v>330</v>
      </c>
      <c r="GP3" t="s">
        <v>331</v>
      </c>
      <c r="GQ3" t="s">
        <v>333</v>
      </c>
      <c r="GR3" t="s">
        <v>370</v>
      </c>
      <c r="GS3" t="s">
        <v>368</v>
      </c>
      <c r="GT3" t="s">
        <v>369</v>
      </c>
      <c r="GU3" t="s">
        <v>385</v>
      </c>
      <c r="GV3" t="s">
        <v>332</v>
      </c>
      <c r="GW3" t="s">
        <v>367</v>
      </c>
      <c r="GX3" t="s">
        <v>382</v>
      </c>
      <c r="GY3" t="s">
        <v>387</v>
      </c>
      <c r="GZ3" t="s">
        <v>516</v>
      </c>
      <c r="HA3" t="s">
        <v>388</v>
      </c>
      <c r="HB3" t="s">
        <v>391</v>
      </c>
      <c r="HC3" t="s">
        <v>394</v>
      </c>
      <c r="HD3" t="s">
        <v>395</v>
      </c>
      <c r="HE3" t="s">
        <v>396</v>
      </c>
      <c r="HG3" t="s">
        <v>398</v>
      </c>
      <c r="HH3" t="s">
        <v>333</v>
      </c>
      <c r="HI3" t="s">
        <v>332</v>
      </c>
      <c r="HJ3" t="s">
        <v>466</v>
      </c>
      <c r="HK3" t="s">
        <v>467</v>
      </c>
      <c r="HL3" t="s">
        <v>370</v>
      </c>
      <c r="HM3" t="s">
        <v>468</v>
      </c>
      <c r="HN3" t="s">
        <v>332</v>
      </c>
      <c r="HO3" t="s">
        <v>398</v>
      </c>
      <c r="HP3" t="s">
        <v>333</v>
      </c>
      <c r="HQ3" t="s">
        <v>332</v>
      </c>
      <c r="HS3" t="s">
        <v>270</v>
      </c>
      <c r="HT3" t="s">
        <v>330</v>
      </c>
      <c r="HU3" t="s">
        <v>331</v>
      </c>
      <c r="HV3" t="s">
        <v>333</v>
      </c>
      <c r="HW3" t="s">
        <v>370</v>
      </c>
      <c r="HX3" t="s">
        <v>368</v>
      </c>
      <c r="HY3" t="s">
        <v>369</v>
      </c>
      <c r="HZ3" t="s">
        <v>385</v>
      </c>
      <c r="IA3" t="s">
        <v>332</v>
      </c>
      <c r="IB3" t="s">
        <v>367</v>
      </c>
      <c r="IC3" t="s">
        <v>382</v>
      </c>
      <c r="ID3" t="s">
        <v>387</v>
      </c>
      <c r="IE3" t="s">
        <v>516</v>
      </c>
      <c r="IF3" t="s">
        <v>388</v>
      </c>
      <c r="IG3" t="s">
        <v>391</v>
      </c>
      <c r="IH3" t="s">
        <v>394</v>
      </c>
      <c r="II3" t="s">
        <v>395</v>
      </c>
      <c r="IJ3" t="s">
        <v>396</v>
      </c>
      <c r="IL3" t="s">
        <v>398</v>
      </c>
      <c r="IM3" t="s">
        <v>333</v>
      </c>
      <c r="IN3" t="s">
        <v>332</v>
      </c>
      <c r="IO3" t="s">
        <v>466</v>
      </c>
      <c r="IP3" t="s">
        <v>467</v>
      </c>
      <c r="IQ3" t="s">
        <v>370</v>
      </c>
      <c r="IR3" t="s">
        <v>468</v>
      </c>
      <c r="IS3" t="s">
        <v>332</v>
      </c>
      <c r="IT3" t="s">
        <v>398</v>
      </c>
      <c r="IU3" t="s">
        <v>333</v>
      </c>
      <c r="IV3" t="s">
        <v>332</v>
      </c>
    </row>
    <row r="4" spans="1:256" x14ac:dyDescent="0.25">
      <c r="A4" s="49" t="s">
        <v>316</v>
      </c>
      <c r="B4" t="s">
        <v>318</v>
      </c>
      <c r="C4" t="s">
        <v>319</v>
      </c>
      <c r="D4" t="s">
        <v>281</v>
      </c>
      <c r="F4" s="30">
        <v>320</v>
      </c>
      <c r="G4" s="38">
        <v>640</v>
      </c>
      <c r="H4" t="b">
        <v>1</v>
      </c>
      <c r="J4" s="50">
        <f>F4</f>
        <v>320</v>
      </c>
      <c r="K4" s="50">
        <f>GetTransactionTotal(AggregateTable2023[], AggregateTable2023[Start], J$1, AggregateTable2023[#Headers], $D4)</f>
        <v>-320</v>
      </c>
      <c r="L4" s="50">
        <f>Buckets_9_23[[#This Row],[Start]]+Buckets_9_23[[#This Row],[Transactions]]</f>
        <v>0</v>
      </c>
      <c r="M4" s="50">
        <f>G4</f>
        <v>640</v>
      </c>
      <c r="N4" s="50">
        <f>Buckets_9_23[[#This Row],[Capacity]]-Buckets_9_23[[#This Row],[After T]]</f>
        <v>640</v>
      </c>
      <c r="O4" s="50">
        <f>IF(Buckets_9_23[[#This Row],[After T]]&lt;0, Buckets_9_23[[#This Row],[After T]], IF(Buckets_9_23[[#This Row],[Cap Diff]]&lt;0, -Buckets_9_23[[#This Row],[Cap Diff]], 0))</f>
        <v>0</v>
      </c>
      <c r="P4" s="50">
        <f>Buckets_9_23[[#This Row],[After T]]-Buckets_9_23[[#This Row],[Slush]]</f>
        <v>0</v>
      </c>
      <c r="Q4" s="50">
        <f>Buckets_9_23[[#This Row],[Capacity]]-Buckets_9_23[[#This Row],[Before Fill]]</f>
        <v>640</v>
      </c>
      <c r="R4" s="31" t="b">
        <f t="shared" ref="R4:R35" si="0">H4</f>
        <v>1</v>
      </c>
      <c r="S4" s="50">
        <f>IF(Buckets_9_23[[#This Row],[Is Crit]], Buckets_9_23[[#This Row],[S Cap Diff]], 0)</f>
        <v>640</v>
      </c>
      <c r="T4" s="50">
        <f>Buckets_9_23[[#This Row],[Before Fill]]+Buckets_9_23[[#This Row],[Crit To Fill]]</f>
        <v>640</v>
      </c>
      <c r="U4" s="50">
        <f>IF(NOT(Buckets_9_23[[#This Row],[Is Crit]]), Buckets_9_23[[#This Row],[S Cap Diff]], 0)</f>
        <v>0</v>
      </c>
      <c r="V4" s="50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A4" s="51">
        <f>IF(Buckets_9_23[[#This Row],[Capacity]]=0, 1, Buckets_9_23[[#This Row],[Final]]/Buckets_9_23[[#This Row],[Capacity]])</f>
        <v>1</v>
      </c>
      <c r="AC4" s="31">
        <f>Buckets_9_23[[#This Row],[Final]]</f>
        <v>640</v>
      </c>
      <c r="AD4" s="31">
        <f>Buckets_9_23[[#This Row],[Capacity]]</f>
        <v>640</v>
      </c>
      <c r="AE4" t="b">
        <f>H4</f>
        <v>1</v>
      </c>
      <c r="AF4" s="43"/>
      <c r="AG4" s="42"/>
      <c r="AH4" s="43"/>
      <c r="AI4" s="42"/>
      <c r="AJ4" s="43"/>
      <c r="AK4" s="40">
        <f>IF(NOT(ISBLANK(AG4)), AG4,
IF(NOT(ISBLANK(AF4)), AC4+AF4,
AC4))</f>
        <v>640</v>
      </c>
      <c r="AL4" s="40">
        <f>IF(NOT(ISBLANK(AI4)), AI4,
IF(NOT(ISBLANK(AH4)), AD4+AH4,
AD4))</f>
        <v>640</v>
      </c>
      <c r="AM4" s="41" t="b">
        <f t="shared" ref="AM4:AM35" si="1">IF(ISBLANK(AJ4), AE4, AJ4)</f>
        <v>1</v>
      </c>
      <c r="AO4" s="29">
        <f>AK4</f>
        <v>640</v>
      </c>
      <c r="AP4" s="29">
        <f>GetTransactionTotal(AggregateTable2023[], AggregateTable2023[Start], AO$1, AggregateTable2023[#Headers], $D4)</f>
        <v>-320</v>
      </c>
      <c r="AQ4" s="29">
        <f>Buckets_10_23[[#This Row],[Start]]+Buckets_10_23[[#This Row],[Transactions]]</f>
        <v>320</v>
      </c>
      <c r="AR4" s="29">
        <f>AL4</f>
        <v>640</v>
      </c>
      <c r="AS4" s="29">
        <f>Buckets_10_23[[#This Row],[Capacity]]-Buckets_10_23[[#This Row],[After T]]</f>
        <v>320</v>
      </c>
      <c r="AT4" s="29">
        <f>MAX(-Buckets_10_23[[#This Row],[Cap Diff]], 0)</f>
        <v>0</v>
      </c>
      <c r="AU4" s="29">
        <f>Buckets_10_23[[#This Row],[After T]]-Buckets_10_23[[#This Row],[Slush]]</f>
        <v>320</v>
      </c>
      <c r="AV4" s="29">
        <f>Buckets_10_23[[#This Row],[Capacity]]-Buckets_10_23[[#This Row],[Before Fill]]</f>
        <v>320</v>
      </c>
      <c r="AW4" t="b">
        <f>OR(AM4, Buckets_10_23[[#This Row],[After T]]&lt;0)</f>
        <v>1</v>
      </c>
      <c r="AX4" s="29">
        <f>IF(Buckets_10_23[[#This Row],[Is Crit]], Buckets_10_23[[#This Row],[S Cap Diff]], 0)</f>
        <v>320</v>
      </c>
      <c r="AY4" s="29">
        <f>Buckets_10_23[[#This Row],[Before Fill]]+Buckets_10_23[[#This Row],[Crit To Fill]]</f>
        <v>640</v>
      </c>
      <c r="AZ4" s="29">
        <f>IF(NOT(Buckets_10_23[[#This Row],[Is Crit]]), Buckets_10_23[[#This Row],[S Cap Diff]], 0)</f>
        <v>0</v>
      </c>
      <c r="BA4" s="50">
        <f>ROUND(AY$41/Buckets_10_23[[#Totals],[NC To Fill]]*Buckets_10_23[[#This Row],[NC To Fill]], 2)</f>
        <v>0</v>
      </c>
      <c r="BB4" s="31">
        <f>Buckets_10_23[[#This Row],[Pre Scale]] + IF($D4="Unexpected Fund", AY20-Buckets_10_23[[#Totals],[Pre Scale]], 0)</f>
        <v>0</v>
      </c>
      <c r="BC4" s="31">
        <f>Buckets_10_23[[#This Row],[Crit Filled]]+Buckets_10_23[[#This Row],[Scaled]]</f>
        <v>640</v>
      </c>
      <c r="BD4" s="31">
        <f>Buckets_10_23[[#This Row],[NC Filled]]</f>
        <v>640</v>
      </c>
      <c r="BE4" s="31">
        <f>Buckets_10_23[[#This Row],[Capacity]]-Buckets_10_23[[#This Row],[Final]]</f>
        <v>0</v>
      </c>
      <c r="BF4" s="33">
        <f>IF(Buckets_10_23[[#This Row],[Capacity]]=0, 1, Buckets_10_23[[#This Row],[Final]]/Buckets_10_23[[#This Row],[Capacity]])</f>
        <v>1</v>
      </c>
      <c r="BH4" s="31">
        <f>Buckets_10_23[[#This Row],[Final]]</f>
        <v>640</v>
      </c>
      <c r="BI4" s="31">
        <f>Buckets_10_23[[#This Row],[Capacity]]</f>
        <v>640</v>
      </c>
      <c r="BJ4" t="b">
        <f>AM4</f>
        <v>1</v>
      </c>
      <c r="BK4" s="43"/>
      <c r="BL4" s="42"/>
      <c r="BM4" s="43"/>
      <c r="BN4" s="42"/>
      <c r="BO4" s="43"/>
      <c r="BP4" s="40">
        <f>IF(NOT(ISBLANK(BL4)), BL4,
IF(NOT(ISBLANK(BK4)), BH4+BK4,
BH4))</f>
        <v>640</v>
      </c>
      <c r="BQ4" s="40">
        <f>IF(NOT(ISBLANK(BN4)), BN4,
IF(NOT(ISBLANK(BM4)), BI4+BM4,
BI4))</f>
        <v>640</v>
      </c>
      <c r="BR4" s="41" t="b">
        <f t="shared" ref="BR4:BR35" si="2">IF(ISBLANK(BO4), BJ4, BO4)</f>
        <v>1</v>
      </c>
      <c r="BT4" s="29">
        <f>BP4</f>
        <v>640</v>
      </c>
      <c r="BU4" s="29">
        <f>GetTransactionTotal(AggregateTable2023[], AggregateTable2023[Start], BT$1, AggregateTable2023[#Headers], $D4)</f>
        <v>-320</v>
      </c>
      <c r="BV4" s="29">
        <f>Buckets_11_23[[#This Row],[Start]]+Buckets_11_23[[#This Row],[Transactions]]</f>
        <v>320</v>
      </c>
      <c r="BW4" s="29">
        <f>BQ4</f>
        <v>640</v>
      </c>
      <c r="BX4" s="29">
        <f>Buckets_11_23[[#This Row],[Capacity]]-Buckets_11_23[[#This Row],[After T]]</f>
        <v>320</v>
      </c>
      <c r="BY4" s="29">
        <f>MAX(-Buckets_11_23[[#This Row],[Cap Diff]], 0)</f>
        <v>0</v>
      </c>
      <c r="BZ4" s="29">
        <f>Buckets_11_23[[#This Row],[After T]]-Buckets_11_23[[#This Row],[Slush]]</f>
        <v>320</v>
      </c>
      <c r="CA4" s="29">
        <f>Buckets_11_23[[#This Row],[Capacity]]-Buckets_11_23[[#This Row],[Before Fill]]</f>
        <v>320</v>
      </c>
      <c r="CB4" t="b">
        <f>OR(BR4, Buckets_11_23[[#This Row],[After T]]&lt;0)</f>
        <v>1</v>
      </c>
      <c r="CC4" s="29">
        <f>IF(Buckets_11_23[[#This Row],[Is Crit]], Buckets_11_23[[#This Row],[S Cap Diff]], 0)</f>
        <v>320</v>
      </c>
      <c r="CD4" s="29">
        <f>Buckets_11_23[[#This Row],[Before Fill]]+Buckets_11_23[[#This Row],[Crit To Fill]]</f>
        <v>640</v>
      </c>
      <c r="CE4" s="29">
        <f>IF(NOT(Buckets_11_23[[#This Row],[Is Crit]]), Buckets_11_23[[#This Row],[S Cap Diff]], 0)</f>
        <v>0</v>
      </c>
      <c r="CF4" s="50">
        <f>ROUND(CD$41/Buckets_11_23[[#Totals],[NC To Fill]]*Buckets_11_23[[#This Row],[NC To Fill]], 2)</f>
        <v>0</v>
      </c>
      <c r="CG4" s="31">
        <f>Buckets_11_23[[#This Row],[Pre Scale]] + IF($D4="Unexpected Fund", CD20-Buckets_11_23[[#Totals],[Pre Scale]], 0)</f>
        <v>0</v>
      </c>
      <c r="CH4" s="31">
        <f>Buckets_11_23[[#This Row],[Crit Filled]]+Buckets_11_23[[#This Row],[Scaled]]</f>
        <v>640</v>
      </c>
      <c r="CI4" s="31">
        <f>Buckets_11_23[[#This Row],[NC Filled]]</f>
        <v>640</v>
      </c>
      <c r="CJ4" s="31">
        <f>Buckets_11_23[[#This Row],[Capacity]]-Buckets_11_23[[#This Row],[Final]]</f>
        <v>0</v>
      </c>
      <c r="CK4" s="33">
        <f>IF(Buckets_11_23[[#This Row],[Capacity]]=0, 1, Buckets_11_23[[#This Row],[Final]]/Buckets_11_23[[#This Row],[Capacity]])</f>
        <v>1</v>
      </c>
      <c r="CM4" s="40">
        <f>Buckets_11_23[[#This Row],[Final]]</f>
        <v>640</v>
      </c>
      <c r="CN4" s="40">
        <f>Buckets_11_23[[#This Row],[Capacity]]</f>
        <v>640</v>
      </c>
      <c r="CO4" s="41" t="b">
        <f>BR4</f>
        <v>1</v>
      </c>
      <c r="CP4" s="42"/>
      <c r="CQ4" s="42"/>
      <c r="CR4" s="42"/>
      <c r="CS4" s="42"/>
      <c r="CT4" s="43"/>
      <c r="CU4" s="40">
        <f>IF(NOT(ISBLANK(CQ4)), CQ4,
IF(NOT(ISBLANK(CP4)), CM4+CP4,
CM4))</f>
        <v>640</v>
      </c>
      <c r="CV4" s="40">
        <f>IF(NOT(ISBLANK(CS4)), CS4,
IF(NOT(ISBLANK(CR4)), CN4+CR4,
CN4))</f>
        <v>640</v>
      </c>
      <c r="CW4" s="41" t="b">
        <f t="shared" ref="CW4:CW35" si="3">IF(ISBLANK(CT4), CO4, CT4)</f>
        <v>1</v>
      </c>
      <c r="CY4" s="29">
        <f>CU4</f>
        <v>640</v>
      </c>
      <c r="CZ4" s="29">
        <f>GetTransactionTotal(AggregateTable2023[], AggregateTable2023[Start], CY$1, AggregateTable2023[#Headers], $D4)</f>
        <v>-320</v>
      </c>
      <c r="DA4" s="29">
        <f>Buckets_12_23[[#This Row],[Start]]+Buckets_12_23[[#This Row],[Transactions]]</f>
        <v>320</v>
      </c>
      <c r="DB4" s="29">
        <f>CV4</f>
        <v>640</v>
      </c>
      <c r="DC4" s="29">
        <f>Buckets_12_23[[#This Row],[Capacity]]-Buckets_12_23[[#This Row],[After T]]</f>
        <v>320</v>
      </c>
      <c r="DD4" s="29">
        <f>MAX(-Buckets_12_23[[#This Row],[Cap Diff]], 0)</f>
        <v>0</v>
      </c>
      <c r="DE4" s="29">
        <f>Buckets_12_23[[#This Row],[After T]]-Buckets_12_23[[#This Row],[Slush]]</f>
        <v>320</v>
      </c>
      <c r="DF4" s="29">
        <f>Buckets_12_23[[#This Row],[Capacity]]-Buckets_12_23[[#This Row],[Before Fill]]</f>
        <v>320</v>
      </c>
      <c r="DG4" t="b">
        <f>OR(CW4, Buckets_12_23[[#This Row],[After T]]&lt;0)</f>
        <v>1</v>
      </c>
      <c r="DH4" s="29">
        <f>IF(Buckets_12_23[[#This Row],[Is Crit]], Buckets_12_23[[#This Row],[S Cap Diff]], 0)</f>
        <v>320</v>
      </c>
      <c r="DI4" s="29">
        <f>Buckets_12_23[[#This Row],[Before Fill]]+Buckets_12_23[[#This Row],[Crit To Fill]]</f>
        <v>640</v>
      </c>
      <c r="DJ4" s="29">
        <f>IF(NOT(Buckets_12_23[[#This Row],[Is Crit]]), Buckets_12_23[[#This Row],[S Cap Diff]], 0)</f>
        <v>0</v>
      </c>
      <c r="DK4" s="50">
        <f>ROUND(DI$41/Buckets_12_23[[#Totals],[NC To Fill]]*Buckets_12_23[[#This Row],[NC To Fill]], 2)</f>
        <v>0</v>
      </c>
      <c r="DL4" s="31">
        <f>Buckets_12_23[[#This Row],[Pre Scale]] + IF($D4="Unexpected Fund", DI20-Buckets_12_23[[#Totals],[Pre Scale]], 0)</f>
        <v>0</v>
      </c>
      <c r="DM4" s="31">
        <f>Buckets_12_23[[#This Row],[Crit Filled]]+Buckets_12_23[[#This Row],[Scaled]]</f>
        <v>640</v>
      </c>
      <c r="DN4" s="31">
        <f>Buckets_12_23[[#This Row],[NC Filled]]</f>
        <v>640</v>
      </c>
      <c r="DO4" s="31">
        <f>Buckets_12_23[[#This Row],[Capacity]]-Buckets_12_23[[#This Row],[Final]]</f>
        <v>0</v>
      </c>
      <c r="DP4" s="33">
        <f>IF(Buckets_12_23[[#This Row],[Capacity]]=0, 1, Buckets_12_23[[#This Row],[Final]]/Buckets_12_23[[#This Row],[Capacity]])</f>
        <v>1</v>
      </c>
      <c r="DR4" s="40">
        <f>Buckets_12_23[[#This Row],[Final]]</f>
        <v>640</v>
      </c>
      <c r="DS4" s="40">
        <f>Buckets_12_23[[#This Row],[Capacity]]</f>
        <v>640</v>
      </c>
      <c r="DT4" s="41" t="b">
        <f>CW4</f>
        <v>1</v>
      </c>
      <c r="DU4" s="42"/>
      <c r="DV4" s="42"/>
      <c r="DW4" s="42"/>
      <c r="DX4" s="42"/>
      <c r="DY4" s="43"/>
      <c r="DZ4" s="40">
        <f>IF(NOT(ISBLANK(DV4)), DV4,
IF(NOT(ISBLANK(DU4)), DR4+DU4,
DR4))</f>
        <v>640</v>
      </c>
      <c r="EA4" s="40">
        <f>IF(NOT(ISBLANK(DX4)), DX4,
IF(NOT(ISBLANK(DW4)), DS4+DW4,
DS4))</f>
        <v>640</v>
      </c>
      <c r="EB4" s="41" t="b">
        <f t="shared" ref="EB4:EB35" si="4">IF(ISBLANK(DY4), DT4, DY4)</f>
        <v>1</v>
      </c>
      <c r="ED4" s="29">
        <f>DZ4</f>
        <v>640</v>
      </c>
      <c r="EE4" s="29">
        <f>GetTransactionTotal(AggregateTable2024[], AggregateTable2024[Start], ED$1, AggregateTable2024[#Headers], $D4)</f>
        <v>-320</v>
      </c>
      <c r="EF4" s="29">
        <f>Buckets_1_24[[#This Row],[Start]]+Buckets_1_24[[#This Row],[Transactions]]</f>
        <v>320</v>
      </c>
      <c r="EG4" s="29">
        <f>EA4</f>
        <v>640</v>
      </c>
      <c r="EH4" s="29">
        <f>Buckets_1_24[[#This Row],[Capacity]]-Buckets_1_24[[#This Row],[After T]]</f>
        <v>320</v>
      </c>
      <c r="EI4" s="29">
        <f>MAX(-Buckets_1_24[[#This Row],[Cap Diff]], 0)</f>
        <v>0</v>
      </c>
      <c r="EJ4" s="29">
        <f>Buckets_1_24[[#This Row],[After T]]-Buckets_1_24[[#This Row],[Slush]]</f>
        <v>320</v>
      </c>
      <c r="EK4" s="29">
        <f>Buckets_1_24[[#This Row],[Capacity]]-Buckets_1_24[[#This Row],[Before Fill]]</f>
        <v>320</v>
      </c>
      <c r="EL4" t="b">
        <f>OR(EB4, Buckets_1_24[[#This Row],[After T]]&lt;0)</f>
        <v>1</v>
      </c>
      <c r="EM4" s="29">
        <f>IF(Buckets_1_24[[#This Row],[Is Crit]], Buckets_1_24[[#This Row],[S Cap Diff]], 0)</f>
        <v>320</v>
      </c>
      <c r="EN4" s="29">
        <f>Buckets_1_24[[#This Row],[Before Fill]]+Buckets_1_24[[#This Row],[Crit To Fill]]</f>
        <v>640</v>
      </c>
      <c r="EO4" s="29">
        <f>IF(NOT(Buckets_1_24[[#This Row],[Is Crit]]), Buckets_1_24[[#This Row],[S Cap Diff]], 0)</f>
        <v>0</v>
      </c>
      <c r="EP4" s="50">
        <f>ROUND(EN$41/Buckets_1_24[[#Totals],[NC To Fill]]*Buckets_1_24[[#This Row],[NC To Fill]], 2)</f>
        <v>0</v>
      </c>
      <c r="EQ4" s="31">
        <f>Buckets_1_24[[#This Row],[Pre Scale]] + IF($D4="Unexpected Fund", EN20-Buckets_1_24[[#Totals],[Pre Scale]], 0)</f>
        <v>0</v>
      </c>
      <c r="ER4" s="31">
        <f>Buckets_1_24[[#This Row],[Crit Filled]]+Buckets_1_24[[#This Row],[Scaled]]</f>
        <v>640</v>
      </c>
      <c r="ES4" s="31">
        <f>Buckets_1_24[[#This Row],[NC Filled]]</f>
        <v>640</v>
      </c>
      <c r="ET4" s="31">
        <f>Buckets_1_24[[#This Row],[Capacity]]-Buckets_1_24[[#This Row],[Final]]</f>
        <v>0</v>
      </c>
      <c r="EU4" s="33">
        <f>IF(Buckets_1_24[[#This Row],[Capacity]]=0, 1, Buckets_1_24[[#This Row],[Final]]/Buckets_1_24[[#This Row],[Capacity]])</f>
        <v>1</v>
      </c>
      <c r="EW4" s="40">
        <f>Buckets_1_24[[#This Row],[Final]]</f>
        <v>640</v>
      </c>
      <c r="EX4" s="40">
        <f>Buckets_1_24[[#This Row],[Capacity]]</f>
        <v>640</v>
      </c>
      <c r="EY4" s="41" t="b">
        <f>EB4</f>
        <v>1</v>
      </c>
      <c r="EZ4" s="42"/>
      <c r="FA4" s="42"/>
      <c r="FB4" s="42"/>
      <c r="FC4" s="42">
        <v>0</v>
      </c>
      <c r="FD4" s="43"/>
      <c r="FE4" s="40">
        <f>IF(NOT(ISBLANK(FA4)), FA4,
IF(NOT(ISBLANK(EZ4)), EW4+EZ4,
EW4))</f>
        <v>640</v>
      </c>
      <c r="FF4" s="40">
        <f>IF(NOT(ISBLANK(FC4)), FC4,
IF(NOT(ISBLANK(FB4)), EX4+FB4,
EX4))</f>
        <v>0</v>
      </c>
      <c r="FG4" s="41" t="b">
        <f t="shared" ref="FG4:FG35" si="5">IF(ISBLANK(FD4), EY4, FD4)</f>
        <v>1</v>
      </c>
      <c r="FI4" s="29">
        <f>FE4</f>
        <v>640</v>
      </c>
      <c r="FJ4" s="29">
        <f>GetTransactionTotal(AggregateTable2024[], AggregateTable2024[Start], FI$1, AggregateTable2024[#Headers], $D4)</f>
        <v>0</v>
      </c>
      <c r="FK4" s="29">
        <f>Buckets_2_24[[#This Row],[Start]]+Buckets_2_24[[#This Row],[Transactions]]</f>
        <v>640</v>
      </c>
      <c r="FL4" s="29">
        <f>FF4</f>
        <v>0</v>
      </c>
      <c r="FM4" s="29">
        <f>Buckets_2_24[[#This Row],[Capacity]]-Buckets_2_24[[#This Row],[After T]]</f>
        <v>-640</v>
      </c>
      <c r="FN4" s="29">
        <f>MAX(-Buckets_2_24[[#This Row],[Cap Diff]], 0)</f>
        <v>640</v>
      </c>
      <c r="FO4" s="29">
        <f>Buckets_2_24[[#This Row],[After T]]-Buckets_2_24[[#This Row],[Slush]]</f>
        <v>0</v>
      </c>
      <c r="FP4" s="29">
        <f>Buckets_2_24[[#This Row],[Capacity]]-Buckets_2_24[[#This Row],[Before Fill]]</f>
        <v>0</v>
      </c>
      <c r="FQ4" t="b">
        <f>OR(FG4, Buckets_2_24[[#This Row],[After T]]&lt;0)</f>
        <v>1</v>
      </c>
      <c r="FR4" s="29">
        <f>IF(Buckets_2_24[[#This Row],[Is Crit]], Buckets_2_24[[#This Row],[S Cap Diff]], 0)</f>
        <v>0</v>
      </c>
      <c r="FS4" s="29">
        <f>Buckets_2_24[[#This Row],[Before Fill]]+Buckets_2_24[[#This Row],[Crit To Fill]]</f>
        <v>0</v>
      </c>
      <c r="FT4" s="29">
        <f>IF(NOT(Buckets_2_24[[#This Row],[Is Crit]]), Buckets_2_24[[#This Row],[S Cap Diff]], 0)</f>
        <v>0</v>
      </c>
      <c r="FU4" s="50">
        <f>ROUND(FS$41/Buckets_2_24[[#Totals],[NC To Fill]]*Buckets_2_24[[#This Row],[NC To Fill]], 2)</f>
        <v>0</v>
      </c>
      <c r="FV4" s="31">
        <f>Buckets_2_24[[#This Row],[Pre Scale]] + IF($D4="Unexpected Fund", FS20-Buckets_2_24[[#Totals],[Pre Scale]], 0)</f>
        <v>0</v>
      </c>
      <c r="FW4" s="31">
        <f>Buckets_2_24[[#This Row],[Crit Filled]]+Buckets_2_24[[#This Row],[Scaled]]</f>
        <v>0</v>
      </c>
      <c r="FX4" s="31">
        <f>Buckets_2_24[[#This Row],[NC Filled]]</f>
        <v>0</v>
      </c>
      <c r="FY4" s="31">
        <f>Buckets_2_24[[#This Row],[Capacity]]-Buckets_2_24[[#This Row],[Final]]</f>
        <v>0</v>
      </c>
      <c r="FZ4" s="33">
        <f>IF(Buckets_2_24[[#This Row],[Capacity]]=0, 1, Buckets_2_24[[#This Row],[Final]]/Buckets_2_24[[#This Row],[Capacity]])</f>
        <v>1</v>
      </c>
      <c r="GB4" s="40">
        <f>Buckets_2_24[[#This Row],[Final]]</f>
        <v>0</v>
      </c>
      <c r="GC4" s="40">
        <f>Buckets_2_24[[#This Row],[Capacity]]</f>
        <v>0</v>
      </c>
      <c r="GD4" s="41" t="b">
        <f>FG4</f>
        <v>1</v>
      </c>
      <c r="GE4" s="42"/>
      <c r="GF4" s="42"/>
      <c r="GG4" s="42"/>
      <c r="GH4" s="42"/>
      <c r="GI4" s="43"/>
      <c r="GJ4" s="40">
        <f>IF(NOT(ISBLANK(GF4)), GF4,
IF(NOT(ISBLANK(GE4)), GB4+GE4,
GB4))</f>
        <v>0</v>
      </c>
      <c r="GK4" s="40">
        <f>IF(NOT(ISBLANK(GH4)), GH4,
IF(NOT(ISBLANK(GG4)), GC4+GG4,
GC4))</f>
        <v>0</v>
      </c>
      <c r="GL4" s="41" t="b">
        <f t="shared" ref="GL4:GL35" si="6">IF(ISBLANK(GI4), GD4, GI4)</f>
        <v>1</v>
      </c>
      <c r="GN4" s="29">
        <f>GJ4</f>
        <v>0</v>
      </c>
      <c r="GO4" s="29">
        <f>GetTransactionTotal(AggregateTable2024[], AggregateTable2024[Start], GN$1, AggregateTable2024[#Headers], $D4)</f>
        <v>0</v>
      </c>
      <c r="GP4" s="29">
        <f>Buckets_3_24[[#This Row],[Start]]+Buckets_3_24[[#This Row],[Transactions]]</f>
        <v>0</v>
      </c>
      <c r="GQ4" s="29">
        <f>GK4</f>
        <v>0</v>
      </c>
      <c r="GR4" s="29">
        <f>Buckets_3_24[[#This Row],[Capacity]]-Buckets_3_24[[#This Row],[After T]]</f>
        <v>0</v>
      </c>
      <c r="GS4" s="29">
        <f>MAX(-Buckets_3_24[[#This Row],[Cap Diff]], 0)</f>
        <v>0</v>
      </c>
      <c r="GT4" s="29">
        <f>Buckets_3_24[[#This Row],[After T]]-Buckets_3_24[[#This Row],[Slush]]</f>
        <v>0</v>
      </c>
      <c r="GU4" s="29">
        <f>Buckets_3_24[[#This Row],[Capacity]]-Buckets_3_24[[#This Row],[Before Fill]]</f>
        <v>0</v>
      </c>
      <c r="GV4" t="b">
        <f>OR(GL4, Buckets_3_24[[#This Row],[After T]]&lt;0)</f>
        <v>1</v>
      </c>
      <c r="GW4" s="29">
        <f>IF(Buckets_3_24[[#This Row],[Is Crit]], Buckets_3_24[[#This Row],[S Cap Diff]], 0)</f>
        <v>0</v>
      </c>
      <c r="GX4" s="29">
        <f>Buckets_3_24[[#This Row],[Before Fill]]+Buckets_3_24[[#This Row],[Crit To Fill]]</f>
        <v>0</v>
      </c>
      <c r="GY4" s="29">
        <f>IF(NOT(Buckets_3_24[[#This Row],[Is Crit]]), Buckets_3_24[[#This Row],[S Cap Diff]], 0)</f>
        <v>0</v>
      </c>
      <c r="GZ4" s="50">
        <f>ROUND(GX$41/Buckets_3_24[[#Totals],[NC To Fill]]*Buckets_3_24[[#This Row],[NC To Fill]], 2)</f>
        <v>0</v>
      </c>
      <c r="HA4" s="31">
        <f>Buckets_3_24[[#This Row],[Pre Scale]] + IF($D4="Unexpected Fund", GX20-Buckets_3_24[[#Totals],[Pre Scale]], 0)</f>
        <v>0</v>
      </c>
      <c r="HB4" s="31">
        <f>Buckets_3_24[[#This Row],[Crit Filled]]+Buckets_3_24[[#This Row],[Scaled]]</f>
        <v>0</v>
      </c>
      <c r="HC4" s="31">
        <f>Buckets_3_24[[#This Row],[NC Filled]]</f>
        <v>0</v>
      </c>
      <c r="HD4" s="31">
        <f>Buckets_3_24[[#This Row],[Capacity]]-Buckets_3_24[[#This Row],[Final]]</f>
        <v>0</v>
      </c>
      <c r="HE4" s="33">
        <f>IF(Buckets_3_24[[#This Row],[Capacity]]=0, 1, Buckets_3_24[[#This Row],[Final]]/Buckets_3_24[[#This Row],[Capacity]])</f>
        <v>1</v>
      </c>
      <c r="HG4" s="40">
        <f>Buckets_3_24[[#This Row],[Final]]</f>
        <v>0</v>
      </c>
      <c r="HH4" s="40">
        <f>Buckets_3_24[[#This Row],[Capacity]]</f>
        <v>0</v>
      </c>
      <c r="HI4" s="41" t="b">
        <f>GL4</f>
        <v>1</v>
      </c>
      <c r="HJ4" s="42"/>
      <c r="HK4" s="42"/>
      <c r="HL4" s="42"/>
      <c r="HM4" s="42"/>
      <c r="HN4" s="43"/>
      <c r="HO4" s="40">
        <f>IF(NOT(ISBLANK(HK4)), HK4,
IF(NOT(ISBLANK(HJ4)), HG4+HJ4,
HG4))</f>
        <v>0</v>
      </c>
      <c r="HP4" s="40">
        <f>IF(NOT(ISBLANK(HM4)), HM4,
IF(NOT(ISBLANK(HL4)), HH4+HL4,
HH4))</f>
        <v>0</v>
      </c>
      <c r="HQ4" s="41" t="b">
        <f t="shared" ref="HQ4:HQ35" si="7">IF(ISBLANK(HN4), HI4, HN4)</f>
        <v>1</v>
      </c>
      <c r="HS4" s="29">
        <f>HO4</f>
        <v>0</v>
      </c>
      <c r="HT4" s="29">
        <f>GetTransactionTotal(AggregateTable2024[], AggregateTable2024[Start], HS$1, AggregateTable2024[#Headers], $D4)</f>
        <v>0</v>
      </c>
      <c r="HU4" s="29">
        <f>Buckets_4_24[[#This Row],[Start]]+Buckets_4_24[[#This Row],[Transactions]]</f>
        <v>0</v>
      </c>
      <c r="HV4" s="29">
        <f>HP4</f>
        <v>0</v>
      </c>
      <c r="HW4" s="29">
        <f>Buckets_4_24[[#This Row],[Capacity]]-Buckets_4_24[[#This Row],[After T]]</f>
        <v>0</v>
      </c>
      <c r="HX4" s="29">
        <f>MAX(-Buckets_4_24[[#This Row],[Cap Diff]], 0)</f>
        <v>0</v>
      </c>
      <c r="HY4" s="29">
        <f>Buckets_4_24[[#This Row],[After T]]-Buckets_4_24[[#This Row],[Slush]]</f>
        <v>0</v>
      </c>
      <c r="HZ4" s="29">
        <f>Buckets_4_24[[#This Row],[Capacity]]-Buckets_4_24[[#This Row],[Before Fill]]</f>
        <v>0</v>
      </c>
      <c r="IA4" t="b">
        <f>OR(HQ4, Buckets_4_24[[#This Row],[After T]]&lt;0)</f>
        <v>1</v>
      </c>
      <c r="IB4" s="29">
        <f>IF(Buckets_4_24[[#This Row],[Is Crit]], Buckets_4_24[[#This Row],[S Cap Diff]], 0)</f>
        <v>0</v>
      </c>
      <c r="IC4" s="29">
        <f>Buckets_4_24[[#This Row],[Before Fill]]+Buckets_4_24[[#This Row],[Crit To Fill]]</f>
        <v>0</v>
      </c>
      <c r="ID4" s="29">
        <f>IF(NOT(Buckets_4_24[[#This Row],[Is Crit]]), Buckets_4_24[[#This Row],[S Cap Diff]], 0)</f>
        <v>0</v>
      </c>
      <c r="IE4" s="50">
        <f>ROUND(IC$41/Buckets_4_24[[#Totals],[NC To Fill]]*Buckets_4_24[[#This Row],[NC To Fill]], 2)</f>
        <v>0</v>
      </c>
      <c r="IF4" s="31">
        <f>Buckets_4_24[[#This Row],[Pre Scale]] + IF($D4="Unexpected Fund", IC20-Buckets_4_24[[#Totals],[Pre Scale]], 0)</f>
        <v>0</v>
      </c>
      <c r="IG4" s="31">
        <f>Buckets_4_24[[#This Row],[Crit Filled]]+Buckets_4_24[[#This Row],[Scaled]]</f>
        <v>0</v>
      </c>
      <c r="IH4" s="31">
        <f>Buckets_4_24[[#This Row],[NC Filled]]</f>
        <v>0</v>
      </c>
      <c r="II4" s="31">
        <f>Buckets_4_24[[#This Row],[Capacity]]-Buckets_4_24[[#This Row],[Final]]</f>
        <v>0</v>
      </c>
      <c r="IJ4" s="33">
        <f>IF(Buckets_4_24[[#This Row],[Capacity]]=0, 1, Buckets_4_24[[#This Row],[Final]]/Buckets_4_24[[#This Row],[Capacity]])</f>
        <v>1</v>
      </c>
      <c r="IL4" s="40">
        <f>Buckets_4_24[[#This Row],[Final]]</f>
        <v>0</v>
      </c>
      <c r="IM4" s="40">
        <f>Buckets_4_24[[#This Row],[Capacity]]</f>
        <v>0</v>
      </c>
      <c r="IN4" s="41" t="b">
        <f>HQ4</f>
        <v>1</v>
      </c>
      <c r="IO4" s="42"/>
      <c r="IP4" s="42"/>
      <c r="IQ4" s="42"/>
      <c r="IR4" s="42"/>
      <c r="IS4" s="43"/>
      <c r="IT4" s="40">
        <f>IF(NOT(ISBLANK(IP4)), IP4,
IF(NOT(ISBLANK(IO4)), IL4+IO4,
IL4))</f>
        <v>0</v>
      </c>
      <c r="IU4" s="40">
        <f>IF(NOT(ISBLANK(IR4)), IR4,
IF(NOT(ISBLANK(IQ4)), IM4+IQ4,
IM4))</f>
        <v>0</v>
      </c>
      <c r="IV4" s="41" t="b">
        <f t="shared" ref="IV4:IV35" si="8">IF(ISBLANK(IS4), IN4, IS4)</f>
        <v>1</v>
      </c>
    </row>
    <row r="5" spans="1:256" x14ac:dyDescent="0.25">
      <c r="A5" s="49"/>
      <c r="B5" t="s">
        <v>318</v>
      </c>
      <c r="C5" t="s">
        <v>320</v>
      </c>
      <c r="D5" t="s">
        <v>282</v>
      </c>
      <c r="F5" s="30">
        <v>150</v>
      </c>
      <c r="G5" s="38">
        <v>400</v>
      </c>
      <c r="H5" t="b">
        <v>1</v>
      </c>
      <c r="J5" s="50">
        <f t="shared" ref="J5:J35" si="9">F5</f>
        <v>150</v>
      </c>
      <c r="K5" s="50">
        <f>GetTransactionTotal(AggregateTable2023[], AggregateTable2023[Start], J$1, AggregateTable2023[#Headers], $D5)</f>
        <v>-145.84</v>
      </c>
      <c r="L5" s="50">
        <f>Buckets_9_23[[#This Row],[Start]]+Buckets_9_23[[#This Row],[Transactions]]</f>
        <v>4.1599999999999966</v>
      </c>
      <c r="M5" s="50">
        <f t="shared" ref="M5:M35" si="10">G5</f>
        <v>400</v>
      </c>
      <c r="N5" s="50">
        <f>Buckets_9_23[[#This Row],[Capacity]]-Buckets_9_23[[#This Row],[After T]]</f>
        <v>395.84000000000003</v>
      </c>
      <c r="O5" s="50">
        <f>IF(Buckets_9_23[[#This Row],[After T]]&lt;0, Buckets_9_23[[#This Row],[After T]], IF(Buckets_9_23[[#This Row],[Cap Diff]]&lt;0, -Buckets_9_23[[#This Row],[Cap Diff]], 0))</f>
        <v>0</v>
      </c>
      <c r="P5" s="50">
        <f>Buckets_9_23[[#This Row],[After T]]-Buckets_9_23[[#This Row],[Slush]]</f>
        <v>4.1599999999999966</v>
      </c>
      <c r="Q5" s="50">
        <f>Buckets_9_23[[#This Row],[Capacity]]-Buckets_9_23[[#This Row],[Before Fill]]</f>
        <v>395.84000000000003</v>
      </c>
      <c r="R5" s="31" t="b">
        <f t="shared" si="0"/>
        <v>1</v>
      </c>
      <c r="S5" s="50">
        <f>IF(Buckets_9_23[[#This Row],[Is Crit]], Buckets_9_23[[#This Row],[S Cap Diff]], 0)</f>
        <v>395.84000000000003</v>
      </c>
      <c r="T5" s="50">
        <f>Buckets_9_23[[#This Row],[Before Fill]]+Buckets_9_23[[#This Row],[Crit To Fill]]</f>
        <v>400</v>
      </c>
      <c r="U5" s="50">
        <f>IF(NOT(Buckets_9_23[[#This Row],[Is Crit]]), Buckets_9_23[[#This Row],[S Cap Diff]], 0)</f>
        <v>0</v>
      </c>
      <c r="V5" s="50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A5" s="51">
        <f>IF(Buckets_9_23[[#This Row],[Capacity]]=0, 1, Buckets_9_23[[#This Row],[Final]]/Buckets_9_23[[#This Row],[Capacity]])</f>
        <v>1</v>
      </c>
      <c r="AC5" s="31">
        <f>Buckets_9_23[[#This Row],[Final]]</f>
        <v>400</v>
      </c>
      <c r="AD5" s="31">
        <f>Buckets_9_23[[#This Row],[Capacity]]</f>
        <v>400</v>
      </c>
      <c r="AE5" t="b">
        <f>H5</f>
        <v>1</v>
      </c>
      <c r="AF5" s="43"/>
      <c r="AG5" s="42"/>
      <c r="AH5" s="43"/>
      <c r="AI5" s="42"/>
      <c r="AJ5" s="43"/>
      <c r="AK5" s="40">
        <f t="shared" ref="AK5:AK35" si="11">IF(NOT(ISBLANK(AG5)), AG5,
IF(NOT(ISBLANK(AF5)), AC5+AF5,
AC5))</f>
        <v>400</v>
      </c>
      <c r="AL5" s="40">
        <f t="shared" ref="AL5:AL35" si="12">IF(NOT(ISBLANK(AI5)), AI5,
IF(NOT(ISBLANK(AH5)), AD5+AH5,
AD5))</f>
        <v>400</v>
      </c>
      <c r="AM5" s="41" t="b">
        <f t="shared" si="1"/>
        <v>1</v>
      </c>
      <c r="AO5" s="29">
        <f t="shared" ref="AO5:AO35" si="13">AK5</f>
        <v>400</v>
      </c>
      <c r="AP5" s="29">
        <f>GetTransactionTotal(AggregateTable2023[], AggregateTable2023[Start], AO$1, AggregateTable2023[#Headers], $D5)</f>
        <v>-136.07</v>
      </c>
      <c r="AQ5" s="29">
        <f>Buckets_10_23[[#This Row],[Start]]+Buckets_10_23[[#This Row],[Transactions]]</f>
        <v>263.93</v>
      </c>
      <c r="AR5" s="29">
        <f t="shared" ref="AR5:AR35" si="14">AL5</f>
        <v>400</v>
      </c>
      <c r="AS5" s="29">
        <f>Buckets_10_23[[#This Row],[Capacity]]-Buckets_10_23[[#This Row],[After T]]</f>
        <v>136.07</v>
      </c>
      <c r="AT5" s="29">
        <f>MAX(-Buckets_10_23[[#This Row],[Cap Diff]], 0)</f>
        <v>0</v>
      </c>
      <c r="AU5" s="29">
        <f>Buckets_10_23[[#This Row],[After T]]-Buckets_10_23[[#This Row],[Slush]]</f>
        <v>263.93</v>
      </c>
      <c r="AV5" s="29">
        <f>Buckets_10_23[[#This Row],[Capacity]]-Buckets_10_23[[#This Row],[Before Fill]]</f>
        <v>136.07</v>
      </c>
      <c r="AW5" t="b">
        <f>OR(AM5, Buckets_10_23[[#This Row],[After T]]&lt;0)</f>
        <v>1</v>
      </c>
      <c r="AX5" s="29">
        <f>IF(Buckets_10_23[[#This Row],[Is Crit]], Buckets_10_23[[#This Row],[S Cap Diff]], 0)</f>
        <v>136.07</v>
      </c>
      <c r="AY5" s="29">
        <f>Buckets_10_23[[#This Row],[Before Fill]]+Buckets_10_23[[#This Row],[Crit To Fill]]</f>
        <v>400</v>
      </c>
      <c r="AZ5" s="29">
        <f>IF(NOT(Buckets_10_23[[#This Row],[Is Crit]]), Buckets_10_23[[#This Row],[S Cap Diff]], 0)</f>
        <v>0</v>
      </c>
      <c r="BA5" s="29">
        <f>ROUND(AY$41/Buckets_10_23[[#Totals],[NC To Fill]]*Buckets_10_23[[#This Row],[NC To Fill]], 2)</f>
        <v>0</v>
      </c>
      <c r="BB5" s="31">
        <f>Buckets_10_23[[#This Row],[Pre Scale]] + IF($D5="Unexpected Fund", AY21-Buckets_10_23[[#Totals],[Pre Scale]], 0)</f>
        <v>0</v>
      </c>
      <c r="BC5" s="31">
        <f>Buckets_10_23[[#This Row],[Crit Filled]]+Buckets_10_23[[#This Row],[Scaled]]</f>
        <v>400</v>
      </c>
      <c r="BD5" s="31">
        <f>Buckets_10_23[[#This Row],[NC Filled]]</f>
        <v>400</v>
      </c>
      <c r="BE5" s="31">
        <f>Buckets_10_23[[#This Row],[Capacity]]-Buckets_10_23[[#This Row],[Final]]</f>
        <v>0</v>
      </c>
      <c r="BF5" s="33">
        <f>IF(Buckets_10_23[[#This Row],[Capacity]]=0, 1, Buckets_10_23[[#This Row],[Final]]/Buckets_10_23[[#This Row],[Capacity]])</f>
        <v>1</v>
      </c>
      <c r="BH5" s="31">
        <f>Buckets_10_23[[#This Row],[Final]]</f>
        <v>400</v>
      </c>
      <c r="BI5" s="31">
        <f>Buckets_10_23[[#This Row],[Capacity]]</f>
        <v>400</v>
      </c>
      <c r="BJ5" t="b">
        <f t="shared" ref="BJ5:BJ35" si="15">AM5</f>
        <v>1</v>
      </c>
      <c r="BK5" s="43"/>
      <c r="BL5" s="42"/>
      <c r="BM5" s="43"/>
      <c r="BN5" s="42"/>
      <c r="BO5" s="43"/>
      <c r="BP5" s="40">
        <f t="shared" ref="BP5:BP35" si="16">IF(NOT(ISBLANK(BL5)), BL5,
IF(NOT(ISBLANK(BK5)), BH5+BK5,
BH5))</f>
        <v>400</v>
      </c>
      <c r="BQ5" s="40">
        <f t="shared" ref="BQ5:BQ35" si="17">IF(NOT(ISBLANK(BN5)), BN5,
IF(NOT(ISBLANK(BM5)), BI5+BM5,
BI5))</f>
        <v>400</v>
      </c>
      <c r="BR5" s="41" t="b">
        <f t="shared" si="2"/>
        <v>1</v>
      </c>
      <c r="BT5" s="29">
        <f t="shared" ref="BT5:BT35" si="18">BP5</f>
        <v>400</v>
      </c>
      <c r="BU5" s="29">
        <f>GetTransactionTotal(AggregateTable2023[], AggregateTable2023[Start], BT$1, AggregateTable2023[#Headers], $D5)</f>
        <v>-163.71</v>
      </c>
      <c r="BV5" s="29">
        <f>Buckets_11_23[[#This Row],[Start]]+Buckets_11_23[[#This Row],[Transactions]]</f>
        <v>236.29</v>
      </c>
      <c r="BW5" s="29">
        <f t="shared" ref="BW5:BW35" si="19">BQ5</f>
        <v>400</v>
      </c>
      <c r="BX5" s="29">
        <f>Buckets_11_23[[#This Row],[Capacity]]-Buckets_11_23[[#This Row],[After T]]</f>
        <v>163.71</v>
      </c>
      <c r="BY5" s="29">
        <f>MAX(-Buckets_11_23[[#This Row],[Cap Diff]], 0)</f>
        <v>0</v>
      </c>
      <c r="BZ5" s="29">
        <f>Buckets_11_23[[#This Row],[After T]]-Buckets_11_23[[#This Row],[Slush]]</f>
        <v>236.29</v>
      </c>
      <c r="CA5" s="29">
        <f>Buckets_11_23[[#This Row],[Capacity]]-Buckets_11_23[[#This Row],[Before Fill]]</f>
        <v>163.71</v>
      </c>
      <c r="CB5" t="b">
        <f>OR(BR5, Buckets_11_23[[#This Row],[After T]]&lt;0)</f>
        <v>1</v>
      </c>
      <c r="CC5" s="29">
        <f>IF(Buckets_11_23[[#This Row],[Is Crit]], Buckets_11_23[[#This Row],[S Cap Diff]], 0)</f>
        <v>163.71</v>
      </c>
      <c r="CD5" s="29">
        <f>Buckets_11_23[[#This Row],[Before Fill]]+Buckets_11_23[[#This Row],[Crit To Fill]]</f>
        <v>400</v>
      </c>
      <c r="CE5" s="29">
        <f>IF(NOT(Buckets_11_23[[#This Row],[Is Crit]]), Buckets_11_23[[#This Row],[S Cap Diff]], 0)</f>
        <v>0</v>
      </c>
      <c r="CF5" s="29">
        <f>ROUND(CD$41/Buckets_11_23[[#Totals],[NC To Fill]]*Buckets_11_23[[#This Row],[NC To Fill]], 2)</f>
        <v>0</v>
      </c>
      <c r="CG5" s="31">
        <f>Buckets_11_23[[#This Row],[Pre Scale]] + IF($D5="Unexpected Fund", CD21-Buckets_11_23[[#Totals],[Pre Scale]], 0)</f>
        <v>0</v>
      </c>
      <c r="CH5" s="31">
        <f>Buckets_11_23[[#This Row],[Crit Filled]]+Buckets_11_23[[#This Row],[Scaled]]</f>
        <v>400</v>
      </c>
      <c r="CI5" s="31">
        <f>Buckets_11_23[[#This Row],[NC Filled]]</f>
        <v>400</v>
      </c>
      <c r="CJ5" s="31">
        <f>Buckets_11_23[[#This Row],[Capacity]]-Buckets_11_23[[#This Row],[Final]]</f>
        <v>0</v>
      </c>
      <c r="CK5" s="33">
        <f>IF(Buckets_11_23[[#This Row],[Capacity]]=0, 1, Buckets_11_23[[#This Row],[Final]]/Buckets_11_23[[#This Row],[Capacity]])</f>
        <v>1</v>
      </c>
      <c r="CM5" s="40">
        <f>Buckets_11_23[[#This Row],[Final]]</f>
        <v>400</v>
      </c>
      <c r="CN5" s="40">
        <f>Buckets_11_23[[#This Row],[Capacity]]</f>
        <v>400</v>
      </c>
      <c r="CO5" s="41" t="b">
        <f t="shared" ref="CO5:CO35" si="20">BR5</f>
        <v>1</v>
      </c>
      <c r="CP5" s="42"/>
      <c r="CQ5" s="42"/>
      <c r="CR5" s="42"/>
      <c r="CS5" s="42"/>
      <c r="CT5" s="43"/>
      <c r="CU5" s="40">
        <f t="shared" ref="CU5:CU35" si="21">IF(NOT(ISBLANK(CQ5)), CQ5,
IF(NOT(ISBLANK(CP5)), CM5+CP5,
CM5))</f>
        <v>400</v>
      </c>
      <c r="CV5" s="40">
        <f t="shared" ref="CV5:CV35" si="22">IF(NOT(ISBLANK(CS5)), CS5,
IF(NOT(ISBLANK(CR5)), CN5+CR5,
CN5))</f>
        <v>400</v>
      </c>
      <c r="CW5" s="41" t="b">
        <f t="shared" si="3"/>
        <v>1</v>
      </c>
      <c r="CY5" s="29">
        <f t="shared" ref="CY5:CY35" si="23">CU5</f>
        <v>400</v>
      </c>
      <c r="CZ5" s="29">
        <f>GetTransactionTotal(AggregateTable2023[], AggregateTable2023[Start], CY$1, AggregateTable2023[#Headers], $D5)</f>
        <v>-163.71</v>
      </c>
      <c r="DA5" s="29">
        <f>Buckets_12_23[[#This Row],[Start]]+Buckets_12_23[[#This Row],[Transactions]]</f>
        <v>236.29</v>
      </c>
      <c r="DB5" s="29">
        <f t="shared" ref="DB5:DB35" si="24">CV5</f>
        <v>400</v>
      </c>
      <c r="DC5" s="29">
        <f>Buckets_12_23[[#This Row],[Capacity]]-Buckets_12_23[[#This Row],[After T]]</f>
        <v>163.71</v>
      </c>
      <c r="DD5" s="29">
        <f>MAX(-Buckets_12_23[[#This Row],[Cap Diff]], 0)</f>
        <v>0</v>
      </c>
      <c r="DE5" s="29">
        <f>Buckets_12_23[[#This Row],[After T]]-Buckets_12_23[[#This Row],[Slush]]</f>
        <v>236.29</v>
      </c>
      <c r="DF5" s="29">
        <f>Buckets_12_23[[#This Row],[Capacity]]-Buckets_12_23[[#This Row],[Before Fill]]</f>
        <v>163.71</v>
      </c>
      <c r="DG5" t="b">
        <f>OR(CW5, Buckets_12_23[[#This Row],[After T]]&lt;0)</f>
        <v>1</v>
      </c>
      <c r="DH5" s="29">
        <f>IF(Buckets_12_23[[#This Row],[Is Crit]], Buckets_12_23[[#This Row],[S Cap Diff]], 0)</f>
        <v>163.71</v>
      </c>
      <c r="DI5" s="29">
        <f>Buckets_12_23[[#This Row],[Before Fill]]+Buckets_12_23[[#This Row],[Crit To Fill]]</f>
        <v>400</v>
      </c>
      <c r="DJ5" s="29">
        <f>IF(NOT(Buckets_12_23[[#This Row],[Is Crit]]), Buckets_12_23[[#This Row],[S Cap Diff]], 0)</f>
        <v>0</v>
      </c>
      <c r="DK5" s="29">
        <f>ROUND(DI$41/Buckets_12_23[[#Totals],[NC To Fill]]*Buckets_12_23[[#This Row],[NC To Fill]], 2)</f>
        <v>0</v>
      </c>
      <c r="DL5" s="31">
        <f>Buckets_12_23[[#This Row],[Pre Scale]] + IF($D5="Unexpected Fund", DI21-Buckets_12_23[[#Totals],[Pre Scale]], 0)</f>
        <v>0</v>
      </c>
      <c r="DM5" s="31">
        <f>Buckets_12_23[[#This Row],[Crit Filled]]+Buckets_12_23[[#This Row],[Scaled]]</f>
        <v>400</v>
      </c>
      <c r="DN5" s="31">
        <f>Buckets_12_23[[#This Row],[NC Filled]]</f>
        <v>400</v>
      </c>
      <c r="DO5" s="31">
        <f>Buckets_12_23[[#This Row],[Capacity]]-Buckets_12_23[[#This Row],[Final]]</f>
        <v>0</v>
      </c>
      <c r="DP5" s="33">
        <f>IF(Buckets_12_23[[#This Row],[Capacity]]=0, 1, Buckets_12_23[[#This Row],[Final]]/Buckets_12_23[[#This Row],[Capacity]])</f>
        <v>1</v>
      </c>
      <c r="DR5" s="40">
        <f>Buckets_12_23[[#This Row],[Final]]</f>
        <v>400</v>
      </c>
      <c r="DS5" s="40">
        <f>Buckets_12_23[[#This Row],[Capacity]]</f>
        <v>400</v>
      </c>
      <c r="DT5" s="41" t="b">
        <f t="shared" ref="DT5:DT35" si="25">CW5</f>
        <v>1</v>
      </c>
      <c r="DU5" s="42"/>
      <c r="DV5" s="42"/>
      <c r="DW5" s="42"/>
      <c r="DX5" s="42"/>
      <c r="DY5" s="43"/>
      <c r="DZ5" s="40">
        <f t="shared" ref="DZ5:DZ35" si="26">IF(NOT(ISBLANK(DV5)), DV5,
IF(NOT(ISBLANK(DU5)), DR5+DU5,
DR5))</f>
        <v>400</v>
      </c>
      <c r="EA5" s="40">
        <f t="shared" ref="EA5:EA35" si="27">IF(NOT(ISBLANK(DX5)), DX5,
IF(NOT(ISBLANK(DW5)), DS5+DW5,
DS5))</f>
        <v>400</v>
      </c>
      <c r="EB5" s="41" t="b">
        <f t="shared" si="4"/>
        <v>1</v>
      </c>
      <c r="ED5" s="29">
        <f t="shared" ref="ED5:ED35" si="28">DZ5</f>
        <v>400</v>
      </c>
      <c r="EE5" s="29">
        <f>GetTransactionTotal(AggregateTable2024[], AggregateTable2024[Start], ED$1, AggregateTable2024[#Headers], $D5)</f>
        <v>-163.71</v>
      </c>
      <c r="EF5" s="29">
        <f>Buckets_1_24[[#This Row],[Start]]+Buckets_1_24[[#This Row],[Transactions]]</f>
        <v>236.29</v>
      </c>
      <c r="EG5" s="29">
        <f t="shared" ref="EG5:EG35" si="29">EA5</f>
        <v>400</v>
      </c>
      <c r="EH5" s="29">
        <f>Buckets_1_24[[#This Row],[Capacity]]-Buckets_1_24[[#This Row],[After T]]</f>
        <v>163.71</v>
      </c>
      <c r="EI5" s="29">
        <f>MAX(-Buckets_1_24[[#This Row],[Cap Diff]], 0)</f>
        <v>0</v>
      </c>
      <c r="EJ5" s="29">
        <f>Buckets_1_24[[#This Row],[After T]]-Buckets_1_24[[#This Row],[Slush]]</f>
        <v>236.29</v>
      </c>
      <c r="EK5" s="29">
        <f>Buckets_1_24[[#This Row],[Capacity]]-Buckets_1_24[[#This Row],[Before Fill]]</f>
        <v>163.71</v>
      </c>
      <c r="EL5" t="b">
        <f>OR(EB5, Buckets_1_24[[#This Row],[After T]]&lt;0)</f>
        <v>1</v>
      </c>
      <c r="EM5" s="29">
        <f>IF(Buckets_1_24[[#This Row],[Is Crit]], Buckets_1_24[[#This Row],[S Cap Diff]], 0)</f>
        <v>163.71</v>
      </c>
      <c r="EN5" s="29">
        <f>Buckets_1_24[[#This Row],[Before Fill]]+Buckets_1_24[[#This Row],[Crit To Fill]]</f>
        <v>400</v>
      </c>
      <c r="EO5" s="29">
        <f>IF(NOT(Buckets_1_24[[#This Row],[Is Crit]]), Buckets_1_24[[#This Row],[S Cap Diff]], 0)</f>
        <v>0</v>
      </c>
      <c r="EP5" s="29">
        <f>ROUND(EN$41/Buckets_1_24[[#Totals],[NC To Fill]]*Buckets_1_24[[#This Row],[NC To Fill]], 2)</f>
        <v>0</v>
      </c>
      <c r="EQ5" s="31">
        <f>Buckets_1_24[[#This Row],[Pre Scale]] + IF($D5="Unexpected Fund", EN21-Buckets_1_24[[#Totals],[Pre Scale]], 0)</f>
        <v>0</v>
      </c>
      <c r="ER5" s="31">
        <f>Buckets_1_24[[#This Row],[Crit Filled]]+Buckets_1_24[[#This Row],[Scaled]]</f>
        <v>400</v>
      </c>
      <c r="ES5" s="31">
        <f>Buckets_1_24[[#This Row],[NC Filled]]</f>
        <v>400</v>
      </c>
      <c r="ET5" s="31">
        <f>Buckets_1_24[[#This Row],[Capacity]]-Buckets_1_24[[#This Row],[Final]]</f>
        <v>0</v>
      </c>
      <c r="EU5" s="33">
        <f>IF(Buckets_1_24[[#This Row],[Capacity]]=0, 1, Buckets_1_24[[#This Row],[Final]]/Buckets_1_24[[#This Row],[Capacity]])</f>
        <v>1</v>
      </c>
      <c r="EW5" s="40">
        <f>Buckets_1_24[[#This Row],[Final]]</f>
        <v>400</v>
      </c>
      <c r="EX5" s="40">
        <f>Buckets_1_24[[#This Row],[Capacity]]</f>
        <v>400</v>
      </c>
      <c r="EY5" s="41" t="b">
        <f t="shared" ref="EY5:EY35" si="30">EB5</f>
        <v>1</v>
      </c>
      <c r="EZ5" s="42"/>
      <c r="FA5" s="42"/>
      <c r="FB5" s="42"/>
      <c r="FC5" s="42"/>
      <c r="FD5" s="43"/>
      <c r="FE5" s="40">
        <f t="shared" ref="FE5:FE35" si="31">IF(NOT(ISBLANK(FA5)), FA5,
IF(NOT(ISBLANK(EZ5)), EW5+EZ5,
EW5))</f>
        <v>400</v>
      </c>
      <c r="FF5" s="40">
        <f t="shared" ref="FF5:FF35" si="32">IF(NOT(ISBLANK(FC5)), FC5,
IF(NOT(ISBLANK(FB5)), EX5+FB5,
EX5))</f>
        <v>400</v>
      </c>
      <c r="FG5" s="41" t="b">
        <f t="shared" si="5"/>
        <v>1</v>
      </c>
      <c r="FI5" s="29">
        <f t="shared" ref="FI5:FI35" si="33">FE5</f>
        <v>400</v>
      </c>
      <c r="FJ5" s="29">
        <f>GetTransactionTotal(AggregateTable2024[], AggregateTable2024[Start], FI$1, AggregateTable2024[#Headers], $D5)</f>
        <v>-163.69999999999999</v>
      </c>
      <c r="FK5" s="29">
        <f>Buckets_2_24[[#This Row],[Start]]+Buckets_2_24[[#This Row],[Transactions]]</f>
        <v>236.3</v>
      </c>
      <c r="FL5" s="29">
        <f t="shared" ref="FL5:FL35" si="34">FF5</f>
        <v>400</v>
      </c>
      <c r="FM5" s="29">
        <f>Buckets_2_24[[#This Row],[Capacity]]-Buckets_2_24[[#This Row],[After T]]</f>
        <v>163.69999999999999</v>
      </c>
      <c r="FN5" s="29">
        <f>MAX(-Buckets_2_24[[#This Row],[Cap Diff]], 0)</f>
        <v>0</v>
      </c>
      <c r="FO5" s="29">
        <f>Buckets_2_24[[#This Row],[After T]]-Buckets_2_24[[#This Row],[Slush]]</f>
        <v>236.3</v>
      </c>
      <c r="FP5" s="29">
        <f>Buckets_2_24[[#This Row],[Capacity]]-Buckets_2_24[[#This Row],[Before Fill]]</f>
        <v>163.69999999999999</v>
      </c>
      <c r="FQ5" t="b">
        <f>OR(FG5, Buckets_2_24[[#This Row],[After T]]&lt;0)</f>
        <v>1</v>
      </c>
      <c r="FR5" s="29">
        <f>IF(Buckets_2_24[[#This Row],[Is Crit]], Buckets_2_24[[#This Row],[S Cap Diff]], 0)</f>
        <v>163.69999999999999</v>
      </c>
      <c r="FS5" s="29">
        <f>Buckets_2_24[[#This Row],[Before Fill]]+Buckets_2_24[[#This Row],[Crit To Fill]]</f>
        <v>400</v>
      </c>
      <c r="FT5" s="29">
        <f>IF(NOT(Buckets_2_24[[#This Row],[Is Crit]]), Buckets_2_24[[#This Row],[S Cap Diff]], 0)</f>
        <v>0</v>
      </c>
      <c r="FU5" s="29">
        <f>ROUND(FS$41/Buckets_2_24[[#Totals],[NC To Fill]]*Buckets_2_24[[#This Row],[NC To Fill]], 2)</f>
        <v>0</v>
      </c>
      <c r="FV5" s="31">
        <f>Buckets_2_24[[#This Row],[Pre Scale]] + IF($D5="Unexpected Fund", FS21-Buckets_2_24[[#Totals],[Pre Scale]], 0)</f>
        <v>0</v>
      </c>
      <c r="FW5" s="31">
        <f>Buckets_2_24[[#This Row],[Crit Filled]]+Buckets_2_24[[#This Row],[Scaled]]</f>
        <v>400</v>
      </c>
      <c r="FX5" s="31">
        <f>Buckets_2_24[[#This Row],[NC Filled]]</f>
        <v>400</v>
      </c>
      <c r="FY5" s="31">
        <f>Buckets_2_24[[#This Row],[Capacity]]-Buckets_2_24[[#This Row],[Final]]</f>
        <v>0</v>
      </c>
      <c r="FZ5" s="33">
        <f>IF(Buckets_2_24[[#This Row],[Capacity]]=0, 1, Buckets_2_24[[#This Row],[Final]]/Buckets_2_24[[#This Row],[Capacity]])</f>
        <v>1</v>
      </c>
      <c r="GB5" s="40">
        <f>Buckets_2_24[[#This Row],[Final]]</f>
        <v>400</v>
      </c>
      <c r="GC5" s="40">
        <f>Buckets_2_24[[#This Row],[Capacity]]</f>
        <v>400</v>
      </c>
      <c r="GD5" s="41" t="b">
        <f t="shared" ref="GD5:GD35" si="35">FG5</f>
        <v>1</v>
      </c>
      <c r="GE5" s="42"/>
      <c r="GF5" s="42"/>
      <c r="GG5" s="42"/>
      <c r="GH5" s="42"/>
      <c r="GI5" s="43"/>
      <c r="GJ5" s="40">
        <f t="shared" ref="GJ5:GJ35" si="36">IF(NOT(ISBLANK(GF5)), GF5,
IF(NOT(ISBLANK(GE5)), GB5+GE5,
GB5))</f>
        <v>400</v>
      </c>
      <c r="GK5" s="40">
        <f t="shared" ref="GK5:GK35" si="37">IF(NOT(ISBLANK(GH5)), GH5,
IF(NOT(ISBLANK(GG5)), GC5+GG5,
GC5))</f>
        <v>400</v>
      </c>
      <c r="GL5" s="41" t="b">
        <f t="shared" si="6"/>
        <v>1</v>
      </c>
      <c r="GN5" s="29">
        <f t="shared" ref="GN5:GN35" si="38">GJ5</f>
        <v>400</v>
      </c>
      <c r="GO5" s="29">
        <f>GetTransactionTotal(AggregateTable2024[], AggregateTable2024[Start], GN$1, AggregateTable2024[#Headers], $D5)</f>
        <v>-190.19</v>
      </c>
      <c r="GP5" s="29">
        <f>Buckets_3_24[[#This Row],[Start]]+Buckets_3_24[[#This Row],[Transactions]]</f>
        <v>209.81</v>
      </c>
      <c r="GQ5" s="29">
        <f t="shared" ref="GQ5:GQ35" si="39">GK5</f>
        <v>400</v>
      </c>
      <c r="GR5" s="29">
        <f>Buckets_3_24[[#This Row],[Capacity]]-Buckets_3_24[[#This Row],[After T]]</f>
        <v>190.19</v>
      </c>
      <c r="GS5" s="29">
        <f>MAX(-Buckets_3_24[[#This Row],[Cap Diff]], 0)</f>
        <v>0</v>
      </c>
      <c r="GT5" s="29">
        <f>Buckets_3_24[[#This Row],[After T]]-Buckets_3_24[[#This Row],[Slush]]</f>
        <v>209.81</v>
      </c>
      <c r="GU5" s="29">
        <f>Buckets_3_24[[#This Row],[Capacity]]-Buckets_3_24[[#This Row],[Before Fill]]</f>
        <v>190.19</v>
      </c>
      <c r="GV5" t="b">
        <f>OR(GL5, Buckets_3_24[[#This Row],[After T]]&lt;0)</f>
        <v>1</v>
      </c>
      <c r="GW5" s="29">
        <f>IF(Buckets_3_24[[#This Row],[Is Crit]], Buckets_3_24[[#This Row],[S Cap Diff]], 0)</f>
        <v>190.19</v>
      </c>
      <c r="GX5" s="29">
        <f>Buckets_3_24[[#This Row],[Before Fill]]+Buckets_3_24[[#This Row],[Crit To Fill]]</f>
        <v>400</v>
      </c>
      <c r="GY5" s="29">
        <f>IF(NOT(Buckets_3_24[[#This Row],[Is Crit]]), Buckets_3_24[[#This Row],[S Cap Diff]], 0)</f>
        <v>0</v>
      </c>
      <c r="GZ5" s="29">
        <f>ROUND(GX$41/Buckets_3_24[[#Totals],[NC To Fill]]*Buckets_3_24[[#This Row],[NC To Fill]], 2)</f>
        <v>0</v>
      </c>
      <c r="HA5" s="31">
        <f>Buckets_3_24[[#This Row],[Pre Scale]] + IF($D5="Unexpected Fund", GX21-Buckets_3_24[[#Totals],[Pre Scale]], 0)</f>
        <v>0</v>
      </c>
      <c r="HB5" s="31">
        <f>Buckets_3_24[[#This Row],[Crit Filled]]+Buckets_3_24[[#This Row],[Scaled]]</f>
        <v>400</v>
      </c>
      <c r="HC5" s="31">
        <f>Buckets_3_24[[#This Row],[NC Filled]]</f>
        <v>400</v>
      </c>
      <c r="HD5" s="31">
        <f>Buckets_3_24[[#This Row],[Capacity]]-Buckets_3_24[[#This Row],[Final]]</f>
        <v>0</v>
      </c>
      <c r="HE5" s="33">
        <f>IF(Buckets_3_24[[#This Row],[Capacity]]=0, 1, Buckets_3_24[[#This Row],[Final]]/Buckets_3_24[[#This Row],[Capacity]])</f>
        <v>1</v>
      </c>
      <c r="HG5" s="40">
        <f>Buckets_3_24[[#This Row],[Final]]</f>
        <v>400</v>
      </c>
      <c r="HH5" s="40">
        <f>Buckets_3_24[[#This Row],[Capacity]]</f>
        <v>400</v>
      </c>
      <c r="HI5" s="41" t="b">
        <f t="shared" ref="HI5:HI35" si="40">GL5</f>
        <v>1</v>
      </c>
      <c r="HJ5" s="42"/>
      <c r="HK5" s="42"/>
      <c r="HL5" s="42"/>
      <c r="HM5" s="42"/>
      <c r="HN5" s="43"/>
      <c r="HO5" s="40">
        <f t="shared" ref="HO5:HO35" si="41">IF(NOT(ISBLANK(HK5)), HK5,
IF(NOT(ISBLANK(HJ5)), HG5+HJ5,
HG5))</f>
        <v>400</v>
      </c>
      <c r="HP5" s="40">
        <f t="shared" ref="HP5:HP35" si="42">IF(NOT(ISBLANK(HM5)), HM5,
IF(NOT(ISBLANK(HL5)), HH5+HL5,
HH5))</f>
        <v>400</v>
      </c>
      <c r="HQ5" s="41" t="b">
        <f t="shared" si="7"/>
        <v>1</v>
      </c>
      <c r="HS5" s="29">
        <f t="shared" ref="HS5:HS35" si="43">HO5</f>
        <v>400</v>
      </c>
      <c r="HT5" s="29">
        <f>GetTransactionTotal(AggregateTable2024[], AggregateTable2024[Start], HS$1, AggregateTable2024[#Headers], $D5)</f>
        <v>-189.69</v>
      </c>
      <c r="HU5" s="29">
        <f>Buckets_4_24[[#This Row],[Start]]+Buckets_4_24[[#This Row],[Transactions]]</f>
        <v>210.31</v>
      </c>
      <c r="HV5" s="29">
        <f t="shared" ref="HV5:HV35" si="44">HP5</f>
        <v>400</v>
      </c>
      <c r="HW5" s="29">
        <f>Buckets_4_24[[#This Row],[Capacity]]-Buckets_4_24[[#This Row],[After T]]</f>
        <v>189.69</v>
      </c>
      <c r="HX5" s="29">
        <f>MAX(-Buckets_4_24[[#This Row],[Cap Diff]], 0)</f>
        <v>0</v>
      </c>
      <c r="HY5" s="29">
        <f>Buckets_4_24[[#This Row],[After T]]-Buckets_4_24[[#This Row],[Slush]]</f>
        <v>210.31</v>
      </c>
      <c r="HZ5" s="29">
        <f>Buckets_4_24[[#This Row],[Capacity]]-Buckets_4_24[[#This Row],[Before Fill]]</f>
        <v>189.69</v>
      </c>
      <c r="IA5" t="b">
        <f>OR(HQ5, Buckets_4_24[[#This Row],[After T]]&lt;0)</f>
        <v>1</v>
      </c>
      <c r="IB5" s="29">
        <f>IF(Buckets_4_24[[#This Row],[Is Crit]], Buckets_4_24[[#This Row],[S Cap Diff]], 0)</f>
        <v>189.69</v>
      </c>
      <c r="IC5" s="29">
        <f>Buckets_4_24[[#This Row],[Before Fill]]+Buckets_4_24[[#This Row],[Crit To Fill]]</f>
        <v>400</v>
      </c>
      <c r="ID5" s="29">
        <f>IF(NOT(Buckets_4_24[[#This Row],[Is Crit]]), Buckets_4_24[[#This Row],[S Cap Diff]], 0)</f>
        <v>0</v>
      </c>
      <c r="IE5" s="29">
        <f>ROUND(IC$41/Buckets_4_24[[#Totals],[NC To Fill]]*Buckets_4_24[[#This Row],[NC To Fill]], 2)</f>
        <v>0</v>
      </c>
      <c r="IF5" s="31">
        <f>Buckets_4_24[[#This Row],[Pre Scale]] + IF($D5="Unexpected Fund", IC21-Buckets_4_24[[#Totals],[Pre Scale]], 0)</f>
        <v>0</v>
      </c>
      <c r="IG5" s="31">
        <f>Buckets_4_24[[#This Row],[Crit Filled]]+Buckets_4_24[[#This Row],[Scaled]]</f>
        <v>400</v>
      </c>
      <c r="IH5" s="31">
        <f>Buckets_4_24[[#This Row],[NC Filled]]</f>
        <v>400</v>
      </c>
      <c r="II5" s="31">
        <f>Buckets_4_24[[#This Row],[Capacity]]-Buckets_4_24[[#This Row],[Final]]</f>
        <v>0</v>
      </c>
      <c r="IJ5" s="33">
        <f>IF(Buckets_4_24[[#This Row],[Capacity]]=0, 1, Buckets_4_24[[#This Row],[Final]]/Buckets_4_24[[#This Row],[Capacity]])</f>
        <v>1</v>
      </c>
      <c r="IL5" s="40">
        <f>Buckets_4_24[[#This Row],[Final]]</f>
        <v>400</v>
      </c>
      <c r="IM5" s="40">
        <f>Buckets_4_24[[#This Row],[Capacity]]</f>
        <v>400</v>
      </c>
      <c r="IN5" s="41" t="b">
        <f t="shared" ref="IN5:IN35" si="45">HQ5</f>
        <v>1</v>
      </c>
      <c r="IO5" s="42"/>
      <c r="IP5" s="42"/>
      <c r="IQ5" s="42"/>
      <c r="IR5" s="42"/>
      <c r="IS5" s="43"/>
      <c r="IT5" s="40">
        <f t="shared" ref="IT5:IT35" si="46">IF(NOT(ISBLANK(IP5)), IP5,
IF(NOT(ISBLANK(IO5)), IL5+IO5,
IL5))</f>
        <v>400</v>
      </c>
      <c r="IU5" s="40">
        <f t="shared" ref="IU5:IU35" si="47">IF(NOT(ISBLANK(IR5)), IR5,
IF(NOT(ISBLANK(IQ5)), IM5+IQ5,
IM5))</f>
        <v>400</v>
      </c>
      <c r="IV5" s="41" t="b">
        <f t="shared" si="8"/>
        <v>1</v>
      </c>
    </row>
    <row r="6" spans="1:256" x14ac:dyDescent="0.25">
      <c r="A6" s="49"/>
      <c r="B6" t="s">
        <v>318</v>
      </c>
      <c r="C6" t="s">
        <v>321</v>
      </c>
      <c r="D6" t="s">
        <v>283</v>
      </c>
      <c r="F6" s="30">
        <v>100</v>
      </c>
      <c r="G6" s="38">
        <v>300</v>
      </c>
      <c r="H6" t="b">
        <v>0</v>
      </c>
      <c r="J6" s="50">
        <f t="shared" si="9"/>
        <v>100</v>
      </c>
      <c r="K6" s="50">
        <f>GetTransactionTotal(AggregateTable2023[], AggregateTable2023[Start], J$1, AggregateTable2023[#Headers], $D6)</f>
        <v>-80.97</v>
      </c>
      <c r="L6" s="50">
        <f>Buckets_9_23[[#This Row],[Start]]+Buckets_9_23[[#This Row],[Transactions]]</f>
        <v>19.03</v>
      </c>
      <c r="M6" s="50">
        <f t="shared" si="10"/>
        <v>300</v>
      </c>
      <c r="N6" s="50">
        <f>Buckets_9_23[[#This Row],[Capacity]]-Buckets_9_23[[#This Row],[After T]]</f>
        <v>280.97000000000003</v>
      </c>
      <c r="O6" s="50">
        <f>IF(Buckets_9_23[[#This Row],[After T]]&lt;0, Buckets_9_23[[#This Row],[After T]], IF(Buckets_9_23[[#This Row],[Cap Diff]]&lt;0, -Buckets_9_23[[#This Row],[Cap Diff]], 0))</f>
        <v>0</v>
      </c>
      <c r="P6" s="50">
        <f>Buckets_9_23[[#This Row],[After T]]-Buckets_9_23[[#This Row],[Slush]]</f>
        <v>19.03</v>
      </c>
      <c r="Q6" s="50">
        <f>Buckets_9_23[[#This Row],[Capacity]]-Buckets_9_23[[#This Row],[Before Fill]]</f>
        <v>280.97000000000003</v>
      </c>
      <c r="R6" s="31" t="b">
        <f t="shared" si="0"/>
        <v>0</v>
      </c>
      <c r="S6" s="50">
        <f>IF(Buckets_9_23[[#This Row],[Is Crit]], Buckets_9_23[[#This Row],[S Cap Diff]], 0)</f>
        <v>0</v>
      </c>
      <c r="T6" s="50">
        <f>Buckets_9_23[[#This Row],[Before Fill]]+Buckets_9_23[[#This Row],[Crit To Fill]]</f>
        <v>19.03</v>
      </c>
      <c r="U6" s="50">
        <f>IF(NOT(Buckets_9_23[[#This Row],[Is Crit]]), Buckets_9_23[[#This Row],[S Cap Diff]], 0)</f>
        <v>280.97000000000003</v>
      </c>
      <c r="V6" s="50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A6" s="51">
        <f>IF(Buckets_9_23[[#This Row],[Capacity]]=0, 1, Buckets_9_23[[#This Row],[Final]]/Buckets_9_23[[#This Row],[Capacity]])</f>
        <v>0.88089999999999991</v>
      </c>
      <c r="AC6" s="31">
        <f>Buckets_9_23[[#This Row],[Final]]</f>
        <v>264.27</v>
      </c>
      <c r="AD6" s="31">
        <f>Buckets_9_23[[#This Row],[Capacity]]</f>
        <v>300</v>
      </c>
      <c r="AE6" t="b">
        <f>H6</f>
        <v>0</v>
      </c>
      <c r="AF6" s="43"/>
      <c r="AG6" s="42"/>
      <c r="AH6" s="43"/>
      <c r="AI6" s="42"/>
      <c r="AJ6" s="43"/>
      <c r="AK6" s="40">
        <f t="shared" si="11"/>
        <v>264.27</v>
      </c>
      <c r="AL6" s="40">
        <f t="shared" si="12"/>
        <v>300</v>
      </c>
      <c r="AM6" s="41" t="b">
        <f t="shared" si="1"/>
        <v>0</v>
      </c>
      <c r="AO6" s="29">
        <f t="shared" si="13"/>
        <v>264.27</v>
      </c>
      <c r="AP6" s="29">
        <f>GetTransactionTotal(AggregateTable2023[], AggregateTable2023[Start], AO$1, AggregateTable2023[#Headers], $D6)</f>
        <v>-38.26</v>
      </c>
      <c r="AQ6" s="29">
        <f>Buckets_10_23[[#This Row],[Start]]+Buckets_10_23[[#This Row],[Transactions]]</f>
        <v>226.01</v>
      </c>
      <c r="AR6" s="29">
        <f t="shared" si="14"/>
        <v>300</v>
      </c>
      <c r="AS6" s="29">
        <f>Buckets_10_23[[#This Row],[Capacity]]-Buckets_10_23[[#This Row],[After T]]</f>
        <v>73.990000000000009</v>
      </c>
      <c r="AT6" s="29">
        <f>MAX(-Buckets_10_23[[#This Row],[Cap Diff]], 0)</f>
        <v>0</v>
      </c>
      <c r="AU6" s="29">
        <f>Buckets_10_23[[#This Row],[After T]]-Buckets_10_23[[#This Row],[Slush]]</f>
        <v>226.01</v>
      </c>
      <c r="AV6" s="29">
        <f>Buckets_10_23[[#This Row],[Capacity]]-Buckets_10_23[[#This Row],[Before Fill]]</f>
        <v>73.990000000000009</v>
      </c>
      <c r="AW6" t="b">
        <f>OR(AM6, Buckets_10_23[[#This Row],[After T]]&lt;0)</f>
        <v>0</v>
      </c>
      <c r="AX6" s="29">
        <f>IF(Buckets_10_23[[#This Row],[Is Crit]], Buckets_10_23[[#This Row],[S Cap Diff]], 0)</f>
        <v>0</v>
      </c>
      <c r="AY6" s="29">
        <f>Buckets_10_23[[#This Row],[Before Fill]]+Buckets_10_23[[#This Row],[Crit To Fill]]</f>
        <v>226.01</v>
      </c>
      <c r="AZ6" s="29">
        <f>IF(NOT(Buckets_10_23[[#This Row],[Is Crit]]), Buckets_10_23[[#This Row],[S Cap Diff]], 0)</f>
        <v>73.990000000000009</v>
      </c>
      <c r="BA6" s="29">
        <f>ROUND(AY$41/Buckets_10_23[[#Totals],[NC To Fill]]*Buckets_10_23[[#This Row],[NC To Fill]], 2)</f>
        <v>43.95</v>
      </c>
      <c r="BB6" s="31">
        <f>Buckets_10_23[[#This Row],[Pre Scale]] + IF($D6="Unexpected Fund", AY22-Buckets_10_23[[#Totals],[Pre Scale]], 0)</f>
        <v>43.95</v>
      </c>
      <c r="BC6" s="31">
        <f>Buckets_10_23[[#This Row],[Crit Filled]]+Buckets_10_23[[#This Row],[Scaled]]</f>
        <v>269.95999999999998</v>
      </c>
      <c r="BD6" s="31">
        <f>Buckets_10_23[[#This Row],[NC Filled]]</f>
        <v>269.95999999999998</v>
      </c>
      <c r="BE6" s="31">
        <f>Buckets_10_23[[#This Row],[Capacity]]-Buckets_10_23[[#This Row],[Final]]</f>
        <v>30.04000000000002</v>
      </c>
      <c r="BF6" s="33">
        <f>IF(Buckets_10_23[[#This Row],[Capacity]]=0, 1, Buckets_10_23[[#This Row],[Final]]/Buckets_10_23[[#This Row],[Capacity]])</f>
        <v>0.89986666666666659</v>
      </c>
      <c r="BH6" s="31">
        <f>Buckets_10_23[[#This Row],[Final]]</f>
        <v>269.95999999999998</v>
      </c>
      <c r="BI6" s="31">
        <f>Buckets_10_23[[#This Row],[Capacity]]</f>
        <v>300</v>
      </c>
      <c r="BJ6" t="b">
        <f t="shared" si="15"/>
        <v>0</v>
      </c>
      <c r="BK6" s="43"/>
      <c r="BL6" s="42"/>
      <c r="BM6" s="43"/>
      <c r="BN6" s="42"/>
      <c r="BO6" s="43"/>
      <c r="BP6" s="40">
        <f t="shared" si="16"/>
        <v>269.95999999999998</v>
      </c>
      <c r="BQ6" s="40">
        <f t="shared" si="17"/>
        <v>300</v>
      </c>
      <c r="BR6" s="41" t="b">
        <f t="shared" si="2"/>
        <v>0</v>
      </c>
      <c r="BT6" s="29">
        <f t="shared" si="18"/>
        <v>269.95999999999998</v>
      </c>
      <c r="BU6" s="29">
        <f>GetTransactionTotal(AggregateTable2023[], AggregateTable2023[Start], BT$1, AggregateTable2023[#Headers], $D6)</f>
        <v>-206.54000000000002</v>
      </c>
      <c r="BV6" s="29">
        <f>Buckets_11_23[[#This Row],[Start]]+Buckets_11_23[[#This Row],[Transactions]]</f>
        <v>63.419999999999959</v>
      </c>
      <c r="BW6" s="29">
        <f t="shared" si="19"/>
        <v>300</v>
      </c>
      <c r="BX6" s="29">
        <f>Buckets_11_23[[#This Row],[Capacity]]-Buckets_11_23[[#This Row],[After T]]</f>
        <v>236.58000000000004</v>
      </c>
      <c r="BY6" s="29">
        <f>MAX(-Buckets_11_23[[#This Row],[Cap Diff]], 0)</f>
        <v>0</v>
      </c>
      <c r="BZ6" s="29">
        <f>Buckets_11_23[[#This Row],[After T]]-Buckets_11_23[[#This Row],[Slush]]</f>
        <v>63.419999999999959</v>
      </c>
      <c r="CA6" s="29">
        <f>Buckets_11_23[[#This Row],[Capacity]]-Buckets_11_23[[#This Row],[Before Fill]]</f>
        <v>236.58000000000004</v>
      </c>
      <c r="CB6" t="b">
        <f>OR(BR6, Buckets_11_23[[#This Row],[After T]]&lt;0)</f>
        <v>0</v>
      </c>
      <c r="CC6" s="29">
        <f>IF(Buckets_11_23[[#This Row],[Is Crit]], Buckets_11_23[[#This Row],[S Cap Diff]], 0)</f>
        <v>0</v>
      </c>
      <c r="CD6" s="29">
        <f>Buckets_11_23[[#This Row],[Before Fill]]+Buckets_11_23[[#This Row],[Crit To Fill]]</f>
        <v>63.419999999999959</v>
      </c>
      <c r="CE6" s="29">
        <f>IF(NOT(Buckets_11_23[[#This Row],[Is Crit]]), Buckets_11_23[[#This Row],[S Cap Diff]], 0)</f>
        <v>236.58000000000004</v>
      </c>
      <c r="CF6" s="29">
        <f>ROUND(CD$41/Buckets_11_23[[#Totals],[NC To Fill]]*Buckets_11_23[[#This Row],[NC To Fill]], 2)</f>
        <v>233.32</v>
      </c>
      <c r="CG6" s="31">
        <f>Buckets_11_23[[#This Row],[Pre Scale]] + IF($D6="Unexpected Fund", CD22-Buckets_11_23[[#Totals],[Pre Scale]], 0)</f>
        <v>233.32</v>
      </c>
      <c r="CH6" s="31">
        <f>Buckets_11_23[[#This Row],[Crit Filled]]+Buckets_11_23[[#This Row],[Scaled]]</f>
        <v>296.73999999999995</v>
      </c>
      <c r="CI6" s="31">
        <f>Buckets_11_23[[#This Row],[NC Filled]]</f>
        <v>296.73999999999995</v>
      </c>
      <c r="CJ6" s="31">
        <f>Buckets_11_23[[#This Row],[Capacity]]-Buckets_11_23[[#This Row],[Final]]</f>
        <v>3.2600000000000477</v>
      </c>
      <c r="CK6" s="33">
        <f>IF(Buckets_11_23[[#This Row],[Capacity]]=0, 1, Buckets_11_23[[#This Row],[Final]]/Buckets_11_23[[#This Row],[Capacity]])</f>
        <v>0.9891333333333332</v>
      </c>
      <c r="CM6" s="40">
        <f>Buckets_11_23[[#This Row],[Final]]</f>
        <v>296.73999999999995</v>
      </c>
      <c r="CN6" s="40">
        <f>Buckets_11_23[[#This Row],[Capacity]]</f>
        <v>300</v>
      </c>
      <c r="CO6" s="41" t="b">
        <f t="shared" si="20"/>
        <v>0</v>
      </c>
      <c r="CP6" s="42"/>
      <c r="CQ6" s="42"/>
      <c r="CR6" s="42"/>
      <c r="CS6" s="42"/>
      <c r="CT6" s="43" t="b">
        <v>1</v>
      </c>
      <c r="CU6" s="40">
        <f t="shared" si="21"/>
        <v>296.73999999999995</v>
      </c>
      <c r="CV6" s="40">
        <f t="shared" si="22"/>
        <v>300</v>
      </c>
      <c r="CW6" s="41" t="b">
        <f t="shared" si="3"/>
        <v>1</v>
      </c>
      <c r="CY6" s="29">
        <f t="shared" si="23"/>
        <v>296.73999999999995</v>
      </c>
      <c r="CZ6" s="29">
        <f>GetTransactionTotal(AggregateTable2023[], AggregateTable2023[Start], CY$1, AggregateTable2023[#Headers], $D6)</f>
        <v>-24.47</v>
      </c>
      <c r="DA6" s="29">
        <f>Buckets_12_23[[#This Row],[Start]]+Buckets_12_23[[#This Row],[Transactions]]</f>
        <v>272.27</v>
      </c>
      <c r="DB6" s="29">
        <f t="shared" si="24"/>
        <v>300</v>
      </c>
      <c r="DC6" s="29">
        <f>Buckets_12_23[[#This Row],[Capacity]]-Buckets_12_23[[#This Row],[After T]]</f>
        <v>27.730000000000018</v>
      </c>
      <c r="DD6" s="29">
        <f>MAX(-Buckets_12_23[[#This Row],[Cap Diff]], 0)</f>
        <v>0</v>
      </c>
      <c r="DE6" s="29">
        <f>Buckets_12_23[[#This Row],[After T]]-Buckets_12_23[[#This Row],[Slush]]</f>
        <v>272.27</v>
      </c>
      <c r="DF6" s="29">
        <f>Buckets_12_23[[#This Row],[Capacity]]-Buckets_12_23[[#This Row],[Before Fill]]</f>
        <v>27.730000000000018</v>
      </c>
      <c r="DG6" t="b">
        <f>OR(CW6, Buckets_12_23[[#This Row],[After T]]&lt;0)</f>
        <v>1</v>
      </c>
      <c r="DH6" s="29">
        <f>IF(Buckets_12_23[[#This Row],[Is Crit]], Buckets_12_23[[#This Row],[S Cap Diff]], 0)</f>
        <v>27.730000000000018</v>
      </c>
      <c r="DI6" s="29">
        <f>Buckets_12_23[[#This Row],[Before Fill]]+Buckets_12_23[[#This Row],[Crit To Fill]]</f>
        <v>300</v>
      </c>
      <c r="DJ6" s="29">
        <f>IF(NOT(Buckets_12_23[[#This Row],[Is Crit]]), Buckets_12_23[[#This Row],[S Cap Diff]], 0)</f>
        <v>0</v>
      </c>
      <c r="DK6" s="29">
        <f>ROUND(DI$41/Buckets_12_23[[#Totals],[NC To Fill]]*Buckets_12_23[[#This Row],[NC To Fill]], 2)</f>
        <v>0</v>
      </c>
      <c r="DL6" s="31">
        <f>Buckets_12_23[[#This Row],[Pre Scale]] + IF($D6="Unexpected Fund", DI22-Buckets_12_23[[#Totals],[Pre Scale]], 0)</f>
        <v>0</v>
      </c>
      <c r="DM6" s="31">
        <f>Buckets_12_23[[#This Row],[Crit Filled]]+Buckets_12_23[[#This Row],[Scaled]]</f>
        <v>300</v>
      </c>
      <c r="DN6" s="31">
        <f>Buckets_12_23[[#This Row],[NC Filled]]</f>
        <v>300</v>
      </c>
      <c r="DO6" s="31">
        <f>Buckets_12_23[[#This Row],[Capacity]]-Buckets_12_23[[#This Row],[Final]]</f>
        <v>0</v>
      </c>
      <c r="DP6" s="33">
        <f>IF(Buckets_12_23[[#This Row],[Capacity]]=0, 1, Buckets_12_23[[#This Row],[Final]]/Buckets_12_23[[#This Row],[Capacity]])</f>
        <v>1</v>
      </c>
      <c r="DR6" s="40">
        <f>Buckets_12_23[[#This Row],[Final]]</f>
        <v>300</v>
      </c>
      <c r="DS6" s="40">
        <f>Buckets_12_23[[#This Row],[Capacity]]</f>
        <v>300</v>
      </c>
      <c r="DT6" s="41" t="b">
        <f t="shared" si="25"/>
        <v>1</v>
      </c>
      <c r="DU6" s="42"/>
      <c r="DV6" s="42"/>
      <c r="DW6" s="42"/>
      <c r="DX6" s="42"/>
      <c r="DY6" s="43"/>
      <c r="DZ6" s="40">
        <f t="shared" si="26"/>
        <v>300</v>
      </c>
      <c r="EA6" s="40">
        <f t="shared" si="27"/>
        <v>300</v>
      </c>
      <c r="EB6" s="41" t="b">
        <f t="shared" si="4"/>
        <v>1</v>
      </c>
      <c r="ED6" s="29">
        <f t="shared" si="28"/>
        <v>300</v>
      </c>
      <c r="EE6" s="29">
        <f>GetTransactionTotal(AggregateTable2024[], AggregateTable2024[Start], ED$1, AggregateTable2024[#Headers], $D6)</f>
        <v>-133.53</v>
      </c>
      <c r="EF6" s="29">
        <f>Buckets_1_24[[#This Row],[Start]]+Buckets_1_24[[#This Row],[Transactions]]</f>
        <v>166.47</v>
      </c>
      <c r="EG6" s="29">
        <f t="shared" si="29"/>
        <v>300</v>
      </c>
      <c r="EH6" s="29">
        <f>Buckets_1_24[[#This Row],[Capacity]]-Buckets_1_24[[#This Row],[After T]]</f>
        <v>133.53</v>
      </c>
      <c r="EI6" s="29">
        <f>MAX(-Buckets_1_24[[#This Row],[Cap Diff]], 0)</f>
        <v>0</v>
      </c>
      <c r="EJ6" s="29">
        <f>Buckets_1_24[[#This Row],[After T]]-Buckets_1_24[[#This Row],[Slush]]</f>
        <v>166.47</v>
      </c>
      <c r="EK6" s="29">
        <f>Buckets_1_24[[#This Row],[Capacity]]-Buckets_1_24[[#This Row],[Before Fill]]</f>
        <v>133.53</v>
      </c>
      <c r="EL6" t="b">
        <f>OR(EB6, Buckets_1_24[[#This Row],[After T]]&lt;0)</f>
        <v>1</v>
      </c>
      <c r="EM6" s="29">
        <f>IF(Buckets_1_24[[#This Row],[Is Crit]], Buckets_1_24[[#This Row],[S Cap Diff]], 0)</f>
        <v>133.53</v>
      </c>
      <c r="EN6" s="29">
        <f>Buckets_1_24[[#This Row],[Before Fill]]+Buckets_1_24[[#This Row],[Crit To Fill]]</f>
        <v>300</v>
      </c>
      <c r="EO6" s="29">
        <f>IF(NOT(Buckets_1_24[[#This Row],[Is Crit]]), Buckets_1_24[[#This Row],[S Cap Diff]], 0)</f>
        <v>0</v>
      </c>
      <c r="EP6" s="29">
        <f>ROUND(EN$41/Buckets_1_24[[#Totals],[NC To Fill]]*Buckets_1_24[[#This Row],[NC To Fill]], 2)</f>
        <v>0</v>
      </c>
      <c r="EQ6" s="31">
        <f>Buckets_1_24[[#This Row],[Pre Scale]] + IF($D6="Unexpected Fund", EN22-Buckets_1_24[[#Totals],[Pre Scale]], 0)</f>
        <v>0</v>
      </c>
      <c r="ER6" s="31">
        <f>Buckets_1_24[[#This Row],[Crit Filled]]+Buckets_1_24[[#This Row],[Scaled]]</f>
        <v>300</v>
      </c>
      <c r="ES6" s="31">
        <f>Buckets_1_24[[#This Row],[NC Filled]]</f>
        <v>300</v>
      </c>
      <c r="ET6" s="31">
        <f>Buckets_1_24[[#This Row],[Capacity]]-Buckets_1_24[[#This Row],[Final]]</f>
        <v>0</v>
      </c>
      <c r="EU6" s="33">
        <f>IF(Buckets_1_24[[#This Row],[Capacity]]=0, 1, Buckets_1_24[[#This Row],[Final]]/Buckets_1_24[[#This Row],[Capacity]])</f>
        <v>1</v>
      </c>
      <c r="EW6" s="40">
        <f>Buckets_1_24[[#This Row],[Final]]</f>
        <v>300</v>
      </c>
      <c r="EX6" s="40">
        <f>Buckets_1_24[[#This Row],[Capacity]]</f>
        <v>300</v>
      </c>
      <c r="EY6" s="41" t="b">
        <f t="shared" si="30"/>
        <v>1</v>
      </c>
      <c r="EZ6" s="42"/>
      <c r="FA6" s="42"/>
      <c r="FB6" s="42"/>
      <c r="FC6" s="42"/>
      <c r="FD6" s="43"/>
      <c r="FE6" s="40">
        <f t="shared" si="31"/>
        <v>300</v>
      </c>
      <c r="FF6" s="40">
        <f t="shared" si="32"/>
        <v>300</v>
      </c>
      <c r="FG6" s="41" t="b">
        <f t="shared" si="5"/>
        <v>1</v>
      </c>
      <c r="FI6" s="29">
        <f t="shared" si="33"/>
        <v>300</v>
      </c>
      <c r="FJ6" s="29">
        <f>GetTransactionTotal(AggregateTable2024[], AggregateTable2024[Start], FI$1, AggregateTable2024[#Headers], $D6)</f>
        <v>-26.51</v>
      </c>
      <c r="FK6" s="29">
        <f>Buckets_2_24[[#This Row],[Start]]+Buckets_2_24[[#This Row],[Transactions]]</f>
        <v>273.49</v>
      </c>
      <c r="FL6" s="29">
        <f t="shared" si="34"/>
        <v>300</v>
      </c>
      <c r="FM6" s="29">
        <f>Buckets_2_24[[#This Row],[Capacity]]-Buckets_2_24[[#This Row],[After T]]</f>
        <v>26.509999999999991</v>
      </c>
      <c r="FN6" s="29">
        <f>MAX(-Buckets_2_24[[#This Row],[Cap Diff]], 0)</f>
        <v>0</v>
      </c>
      <c r="FO6" s="29">
        <f>Buckets_2_24[[#This Row],[After T]]-Buckets_2_24[[#This Row],[Slush]]</f>
        <v>273.49</v>
      </c>
      <c r="FP6" s="29">
        <f>Buckets_2_24[[#This Row],[Capacity]]-Buckets_2_24[[#This Row],[Before Fill]]</f>
        <v>26.509999999999991</v>
      </c>
      <c r="FQ6" t="b">
        <f>OR(FG6, Buckets_2_24[[#This Row],[After T]]&lt;0)</f>
        <v>1</v>
      </c>
      <c r="FR6" s="29">
        <f>IF(Buckets_2_24[[#This Row],[Is Crit]], Buckets_2_24[[#This Row],[S Cap Diff]], 0)</f>
        <v>26.509999999999991</v>
      </c>
      <c r="FS6" s="29">
        <f>Buckets_2_24[[#This Row],[Before Fill]]+Buckets_2_24[[#This Row],[Crit To Fill]]</f>
        <v>300</v>
      </c>
      <c r="FT6" s="29">
        <f>IF(NOT(Buckets_2_24[[#This Row],[Is Crit]]), Buckets_2_24[[#This Row],[S Cap Diff]], 0)</f>
        <v>0</v>
      </c>
      <c r="FU6" s="29">
        <f>ROUND(FS$41/Buckets_2_24[[#Totals],[NC To Fill]]*Buckets_2_24[[#This Row],[NC To Fill]], 2)</f>
        <v>0</v>
      </c>
      <c r="FV6" s="31">
        <f>Buckets_2_24[[#This Row],[Pre Scale]] + IF($D6="Unexpected Fund", FS22-Buckets_2_24[[#Totals],[Pre Scale]], 0)</f>
        <v>0</v>
      </c>
      <c r="FW6" s="31">
        <f>Buckets_2_24[[#This Row],[Crit Filled]]+Buckets_2_24[[#This Row],[Scaled]]</f>
        <v>300</v>
      </c>
      <c r="FX6" s="31">
        <f>Buckets_2_24[[#This Row],[NC Filled]]</f>
        <v>300</v>
      </c>
      <c r="FY6" s="31">
        <f>Buckets_2_24[[#This Row],[Capacity]]-Buckets_2_24[[#This Row],[Final]]</f>
        <v>0</v>
      </c>
      <c r="FZ6" s="33">
        <f>IF(Buckets_2_24[[#This Row],[Capacity]]=0, 1, Buckets_2_24[[#This Row],[Final]]/Buckets_2_24[[#This Row],[Capacity]])</f>
        <v>1</v>
      </c>
      <c r="GB6" s="40">
        <f>Buckets_2_24[[#This Row],[Final]]</f>
        <v>300</v>
      </c>
      <c r="GC6" s="40">
        <f>Buckets_2_24[[#This Row],[Capacity]]</f>
        <v>300</v>
      </c>
      <c r="GD6" s="41" t="b">
        <f t="shared" si="35"/>
        <v>1</v>
      </c>
      <c r="GE6" s="42"/>
      <c r="GF6" s="42"/>
      <c r="GG6" s="42"/>
      <c r="GH6" s="42">
        <v>500</v>
      </c>
      <c r="GI6" s="43"/>
      <c r="GJ6" s="40">
        <f t="shared" si="36"/>
        <v>300</v>
      </c>
      <c r="GK6" s="40">
        <f t="shared" si="37"/>
        <v>500</v>
      </c>
      <c r="GL6" s="41" t="b">
        <f t="shared" si="6"/>
        <v>1</v>
      </c>
      <c r="GN6" s="29">
        <f t="shared" si="38"/>
        <v>300</v>
      </c>
      <c r="GO6" s="29">
        <f>GetTransactionTotal(AggregateTable2024[], AggregateTable2024[Start], GN$1, AggregateTable2024[#Headers], $D6)</f>
        <v>-50.56</v>
      </c>
      <c r="GP6" s="29">
        <f>Buckets_3_24[[#This Row],[Start]]+Buckets_3_24[[#This Row],[Transactions]]</f>
        <v>249.44</v>
      </c>
      <c r="GQ6" s="29">
        <f t="shared" si="39"/>
        <v>500</v>
      </c>
      <c r="GR6" s="29">
        <f>Buckets_3_24[[#This Row],[Capacity]]-Buckets_3_24[[#This Row],[After T]]</f>
        <v>250.56</v>
      </c>
      <c r="GS6" s="29">
        <f>MAX(-Buckets_3_24[[#This Row],[Cap Diff]], 0)</f>
        <v>0</v>
      </c>
      <c r="GT6" s="29">
        <f>Buckets_3_24[[#This Row],[After T]]-Buckets_3_24[[#This Row],[Slush]]</f>
        <v>249.44</v>
      </c>
      <c r="GU6" s="29">
        <f>Buckets_3_24[[#This Row],[Capacity]]-Buckets_3_24[[#This Row],[Before Fill]]</f>
        <v>250.56</v>
      </c>
      <c r="GV6" t="b">
        <f>OR(GL6, Buckets_3_24[[#This Row],[After T]]&lt;0)</f>
        <v>1</v>
      </c>
      <c r="GW6" s="29">
        <f>IF(Buckets_3_24[[#This Row],[Is Crit]], Buckets_3_24[[#This Row],[S Cap Diff]], 0)</f>
        <v>250.56</v>
      </c>
      <c r="GX6" s="29">
        <f>Buckets_3_24[[#This Row],[Before Fill]]+Buckets_3_24[[#This Row],[Crit To Fill]]</f>
        <v>500</v>
      </c>
      <c r="GY6" s="29">
        <f>IF(NOT(Buckets_3_24[[#This Row],[Is Crit]]), Buckets_3_24[[#This Row],[S Cap Diff]], 0)</f>
        <v>0</v>
      </c>
      <c r="GZ6" s="29">
        <f>ROUND(GX$41/Buckets_3_24[[#Totals],[NC To Fill]]*Buckets_3_24[[#This Row],[NC To Fill]], 2)</f>
        <v>0</v>
      </c>
      <c r="HA6" s="31">
        <f>Buckets_3_24[[#This Row],[Pre Scale]] + IF($D6="Unexpected Fund", GX22-Buckets_3_24[[#Totals],[Pre Scale]], 0)</f>
        <v>0</v>
      </c>
      <c r="HB6" s="31">
        <f>Buckets_3_24[[#This Row],[Crit Filled]]+Buckets_3_24[[#This Row],[Scaled]]</f>
        <v>500</v>
      </c>
      <c r="HC6" s="31">
        <f>Buckets_3_24[[#This Row],[NC Filled]]</f>
        <v>500</v>
      </c>
      <c r="HD6" s="31">
        <f>Buckets_3_24[[#This Row],[Capacity]]-Buckets_3_24[[#This Row],[Final]]</f>
        <v>0</v>
      </c>
      <c r="HE6" s="33">
        <f>IF(Buckets_3_24[[#This Row],[Capacity]]=0, 1, Buckets_3_24[[#This Row],[Final]]/Buckets_3_24[[#This Row],[Capacity]])</f>
        <v>1</v>
      </c>
      <c r="HG6" s="40">
        <f>Buckets_3_24[[#This Row],[Final]]</f>
        <v>500</v>
      </c>
      <c r="HH6" s="40">
        <f>Buckets_3_24[[#This Row],[Capacity]]</f>
        <v>500</v>
      </c>
      <c r="HI6" s="41" t="b">
        <f t="shared" si="40"/>
        <v>1</v>
      </c>
      <c r="HJ6" s="42"/>
      <c r="HK6" s="42"/>
      <c r="HL6" s="42"/>
      <c r="HM6" s="42"/>
      <c r="HN6" s="43"/>
      <c r="HO6" s="40">
        <f t="shared" si="41"/>
        <v>500</v>
      </c>
      <c r="HP6" s="40">
        <f t="shared" si="42"/>
        <v>500</v>
      </c>
      <c r="HQ6" s="41" t="b">
        <f t="shared" si="7"/>
        <v>1</v>
      </c>
      <c r="HS6" s="29">
        <f t="shared" si="43"/>
        <v>500</v>
      </c>
      <c r="HT6" s="29">
        <f>GetTransactionTotal(AggregateTable2024[], AggregateTable2024[Start], HS$1, AggregateTable2024[#Headers], $D6)</f>
        <v>0</v>
      </c>
      <c r="HU6" s="29">
        <f>Buckets_4_24[[#This Row],[Start]]+Buckets_4_24[[#This Row],[Transactions]]</f>
        <v>500</v>
      </c>
      <c r="HV6" s="29">
        <f t="shared" si="44"/>
        <v>500</v>
      </c>
      <c r="HW6" s="29">
        <f>Buckets_4_24[[#This Row],[Capacity]]-Buckets_4_24[[#This Row],[After T]]</f>
        <v>0</v>
      </c>
      <c r="HX6" s="29">
        <f>MAX(-Buckets_4_24[[#This Row],[Cap Diff]], 0)</f>
        <v>0</v>
      </c>
      <c r="HY6" s="29">
        <f>Buckets_4_24[[#This Row],[After T]]-Buckets_4_24[[#This Row],[Slush]]</f>
        <v>500</v>
      </c>
      <c r="HZ6" s="29">
        <f>Buckets_4_24[[#This Row],[Capacity]]-Buckets_4_24[[#This Row],[Before Fill]]</f>
        <v>0</v>
      </c>
      <c r="IA6" t="b">
        <f>OR(HQ6, Buckets_4_24[[#This Row],[After T]]&lt;0)</f>
        <v>1</v>
      </c>
      <c r="IB6" s="29">
        <f>IF(Buckets_4_24[[#This Row],[Is Crit]], Buckets_4_24[[#This Row],[S Cap Diff]], 0)</f>
        <v>0</v>
      </c>
      <c r="IC6" s="29">
        <f>Buckets_4_24[[#This Row],[Before Fill]]+Buckets_4_24[[#This Row],[Crit To Fill]]</f>
        <v>500</v>
      </c>
      <c r="ID6" s="29">
        <f>IF(NOT(Buckets_4_24[[#This Row],[Is Crit]]), Buckets_4_24[[#This Row],[S Cap Diff]], 0)</f>
        <v>0</v>
      </c>
      <c r="IE6" s="29">
        <f>ROUND(IC$41/Buckets_4_24[[#Totals],[NC To Fill]]*Buckets_4_24[[#This Row],[NC To Fill]], 2)</f>
        <v>0</v>
      </c>
      <c r="IF6" s="31">
        <f>Buckets_4_24[[#This Row],[Pre Scale]] + IF($D6="Unexpected Fund", IC22-Buckets_4_24[[#Totals],[Pre Scale]], 0)</f>
        <v>0</v>
      </c>
      <c r="IG6" s="31">
        <f>Buckets_4_24[[#This Row],[Crit Filled]]+Buckets_4_24[[#This Row],[Scaled]]</f>
        <v>500</v>
      </c>
      <c r="IH6" s="31">
        <f>Buckets_4_24[[#This Row],[NC Filled]]</f>
        <v>500</v>
      </c>
      <c r="II6" s="31">
        <f>Buckets_4_24[[#This Row],[Capacity]]-Buckets_4_24[[#This Row],[Final]]</f>
        <v>0</v>
      </c>
      <c r="IJ6" s="33">
        <f>IF(Buckets_4_24[[#This Row],[Capacity]]=0, 1, Buckets_4_24[[#This Row],[Final]]/Buckets_4_24[[#This Row],[Capacity]])</f>
        <v>1</v>
      </c>
      <c r="IL6" s="40">
        <f>Buckets_4_24[[#This Row],[Final]]</f>
        <v>500</v>
      </c>
      <c r="IM6" s="40">
        <f>Buckets_4_24[[#This Row],[Capacity]]</f>
        <v>500</v>
      </c>
      <c r="IN6" s="41" t="b">
        <f t="shared" si="45"/>
        <v>1</v>
      </c>
      <c r="IO6" s="42"/>
      <c r="IP6" s="42"/>
      <c r="IQ6" s="42"/>
      <c r="IR6" s="42"/>
      <c r="IS6" s="43"/>
      <c r="IT6" s="40">
        <f t="shared" si="46"/>
        <v>500</v>
      </c>
      <c r="IU6" s="40">
        <f t="shared" si="47"/>
        <v>500</v>
      </c>
      <c r="IV6" s="41" t="b">
        <f t="shared" si="8"/>
        <v>1</v>
      </c>
    </row>
    <row r="7" spans="1:256" x14ac:dyDescent="0.25">
      <c r="A7" s="49"/>
      <c r="B7" t="s">
        <v>318</v>
      </c>
      <c r="C7" t="s">
        <v>116</v>
      </c>
      <c r="D7" t="s">
        <v>284</v>
      </c>
      <c r="F7" s="30">
        <v>50</v>
      </c>
      <c r="G7" s="38">
        <v>100</v>
      </c>
      <c r="H7" t="b">
        <v>1</v>
      </c>
      <c r="J7" s="50">
        <f t="shared" si="9"/>
        <v>50</v>
      </c>
      <c r="K7" s="50">
        <f>GetTransactionTotal(AggregateTable2023[], AggregateTable2023[Start], J$1, AggregateTable2023[#Headers], $D7)</f>
        <v>0</v>
      </c>
      <c r="L7" s="50">
        <f>Buckets_9_23[[#This Row],[Start]]+Buckets_9_23[[#This Row],[Transactions]]</f>
        <v>50</v>
      </c>
      <c r="M7" s="50">
        <f t="shared" si="10"/>
        <v>100</v>
      </c>
      <c r="N7" s="50">
        <f>Buckets_9_23[[#This Row],[Capacity]]-Buckets_9_23[[#This Row],[After T]]</f>
        <v>50</v>
      </c>
      <c r="O7" s="50">
        <f>IF(Buckets_9_23[[#This Row],[After T]]&lt;0, Buckets_9_23[[#This Row],[After T]], IF(Buckets_9_23[[#This Row],[Cap Diff]]&lt;0, -Buckets_9_23[[#This Row],[Cap Diff]], 0))</f>
        <v>0</v>
      </c>
      <c r="P7" s="50">
        <f>Buckets_9_23[[#This Row],[After T]]-Buckets_9_23[[#This Row],[Slush]]</f>
        <v>50</v>
      </c>
      <c r="Q7" s="50">
        <f>Buckets_9_23[[#This Row],[Capacity]]-Buckets_9_23[[#This Row],[Before Fill]]</f>
        <v>50</v>
      </c>
      <c r="R7" s="31" t="b">
        <f t="shared" si="0"/>
        <v>1</v>
      </c>
      <c r="S7" s="50">
        <f>IF(Buckets_9_23[[#This Row],[Is Crit]], Buckets_9_23[[#This Row],[S Cap Diff]], 0)</f>
        <v>50</v>
      </c>
      <c r="T7" s="50">
        <f>Buckets_9_23[[#This Row],[Before Fill]]+Buckets_9_23[[#This Row],[Crit To Fill]]</f>
        <v>100</v>
      </c>
      <c r="U7" s="50">
        <f>IF(NOT(Buckets_9_23[[#This Row],[Is Crit]]), Buckets_9_23[[#This Row],[S Cap Diff]], 0)</f>
        <v>0</v>
      </c>
      <c r="V7" s="50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A7" s="51">
        <f>IF(Buckets_9_23[[#This Row],[Capacity]]=0, 1, Buckets_9_23[[#This Row],[Final]]/Buckets_9_23[[#This Row],[Capacity]])</f>
        <v>1</v>
      </c>
      <c r="AC7" s="31">
        <f>Buckets_9_23[[#This Row],[Final]]</f>
        <v>100</v>
      </c>
      <c r="AD7" s="31">
        <f>Buckets_9_23[[#This Row],[Capacity]]</f>
        <v>100</v>
      </c>
      <c r="AE7" t="b">
        <f>H7</f>
        <v>1</v>
      </c>
      <c r="AF7" s="43"/>
      <c r="AG7" s="42"/>
      <c r="AH7" s="43"/>
      <c r="AI7" s="42"/>
      <c r="AJ7" s="43"/>
      <c r="AK7" s="40">
        <f t="shared" si="11"/>
        <v>100</v>
      </c>
      <c r="AL7" s="40">
        <f t="shared" si="12"/>
        <v>100</v>
      </c>
      <c r="AM7" s="41" t="b">
        <f t="shared" si="1"/>
        <v>1</v>
      </c>
      <c r="AO7" s="29">
        <f t="shared" si="13"/>
        <v>100</v>
      </c>
      <c r="AP7" s="29">
        <f>GetTransactionTotal(AggregateTable2023[], AggregateTable2023[Start], AO$1, AggregateTable2023[#Headers], $D7)</f>
        <v>0</v>
      </c>
      <c r="AQ7" s="29">
        <f>Buckets_10_23[[#This Row],[Start]]+Buckets_10_23[[#This Row],[Transactions]]</f>
        <v>100</v>
      </c>
      <c r="AR7" s="29">
        <f t="shared" si="14"/>
        <v>100</v>
      </c>
      <c r="AS7" s="29">
        <f>Buckets_10_23[[#This Row],[Capacity]]-Buckets_10_23[[#This Row],[After T]]</f>
        <v>0</v>
      </c>
      <c r="AT7" s="29">
        <f>MAX(-Buckets_10_23[[#This Row],[Cap Diff]], 0)</f>
        <v>0</v>
      </c>
      <c r="AU7" s="29">
        <f>Buckets_10_23[[#This Row],[After T]]-Buckets_10_23[[#This Row],[Slush]]</f>
        <v>100</v>
      </c>
      <c r="AV7" s="29">
        <f>Buckets_10_23[[#This Row],[Capacity]]-Buckets_10_23[[#This Row],[Before Fill]]</f>
        <v>0</v>
      </c>
      <c r="AW7" t="b">
        <f>OR(AM7, Buckets_10_23[[#This Row],[After T]]&lt;0)</f>
        <v>1</v>
      </c>
      <c r="AX7" s="29">
        <f>IF(Buckets_10_23[[#This Row],[Is Crit]], Buckets_10_23[[#This Row],[S Cap Diff]], 0)</f>
        <v>0</v>
      </c>
      <c r="AY7" s="29">
        <f>Buckets_10_23[[#This Row],[Before Fill]]+Buckets_10_23[[#This Row],[Crit To Fill]]</f>
        <v>100</v>
      </c>
      <c r="AZ7" s="29">
        <f>IF(NOT(Buckets_10_23[[#This Row],[Is Crit]]), Buckets_10_23[[#This Row],[S Cap Diff]], 0)</f>
        <v>0</v>
      </c>
      <c r="BA7" s="29">
        <f>ROUND(AY$41/Buckets_10_23[[#Totals],[NC To Fill]]*Buckets_10_23[[#This Row],[NC To Fill]], 2)</f>
        <v>0</v>
      </c>
      <c r="BB7" s="31">
        <f>Buckets_10_23[[#This Row],[Pre Scale]] + IF($D7="Unexpected Fund", AY23-Buckets_10_23[[#Totals],[Pre Scale]], 0)</f>
        <v>0</v>
      </c>
      <c r="BC7" s="31">
        <f>Buckets_10_23[[#This Row],[Crit Filled]]+Buckets_10_23[[#This Row],[Scaled]]</f>
        <v>100</v>
      </c>
      <c r="BD7" s="31">
        <f>Buckets_10_23[[#This Row],[NC Filled]]</f>
        <v>100</v>
      </c>
      <c r="BE7" s="31">
        <f>Buckets_10_23[[#This Row],[Capacity]]-Buckets_10_23[[#This Row],[Final]]</f>
        <v>0</v>
      </c>
      <c r="BF7" s="33">
        <f>IF(Buckets_10_23[[#This Row],[Capacity]]=0, 1, Buckets_10_23[[#This Row],[Final]]/Buckets_10_23[[#This Row],[Capacity]])</f>
        <v>1</v>
      </c>
      <c r="BH7" s="31">
        <f>Buckets_10_23[[#This Row],[Final]]</f>
        <v>100</v>
      </c>
      <c r="BI7" s="31">
        <f>Buckets_10_23[[#This Row],[Capacity]]</f>
        <v>100</v>
      </c>
      <c r="BJ7" t="b">
        <f t="shared" si="15"/>
        <v>1</v>
      </c>
      <c r="BK7" s="43"/>
      <c r="BL7" s="42"/>
      <c r="BM7" s="43"/>
      <c r="BN7" s="42"/>
      <c r="BO7" s="43"/>
      <c r="BP7" s="40">
        <f t="shared" si="16"/>
        <v>100</v>
      </c>
      <c r="BQ7" s="40">
        <f t="shared" si="17"/>
        <v>100</v>
      </c>
      <c r="BR7" s="41" t="b">
        <f t="shared" si="2"/>
        <v>1</v>
      </c>
      <c r="BT7" s="29">
        <f t="shared" si="18"/>
        <v>100</v>
      </c>
      <c r="BU7" s="29">
        <f>GetTransactionTotal(AggregateTable2023[], AggregateTable2023[Start], BT$1, AggregateTable2023[#Headers], $D7)</f>
        <v>0</v>
      </c>
      <c r="BV7" s="29">
        <f>Buckets_11_23[[#This Row],[Start]]+Buckets_11_23[[#This Row],[Transactions]]</f>
        <v>100</v>
      </c>
      <c r="BW7" s="29">
        <f t="shared" si="19"/>
        <v>100</v>
      </c>
      <c r="BX7" s="29">
        <f>Buckets_11_23[[#This Row],[Capacity]]-Buckets_11_23[[#This Row],[After T]]</f>
        <v>0</v>
      </c>
      <c r="BY7" s="29">
        <f>MAX(-Buckets_11_23[[#This Row],[Cap Diff]], 0)</f>
        <v>0</v>
      </c>
      <c r="BZ7" s="29">
        <f>Buckets_11_23[[#This Row],[After T]]-Buckets_11_23[[#This Row],[Slush]]</f>
        <v>100</v>
      </c>
      <c r="CA7" s="29">
        <f>Buckets_11_23[[#This Row],[Capacity]]-Buckets_11_23[[#This Row],[Before Fill]]</f>
        <v>0</v>
      </c>
      <c r="CB7" t="b">
        <f>OR(BR7, Buckets_11_23[[#This Row],[After T]]&lt;0)</f>
        <v>1</v>
      </c>
      <c r="CC7" s="29">
        <f>IF(Buckets_11_23[[#This Row],[Is Crit]], Buckets_11_23[[#This Row],[S Cap Diff]], 0)</f>
        <v>0</v>
      </c>
      <c r="CD7" s="29">
        <f>Buckets_11_23[[#This Row],[Before Fill]]+Buckets_11_23[[#This Row],[Crit To Fill]]</f>
        <v>100</v>
      </c>
      <c r="CE7" s="29">
        <f>IF(NOT(Buckets_11_23[[#This Row],[Is Crit]]), Buckets_11_23[[#This Row],[S Cap Diff]], 0)</f>
        <v>0</v>
      </c>
      <c r="CF7" s="29">
        <f>ROUND(CD$41/Buckets_11_23[[#Totals],[NC To Fill]]*Buckets_11_23[[#This Row],[NC To Fill]], 2)</f>
        <v>0</v>
      </c>
      <c r="CG7" s="31">
        <f>Buckets_11_23[[#This Row],[Pre Scale]] + IF($D7="Unexpected Fund", CD23-Buckets_11_23[[#Totals],[Pre Scale]], 0)</f>
        <v>0</v>
      </c>
      <c r="CH7" s="31">
        <f>Buckets_11_23[[#This Row],[Crit Filled]]+Buckets_11_23[[#This Row],[Scaled]]</f>
        <v>100</v>
      </c>
      <c r="CI7" s="31">
        <f>Buckets_11_23[[#This Row],[NC Filled]]</f>
        <v>100</v>
      </c>
      <c r="CJ7" s="31">
        <f>Buckets_11_23[[#This Row],[Capacity]]-Buckets_11_23[[#This Row],[Final]]</f>
        <v>0</v>
      </c>
      <c r="CK7" s="33">
        <f>IF(Buckets_11_23[[#This Row],[Capacity]]=0, 1, Buckets_11_23[[#This Row],[Final]]/Buckets_11_23[[#This Row],[Capacity]])</f>
        <v>1</v>
      </c>
      <c r="CM7" s="40">
        <f>Buckets_11_23[[#This Row],[Final]]</f>
        <v>100</v>
      </c>
      <c r="CN7" s="40">
        <f>Buckets_11_23[[#This Row],[Capacity]]</f>
        <v>100</v>
      </c>
      <c r="CO7" s="41" t="b">
        <f t="shared" si="20"/>
        <v>1</v>
      </c>
      <c r="CP7" s="42"/>
      <c r="CQ7" s="42"/>
      <c r="CR7" s="42"/>
      <c r="CS7" s="42"/>
      <c r="CT7" s="43"/>
      <c r="CU7" s="40">
        <f t="shared" si="21"/>
        <v>100</v>
      </c>
      <c r="CV7" s="40">
        <f t="shared" si="22"/>
        <v>100</v>
      </c>
      <c r="CW7" s="41" t="b">
        <f t="shared" si="3"/>
        <v>1</v>
      </c>
      <c r="CY7" s="29">
        <f t="shared" si="23"/>
        <v>100</v>
      </c>
      <c r="CZ7" s="29">
        <f>GetTransactionTotal(AggregateTable2023[], AggregateTable2023[Start], CY$1, AggregateTable2023[#Headers], $D7)</f>
        <v>0</v>
      </c>
      <c r="DA7" s="29">
        <f>Buckets_12_23[[#This Row],[Start]]+Buckets_12_23[[#This Row],[Transactions]]</f>
        <v>100</v>
      </c>
      <c r="DB7" s="29">
        <f t="shared" si="24"/>
        <v>100</v>
      </c>
      <c r="DC7" s="29">
        <f>Buckets_12_23[[#This Row],[Capacity]]-Buckets_12_23[[#This Row],[After T]]</f>
        <v>0</v>
      </c>
      <c r="DD7" s="29">
        <f>MAX(-Buckets_12_23[[#This Row],[Cap Diff]], 0)</f>
        <v>0</v>
      </c>
      <c r="DE7" s="29">
        <f>Buckets_12_23[[#This Row],[After T]]-Buckets_12_23[[#This Row],[Slush]]</f>
        <v>100</v>
      </c>
      <c r="DF7" s="29">
        <f>Buckets_12_23[[#This Row],[Capacity]]-Buckets_12_23[[#This Row],[Before Fill]]</f>
        <v>0</v>
      </c>
      <c r="DG7" t="b">
        <f>OR(CW7, Buckets_12_23[[#This Row],[After T]]&lt;0)</f>
        <v>1</v>
      </c>
      <c r="DH7" s="29">
        <f>IF(Buckets_12_23[[#This Row],[Is Crit]], Buckets_12_23[[#This Row],[S Cap Diff]], 0)</f>
        <v>0</v>
      </c>
      <c r="DI7" s="29">
        <f>Buckets_12_23[[#This Row],[Before Fill]]+Buckets_12_23[[#This Row],[Crit To Fill]]</f>
        <v>100</v>
      </c>
      <c r="DJ7" s="29">
        <f>IF(NOT(Buckets_12_23[[#This Row],[Is Crit]]), Buckets_12_23[[#This Row],[S Cap Diff]], 0)</f>
        <v>0</v>
      </c>
      <c r="DK7" s="29">
        <f>ROUND(DI$41/Buckets_12_23[[#Totals],[NC To Fill]]*Buckets_12_23[[#This Row],[NC To Fill]], 2)</f>
        <v>0</v>
      </c>
      <c r="DL7" s="31">
        <f>Buckets_12_23[[#This Row],[Pre Scale]] + IF($D7="Unexpected Fund", DI23-Buckets_12_23[[#Totals],[Pre Scale]], 0)</f>
        <v>0</v>
      </c>
      <c r="DM7" s="31">
        <f>Buckets_12_23[[#This Row],[Crit Filled]]+Buckets_12_23[[#This Row],[Scaled]]</f>
        <v>100</v>
      </c>
      <c r="DN7" s="31">
        <f>Buckets_12_23[[#This Row],[NC Filled]]</f>
        <v>100</v>
      </c>
      <c r="DO7" s="31">
        <f>Buckets_12_23[[#This Row],[Capacity]]-Buckets_12_23[[#This Row],[Final]]</f>
        <v>0</v>
      </c>
      <c r="DP7" s="33">
        <f>IF(Buckets_12_23[[#This Row],[Capacity]]=0, 1, Buckets_12_23[[#This Row],[Final]]/Buckets_12_23[[#This Row],[Capacity]])</f>
        <v>1</v>
      </c>
      <c r="DR7" s="40">
        <f>Buckets_12_23[[#This Row],[Final]]</f>
        <v>100</v>
      </c>
      <c r="DS7" s="40">
        <f>Buckets_12_23[[#This Row],[Capacity]]</f>
        <v>100</v>
      </c>
      <c r="DT7" s="41" t="b">
        <f t="shared" si="25"/>
        <v>1</v>
      </c>
      <c r="DU7" s="42"/>
      <c r="DV7" s="42"/>
      <c r="DW7" s="42"/>
      <c r="DX7" s="42"/>
      <c r="DY7" s="43"/>
      <c r="DZ7" s="40">
        <f t="shared" si="26"/>
        <v>100</v>
      </c>
      <c r="EA7" s="40">
        <f t="shared" si="27"/>
        <v>100</v>
      </c>
      <c r="EB7" s="41" t="b">
        <f t="shared" si="4"/>
        <v>1</v>
      </c>
      <c r="ED7" s="29">
        <f t="shared" si="28"/>
        <v>100</v>
      </c>
      <c r="EE7" s="29">
        <f>GetTransactionTotal(AggregateTable2024[], AggregateTable2024[Start], ED$1, AggregateTable2024[#Headers], $D7)</f>
        <v>0</v>
      </c>
      <c r="EF7" s="29">
        <f>Buckets_1_24[[#This Row],[Start]]+Buckets_1_24[[#This Row],[Transactions]]</f>
        <v>100</v>
      </c>
      <c r="EG7" s="29">
        <f t="shared" si="29"/>
        <v>100</v>
      </c>
      <c r="EH7" s="29">
        <f>Buckets_1_24[[#This Row],[Capacity]]-Buckets_1_24[[#This Row],[After T]]</f>
        <v>0</v>
      </c>
      <c r="EI7" s="29">
        <f>MAX(-Buckets_1_24[[#This Row],[Cap Diff]], 0)</f>
        <v>0</v>
      </c>
      <c r="EJ7" s="29">
        <f>Buckets_1_24[[#This Row],[After T]]-Buckets_1_24[[#This Row],[Slush]]</f>
        <v>100</v>
      </c>
      <c r="EK7" s="29">
        <f>Buckets_1_24[[#This Row],[Capacity]]-Buckets_1_24[[#This Row],[Before Fill]]</f>
        <v>0</v>
      </c>
      <c r="EL7" t="b">
        <f>OR(EB7, Buckets_1_24[[#This Row],[After T]]&lt;0)</f>
        <v>1</v>
      </c>
      <c r="EM7" s="29">
        <f>IF(Buckets_1_24[[#This Row],[Is Crit]], Buckets_1_24[[#This Row],[S Cap Diff]], 0)</f>
        <v>0</v>
      </c>
      <c r="EN7" s="29">
        <f>Buckets_1_24[[#This Row],[Before Fill]]+Buckets_1_24[[#This Row],[Crit To Fill]]</f>
        <v>100</v>
      </c>
      <c r="EO7" s="29">
        <f>IF(NOT(Buckets_1_24[[#This Row],[Is Crit]]), Buckets_1_24[[#This Row],[S Cap Diff]], 0)</f>
        <v>0</v>
      </c>
      <c r="EP7" s="29">
        <f>ROUND(EN$41/Buckets_1_24[[#Totals],[NC To Fill]]*Buckets_1_24[[#This Row],[NC To Fill]], 2)</f>
        <v>0</v>
      </c>
      <c r="EQ7" s="31">
        <f>Buckets_1_24[[#This Row],[Pre Scale]] + IF($D7="Unexpected Fund", EN23-Buckets_1_24[[#Totals],[Pre Scale]], 0)</f>
        <v>0</v>
      </c>
      <c r="ER7" s="31">
        <f>Buckets_1_24[[#This Row],[Crit Filled]]+Buckets_1_24[[#This Row],[Scaled]]</f>
        <v>100</v>
      </c>
      <c r="ES7" s="31">
        <f>Buckets_1_24[[#This Row],[NC Filled]]</f>
        <v>100</v>
      </c>
      <c r="ET7" s="31">
        <f>Buckets_1_24[[#This Row],[Capacity]]-Buckets_1_24[[#This Row],[Final]]</f>
        <v>0</v>
      </c>
      <c r="EU7" s="33">
        <f>IF(Buckets_1_24[[#This Row],[Capacity]]=0, 1, Buckets_1_24[[#This Row],[Final]]/Buckets_1_24[[#This Row],[Capacity]])</f>
        <v>1</v>
      </c>
      <c r="EW7" s="40">
        <f>Buckets_1_24[[#This Row],[Final]]</f>
        <v>100</v>
      </c>
      <c r="EX7" s="40">
        <f>Buckets_1_24[[#This Row],[Capacity]]</f>
        <v>100</v>
      </c>
      <c r="EY7" s="41" t="b">
        <f t="shared" si="30"/>
        <v>1</v>
      </c>
      <c r="EZ7" s="42"/>
      <c r="FA7" s="42"/>
      <c r="FB7" s="42"/>
      <c r="FC7" s="42"/>
      <c r="FD7" s="43"/>
      <c r="FE7" s="40">
        <f t="shared" si="31"/>
        <v>100</v>
      </c>
      <c r="FF7" s="40">
        <f t="shared" si="32"/>
        <v>100</v>
      </c>
      <c r="FG7" s="41" t="b">
        <f t="shared" si="5"/>
        <v>1</v>
      </c>
      <c r="FI7" s="29">
        <f t="shared" si="33"/>
        <v>100</v>
      </c>
      <c r="FJ7" s="29">
        <f>GetTransactionTotal(AggregateTable2024[], AggregateTable2024[Start], FI$1, AggregateTable2024[#Headers], $D7)</f>
        <v>0</v>
      </c>
      <c r="FK7" s="29">
        <f>Buckets_2_24[[#This Row],[Start]]+Buckets_2_24[[#This Row],[Transactions]]</f>
        <v>100</v>
      </c>
      <c r="FL7" s="29">
        <f t="shared" si="34"/>
        <v>100</v>
      </c>
      <c r="FM7" s="29">
        <f>Buckets_2_24[[#This Row],[Capacity]]-Buckets_2_24[[#This Row],[After T]]</f>
        <v>0</v>
      </c>
      <c r="FN7" s="29">
        <f>MAX(-Buckets_2_24[[#This Row],[Cap Diff]], 0)</f>
        <v>0</v>
      </c>
      <c r="FO7" s="29">
        <f>Buckets_2_24[[#This Row],[After T]]-Buckets_2_24[[#This Row],[Slush]]</f>
        <v>100</v>
      </c>
      <c r="FP7" s="29">
        <f>Buckets_2_24[[#This Row],[Capacity]]-Buckets_2_24[[#This Row],[Before Fill]]</f>
        <v>0</v>
      </c>
      <c r="FQ7" t="b">
        <f>OR(FG7, Buckets_2_24[[#This Row],[After T]]&lt;0)</f>
        <v>1</v>
      </c>
      <c r="FR7" s="29">
        <f>IF(Buckets_2_24[[#This Row],[Is Crit]], Buckets_2_24[[#This Row],[S Cap Diff]], 0)</f>
        <v>0</v>
      </c>
      <c r="FS7" s="29">
        <f>Buckets_2_24[[#This Row],[Before Fill]]+Buckets_2_24[[#This Row],[Crit To Fill]]</f>
        <v>100</v>
      </c>
      <c r="FT7" s="29">
        <f>IF(NOT(Buckets_2_24[[#This Row],[Is Crit]]), Buckets_2_24[[#This Row],[S Cap Diff]], 0)</f>
        <v>0</v>
      </c>
      <c r="FU7" s="29">
        <f>ROUND(FS$41/Buckets_2_24[[#Totals],[NC To Fill]]*Buckets_2_24[[#This Row],[NC To Fill]], 2)</f>
        <v>0</v>
      </c>
      <c r="FV7" s="31">
        <f>Buckets_2_24[[#This Row],[Pre Scale]] + IF($D7="Unexpected Fund", FS23-Buckets_2_24[[#Totals],[Pre Scale]], 0)</f>
        <v>0</v>
      </c>
      <c r="FW7" s="31">
        <f>Buckets_2_24[[#This Row],[Crit Filled]]+Buckets_2_24[[#This Row],[Scaled]]</f>
        <v>100</v>
      </c>
      <c r="FX7" s="31">
        <f>Buckets_2_24[[#This Row],[NC Filled]]</f>
        <v>100</v>
      </c>
      <c r="FY7" s="31">
        <f>Buckets_2_24[[#This Row],[Capacity]]-Buckets_2_24[[#This Row],[Final]]</f>
        <v>0</v>
      </c>
      <c r="FZ7" s="33">
        <f>IF(Buckets_2_24[[#This Row],[Capacity]]=0, 1, Buckets_2_24[[#This Row],[Final]]/Buckets_2_24[[#This Row],[Capacity]])</f>
        <v>1</v>
      </c>
      <c r="GB7" s="40">
        <f>Buckets_2_24[[#This Row],[Final]]</f>
        <v>100</v>
      </c>
      <c r="GC7" s="40">
        <f>Buckets_2_24[[#This Row],[Capacity]]</f>
        <v>100</v>
      </c>
      <c r="GD7" s="41" t="b">
        <f t="shared" si="35"/>
        <v>1</v>
      </c>
      <c r="GE7" s="42"/>
      <c r="GF7" s="42"/>
      <c r="GG7" s="42"/>
      <c r="GH7" s="42"/>
      <c r="GI7" s="43"/>
      <c r="GJ7" s="40">
        <f t="shared" si="36"/>
        <v>100</v>
      </c>
      <c r="GK7" s="40">
        <f t="shared" si="37"/>
        <v>100</v>
      </c>
      <c r="GL7" s="41" t="b">
        <f t="shared" si="6"/>
        <v>1</v>
      </c>
      <c r="GN7" s="29">
        <f t="shared" si="38"/>
        <v>100</v>
      </c>
      <c r="GO7" s="29">
        <f>GetTransactionTotal(AggregateTable2024[], AggregateTable2024[Start], GN$1, AggregateTable2024[#Headers], $D7)</f>
        <v>0</v>
      </c>
      <c r="GP7" s="29">
        <f>Buckets_3_24[[#This Row],[Start]]+Buckets_3_24[[#This Row],[Transactions]]</f>
        <v>100</v>
      </c>
      <c r="GQ7" s="29">
        <f t="shared" si="39"/>
        <v>100</v>
      </c>
      <c r="GR7" s="29">
        <f>Buckets_3_24[[#This Row],[Capacity]]-Buckets_3_24[[#This Row],[After T]]</f>
        <v>0</v>
      </c>
      <c r="GS7" s="29">
        <f>MAX(-Buckets_3_24[[#This Row],[Cap Diff]], 0)</f>
        <v>0</v>
      </c>
      <c r="GT7" s="29">
        <f>Buckets_3_24[[#This Row],[After T]]-Buckets_3_24[[#This Row],[Slush]]</f>
        <v>100</v>
      </c>
      <c r="GU7" s="29">
        <f>Buckets_3_24[[#This Row],[Capacity]]-Buckets_3_24[[#This Row],[Before Fill]]</f>
        <v>0</v>
      </c>
      <c r="GV7" t="b">
        <f>OR(GL7, Buckets_3_24[[#This Row],[After T]]&lt;0)</f>
        <v>1</v>
      </c>
      <c r="GW7" s="29">
        <f>IF(Buckets_3_24[[#This Row],[Is Crit]], Buckets_3_24[[#This Row],[S Cap Diff]], 0)</f>
        <v>0</v>
      </c>
      <c r="GX7" s="29">
        <f>Buckets_3_24[[#This Row],[Before Fill]]+Buckets_3_24[[#This Row],[Crit To Fill]]</f>
        <v>100</v>
      </c>
      <c r="GY7" s="29">
        <f>IF(NOT(Buckets_3_24[[#This Row],[Is Crit]]), Buckets_3_24[[#This Row],[S Cap Diff]], 0)</f>
        <v>0</v>
      </c>
      <c r="GZ7" s="29">
        <f>ROUND(GX$41/Buckets_3_24[[#Totals],[NC To Fill]]*Buckets_3_24[[#This Row],[NC To Fill]], 2)</f>
        <v>0</v>
      </c>
      <c r="HA7" s="31">
        <f>Buckets_3_24[[#This Row],[Pre Scale]] + IF($D7="Unexpected Fund", GX23-Buckets_3_24[[#Totals],[Pre Scale]], 0)</f>
        <v>0</v>
      </c>
      <c r="HB7" s="31">
        <f>Buckets_3_24[[#This Row],[Crit Filled]]+Buckets_3_24[[#This Row],[Scaled]]</f>
        <v>100</v>
      </c>
      <c r="HC7" s="31">
        <f>Buckets_3_24[[#This Row],[NC Filled]]</f>
        <v>100</v>
      </c>
      <c r="HD7" s="31">
        <f>Buckets_3_24[[#This Row],[Capacity]]-Buckets_3_24[[#This Row],[Final]]</f>
        <v>0</v>
      </c>
      <c r="HE7" s="33">
        <f>IF(Buckets_3_24[[#This Row],[Capacity]]=0, 1, Buckets_3_24[[#This Row],[Final]]/Buckets_3_24[[#This Row],[Capacity]])</f>
        <v>1</v>
      </c>
      <c r="HG7" s="40">
        <f>Buckets_3_24[[#This Row],[Final]]</f>
        <v>100</v>
      </c>
      <c r="HH7" s="40">
        <f>Buckets_3_24[[#This Row],[Capacity]]</f>
        <v>100</v>
      </c>
      <c r="HI7" s="41" t="b">
        <f t="shared" si="40"/>
        <v>1</v>
      </c>
      <c r="HJ7" s="42"/>
      <c r="HK7" s="42"/>
      <c r="HL7" s="42"/>
      <c r="HM7" s="42"/>
      <c r="HN7" s="43"/>
      <c r="HO7" s="40">
        <f t="shared" si="41"/>
        <v>100</v>
      </c>
      <c r="HP7" s="40">
        <f t="shared" si="42"/>
        <v>100</v>
      </c>
      <c r="HQ7" s="41" t="b">
        <f t="shared" si="7"/>
        <v>1</v>
      </c>
      <c r="HS7" s="29">
        <f t="shared" si="43"/>
        <v>100</v>
      </c>
      <c r="HT7" s="29">
        <f>GetTransactionTotal(AggregateTable2024[], AggregateTable2024[Start], HS$1, AggregateTable2024[#Headers], $D7)</f>
        <v>0</v>
      </c>
      <c r="HU7" s="29">
        <f>Buckets_4_24[[#This Row],[Start]]+Buckets_4_24[[#This Row],[Transactions]]</f>
        <v>100</v>
      </c>
      <c r="HV7" s="29">
        <f t="shared" si="44"/>
        <v>100</v>
      </c>
      <c r="HW7" s="29">
        <f>Buckets_4_24[[#This Row],[Capacity]]-Buckets_4_24[[#This Row],[After T]]</f>
        <v>0</v>
      </c>
      <c r="HX7" s="29">
        <f>MAX(-Buckets_4_24[[#This Row],[Cap Diff]], 0)</f>
        <v>0</v>
      </c>
      <c r="HY7" s="29">
        <f>Buckets_4_24[[#This Row],[After T]]-Buckets_4_24[[#This Row],[Slush]]</f>
        <v>100</v>
      </c>
      <c r="HZ7" s="29">
        <f>Buckets_4_24[[#This Row],[Capacity]]-Buckets_4_24[[#This Row],[Before Fill]]</f>
        <v>0</v>
      </c>
      <c r="IA7" t="b">
        <f>OR(HQ7, Buckets_4_24[[#This Row],[After T]]&lt;0)</f>
        <v>1</v>
      </c>
      <c r="IB7" s="29">
        <f>IF(Buckets_4_24[[#This Row],[Is Crit]], Buckets_4_24[[#This Row],[S Cap Diff]], 0)</f>
        <v>0</v>
      </c>
      <c r="IC7" s="29">
        <f>Buckets_4_24[[#This Row],[Before Fill]]+Buckets_4_24[[#This Row],[Crit To Fill]]</f>
        <v>100</v>
      </c>
      <c r="ID7" s="29">
        <f>IF(NOT(Buckets_4_24[[#This Row],[Is Crit]]), Buckets_4_24[[#This Row],[S Cap Diff]], 0)</f>
        <v>0</v>
      </c>
      <c r="IE7" s="29">
        <f>ROUND(IC$41/Buckets_4_24[[#Totals],[NC To Fill]]*Buckets_4_24[[#This Row],[NC To Fill]], 2)</f>
        <v>0</v>
      </c>
      <c r="IF7" s="31">
        <f>Buckets_4_24[[#This Row],[Pre Scale]] + IF($D7="Unexpected Fund", IC23-Buckets_4_24[[#Totals],[Pre Scale]], 0)</f>
        <v>0</v>
      </c>
      <c r="IG7" s="31">
        <f>Buckets_4_24[[#This Row],[Crit Filled]]+Buckets_4_24[[#This Row],[Scaled]]</f>
        <v>100</v>
      </c>
      <c r="IH7" s="31">
        <f>Buckets_4_24[[#This Row],[NC Filled]]</f>
        <v>100</v>
      </c>
      <c r="II7" s="31">
        <f>Buckets_4_24[[#This Row],[Capacity]]-Buckets_4_24[[#This Row],[Final]]</f>
        <v>0</v>
      </c>
      <c r="IJ7" s="33">
        <f>IF(Buckets_4_24[[#This Row],[Capacity]]=0, 1, Buckets_4_24[[#This Row],[Final]]/Buckets_4_24[[#This Row],[Capacity]])</f>
        <v>1</v>
      </c>
      <c r="IL7" s="40">
        <f>Buckets_4_24[[#This Row],[Final]]</f>
        <v>100</v>
      </c>
      <c r="IM7" s="40">
        <f>Buckets_4_24[[#This Row],[Capacity]]</f>
        <v>100</v>
      </c>
      <c r="IN7" s="41" t="b">
        <f t="shared" si="45"/>
        <v>1</v>
      </c>
      <c r="IO7" s="42"/>
      <c r="IP7" s="42"/>
      <c r="IQ7" s="42"/>
      <c r="IR7" s="42"/>
      <c r="IS7" s="43"/>
      <c r="IT7" s="40">
        <f t="shared" si="46"/>
        <v>100</v>
      </c>
      <c r="IU7" s="40">
        <f t="shared" si="47"/>
        <v>100</v>
      </c>
      <c r="IV7" s="41" t="b">
        <f t="shared" si="8"/>
        <v>1</v>
      </c>
    </row>
    <row r="8" spans="1:256" x14ac:dyDescent="0.25">
      <c r="A8" s="49"/>
      <c r="B8" t="s">
        <v>322</v>
      </c>
      <c r="C8" t="s">
        <v>285</v>
      </c>
      <c r="D8" t="s">
        <v>285</v>
      </c>
      <c r="F8" s="30">
        <v>0</v>
      </c>
      <c r="G8" s="38">
        <v>500</v>
      </c>
      <c r="H8" t="b">
        <v>0</v>
      </c>
      <c r="J8" s="50">
        <f t="shared" si="9"/>
        <v>0</v>
      </c>
      <c r="K8" s="50">
        <f>GetTransactionTotal(AggregateTable2023[], AggregateTable2023[Start], J$1, AggregateTable2023[#Headers], $D8)</f>
        <v>0</v>
      </c>
      <c r="L8" s="50">
        <f>Buckets_9_23[[#This Row],[Start]]+Buckets_9_23[[#This Row],[Transactions]]</f>
        <v>0</v>
      </c>
      <c r="M8" s="50">
        <f t="shared" si="10"/>
        <v>500</v>
      </c>
      <c r="N8" s="50">
        <f>Buckets_9_23[[#This Row],[Capacity]]-Buckets_9_23[[#This Row],[After T]]</f>
        <v>500</v>
      </c>
      <c r="O8" s="50">
        <f>IF(Buckets_9_23[[#This Row],[After T]]&lt;0, Buckets_9_23[[#This Row],[After T]], IF(Buckets_9_23[[#This Row],[Cap Diff]]&lt;0, -Buckets_9_23[[#This Row],[Cap Diff]], 0))</f>
        <v>0</v>
      </c>
      <c r="P8" s="50">
        <f>Buckets_9_23[[#This Row],[After T]]-Buckets_9_23[[#This Row],[Slush]]</f>
        <v>0</v>
      </c>
      <c r="Q8" s="50">
        <f>Buckets_9_23[[#This Row],[Capacity]]-Buckets_9_23[[#This Row],[Before Fill]]</f>
        <v>500</v>
      </c>
      <c r="R8" s="31" t="b">
        <f t="shared" si="0"/>
        <v>0</v>
      </c>
      <c r="S8" s="50">
        <f>IF(Buckets_9_23[[#This Row],[Is Crit]], Buckets_9_23[[#This Row],[S Cap Diff]], 0)</f>
        <v>0</v>
      </c>
      <c r="T8" s="50">
        <f>Buckets_9_23[[#This Row],[Before Fill]]+Buckets_9_23[[#This Row],[Crit To Fill]]</f>
        <v>0</v>
      </c>
      <c r="U8" s="50">
        <f>IF(NOT(Buckets_9_23[[#This Row],[Is Crit]]), Buckets_9_23[[#This Row],[S Cap Diff]], 0)</f>
        <v>500</v>
      </c>
      <c r="V8" s="50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A8" s="51">
        <f>IF(Buckets_9_23[[#This Row],[Capacity]]=0, 1, Buckets_9_23[[#This Row],[Final]]/Buckets_9_23[[#This Row],[Capacity]])</f>
        <v>0.87282000000000004</v>
      </c>
      <c r="AC8" s="31">
        <f>Buckets_9_23[[#This Row],[Final]]</f>
        <v>436.41</v>
      </c>
      <c r="AD8" s="31">
        <f>Buckets_9_23[[#This Row],[Capacity]]</f>
        <v>500</v>
      </c>
      <c r="AE8" t="b">
        <f>H8</f>
        <v>0</v>
      </c>
      <c r="AF8" s="43"/>
      <c r="AG8" s="42"/>
      <c r="AH8" s="43"/>
      <c r="AI8" s="42"/>
      <c r="AJ8" s="43"/>
      <c r="AK8" s="40">
        <f t="shared" si="11"/>
        <v>436.41</v>
      </c>
      <c r="AL8" s="40">
        <f t="shared" si="12"/>
        <v>500</v>
      </c>
      <c r="AM8" s="41" t="b">
        <f t="shared" si="1"/>
        <v>0</v>
      </c>
      <c r="AO8" s="29">
        <f t="shared" si="13"/>
        <v>436.41</v>
      </c>
      <c r="AP8" s="29">
        <f>GetTransactionTotal(AggregateTable2023[], AggregateTable2023[Start], AO$1, AggregateTable2023[#Headers], $D8)</f>
        <v>0</v>
      </c>
      <c r="AQ8" s="29">
        <f>Buckets_10_23[[#This Row],[Start]]+Buckets_10_23[[#This Row],[Transactions]]</f>
        <v>436.41</v>
      </c>
      <c r="AR8" s="29">
        <f t="shared" si="14"/>
        <v>500</v>
      </c>
      <c r="AS8" s="29">
        <f>Buckets_10_23[[#This Row],[Capacity]]-Buckets_10_23[[#This Row],[After T]]</f>
        <v>63.589999999999975</v>
      </c>
      <c r="AT8" s="29">
        <f>MAX(-Buckets_10_23[[#This Row],[Cap Diff]], 0)</f>
        <v>0</v>
      </c>
      <c r="AU8" s="29">
        <f>Buckets_10_23[[#This Row],[After T]]-Buckets_10_23[[#This Row],[Slush]]</f>
        <v>436.41</v>
      </c>
      <c r="AV8" s="29">
        <f>Buckets_10_23[[#This Row],[Capacity]]-Buckets_10_23[[#This Row],[Before Fill]]</f>
        <v>63.589999999999975</v>
      </c>
      <c r="AW8" t="b">
        <f>OR(AM8, Buckets_10_23[[#This Row],[After T]]&lt;0)</f>
        <v>0</v>
      </c>
      <c r="AX8" s="29">
        <f>IF(Buckets_10_23[[#This Row],[Is Crit]], Buckets_10_23[[#This Row],[S Cap Diff]], 0)</f>
        <v>0</v>
      </c>
      <c r="AY8" s="29">
        <f>Buckets_10_23[[#This Row],[Before Fill]]+Buckets_10_23[[#This Row],[Crit To Fill]]</f>
        <v>436.41</v>
      </c>
      <c r="AZ8" s="29">
        <f>IF(NOT(Buckets_10_23[[#This Row],[Is Crit]]), Buckets_10_23[[#This Row],[S Cap Diff]], 0)</f>
        <v>63.589999999999975</v>
      </c>
      <c r="BA8" s="29">
        <f>ROUND(AY$41/Buckets_10_23[[#Totals],[NC To Fill]]*Buckets_10_23[[#This Row],[NC To Fill]], 2)</f>
        <v>37.770000000000003</v>
      </c>
      <c r="BB8" s="31">
        <f>Buckets_10_23[[#This Row],[Pre Scale]] + IF($D8="Unexpected Fund", AY24-Buckets_10_23[[#Totals],[Pre Scale]], 0)</f>
        <v>37.770000000000003</v>
      </c>
      <c r="BC8" s="31">
        <f>Buckets_10_23[[#This Row],[Crit Filled]]+Buckets_10_23[[#This Row],[Scaled]]</f>
        <v>474.18</v>
      </c>
      <c r="BD8" s="31">
        <f>Buckets_10_23[[#This Row],[NC Filled]]</f>
        <v>474.18</v>
      </c>
      <c r="BE8" s="31">
        <f>Buckets_10_23[[#This Row],[Capacity]]-Buckets_10_23[[#This Row],[Final]]</f>
        <v>25.819999999999993</v>
      </c>
      <c r="BF8" s="33">
        <f>IF(Buckets_10_23[[#This Row],[Capacity]]=0, 1, Buckets_10_23[[#This Row],[Final]]/Buckets_10_23[[#This Row],[Capacity]])</f>
        <v>0.94835999999999998</v>
      </c>
      <c r="BH8" s="31">
        <f>Buckets_10_23[[#This Row],[Final]]</f>
        <v>474.18</v>
      </c>
      <c r="BI8" s="31">
        <f>Buckets_10_23[[#This Row],[Capacity]]</f>
        <v>500</v>
      </c>
      <c r="BJ8" t="b">
        <f t="shared" si="15"/>
        <v>0</v>
      </c>
      <c r="BK8" s="43"/>
      <c r="BL8" s="42"/>
      <c r="BM8" s="43"/>
      <c r="BN8" s="42"/>
      <c r="BO8" s="43"/>
      <c r="BP8" s="40">
        <f t="shared" si="16"/>
        <v>474.18</v>
      </c>
      <c r="BQ8" s="40">
        <f t="shared" si="17"/>
        <v>500</v>
      </c>
      <c r="BR8" s="41" t="b">
        <f t="shared" si="2"/>
        <v>0</v>
      </c>
      <c r="BT8" s="29">
        <f t="shared" si="18"/>
        <v>474.18</v>
      </c>
      <c r="BU8" s="29">
        <f>GetTransactionTotal(AggregateTable2023[], AggregateTable2023[Start], BT$1, AggregateTable2023[#Headers], $D8)</f>
        <v>-1489.58</v>
      </c>
      <c r="BV8" s="29">
        <f>Buckets_11_23[[#This Row],[Start]]+Buckets_11_23[[#This Row],[Transactions]]</f>
        <v>-1015.3999999999999</v>
      </c>
      <c r="BW8" s="29">
        <f t="shared" si="19"/>
        <v>500</v>
      </c>
      <c r="BX8" s="29">
        <f>Buckets_11_23[[#This Row],[Capacity]]-Buckets_11_23[[#This Row],[After T]]</f>
        <v>1515.3999999999999</v>
      </c>
      <c r="BY8" s="29">
        <f>MAX(-Buckets_11_23[[#This Row],[Cap Diff]], 0)</f>
        <v>0</v>
      </c>
      <c r="BZ8" s="29">
        <f>Buckets_11_23[[#This Row],[After T]]-Buckets_11_23[[#This Row],[Slush]]</f>
        <v>-1015.3999999999999</v>
      </c>
      <c r="CA8" s="29">
        <f>Buckets_11_23[[#This Row],[Capacity]]-Buckets_11_23[[#This Row],[Before Fill]]</f>
        <v>1515.3999999999999</v>
      </c>
      <c r="CB8" t="b">
        <f>OR(BR8, Buckets_11_23[[#This Row],[After T]]&lt;0)</f>
        <v>1</v>
      </c>
      <c r="CC8" s="29">
        <f>IF(Buckets_11_23[[#This Row],[Is Crit]], Buckets_11_23[[#This Row],[S Cap Diff]], 0)</f>
        <v>1515.3999999999999</v>
      </c>
      <c r="CD8" s="29">
        <f>Buckets_11_23[[#This Row],[Before Fill]]+Buckets_11_23[[#This Row],[Crit To Fill]]</f>
        <v>500</v>
      </c>
      <c r="CE8" s="29">
        <f>IF(NOT(Buckets_11_23[[#This Row],[Is Crit]]), Buckets_11_23[[#This Row],[S Cap Diff]], 0)</f>
        <v>0</v>
      </c>
      <c r="CF8" s="29">
        <f>ROUND(CD$41/Buckets_11_23[[#Totals],[NC To Fill]]*Buckets_11_23[[#This Row],[NC To Fill]], 2)</f>
        <v>0</v>
      </c>
      <c r="CG8" s="31">
        <f>Buckets_11_23[[#This Row],[Pre Scale]] + IF($D8="Unexpected Fund", CD24-Buckets_11_23[[#Totals],[Pre Scale]], 0)</f>
        <v>0</v>
      </c>
      <c r="CH8" s="31">
        <f>Buckets_11_23[[#This Row],[Crit Filled]]+Buckets_11_23[[#This Row],[Scaled]]</f>
        <v>500</v>
      </c>
      <c r="CI8" s="31">
        <f>Buckets_11_23[[#This Row],[NC Filled]]</f>
        <v>500</v>
      </c>
      <c r="CJ8" s="31">
        <f>Buckets_11_23[[#This Row],[Capacity]]-Buckets_11_23[[#This Row],[Final]]</f>
        <v>0</v>
      </c>
      <c r="CK8" s="33">
        <f>IF(Buckets_11_23[[#This Row],[Capacity]]=0, 1, Buckets_11_23[[#This Row],[Final]]/Buckets_11_23[[#This Row],[Capacity]])</f>
        <v>1</v>
      </c>
      <c r="CM8" s="40">
        <f>Buckets_11_23[[#This Row],[Final]]</f>
        <v>500</v>
      </c>
      <c r="CN8" s="40">
        <f>Buckets_11_23[[#This Row],[Capacity]]</f>
        <v>500</v>
      </c>
      <c r="CO8" s="41" t="b">
        <f t="shared" si="20"/>
        <v>0</v>
      </c>
      <c r="CP8" s="42">
        <v>1790</v>
      </c>
      <c r="CQ8" s="42"/>
      <c r="CR8" s="42"/>
      <c r="CS8" s="42"/>
      <c r="CT8" s="43"/>
      <c r="CU8" s="40">
        <f t="shared" si="21"/>
        <v>2290</v>
      </c>
      <c r="CV8" s="40">
        <f t="shared" si="22"/>
        <v>500</v>
      </c>
      <c r="CW8" s="41" t="b">
        <f t="shared" si="3"/>
        <v>0</v>
      </c>
      <c r="CY8" s="29">
        <f t="shared" si="23"/>
        <v>2290</v>
      </c>
      <c r="CZ8" s="29">
        <f>GetTransactionTotal(AggregateTable2023[], AggregateTable2023[Start], CY$1, AggregateTable2023[#Headers], $D8)</f>
        <v>-2218</v>
      </c>
      <c r="DA8" s="29">
        <f>Buckets_12_23[[#This Row],[Start]]+Buckets_12_23[[#This Row],[Transactions]]</f>
        <v>72</v>
      </c>
      <c r="DB8" s="29">
        <f t="shared" si="24"/>
        <v>500</v>
      </c>
      <c r="DC8" s="29">
        <f>Buckets_12_23[[#This Row],[Capacity]]-Buckets_12_23[[#This Row],[After T]]</f>
        <v>428</v>
      </c>
      <c r="DD8" s="29">
        <f>MAX(-Buckets_12_23[[#This Row],[Cap Diff]], 0)</f>
        <v>0</v>
      </c>
      <c r="DE8" s="29">
        <f>Buckets_12_23[[#This Row],[After T]]-Buckets_12_23[[#This Row],[Slush]]</f>
        <v>72</v>
      </c>
      <c r="DF8" s="29">
        <f>Buckets_12_23[[#This Row],[Capacity]]-Buckets_12_23[[#This Row],[Before Fill]]</f>
        <v>428</v>
      </c>
      <c r="DG8" t="b">
        <f>OR(CW8, Buckets_12_23[[#This Row],[After T]]&lt;0)</f>
        <v>0</v>
      </c>
      <c r="DH8" s="29">
        <f>IF(Buckets_12_23[[#This Row],[Is Crit]], Buckets_12_23[[#This Row],[S Cap Diff]], 0)</f>
        <v>0</v>
      </c>
      <c r="DI8" s="29">
        <f>Buckets_12_23[[#This Row],[Before Fill]]+Buckets_12_23[[#This Row],[Crit To Fill]]</f>
        <v>72</v>
      </c>
      <c r="DJ8" s="29">
        <f>IF(NOT(Buckets_12_23[[#This Row],[Is Crit]]), Buckets_12_23[[#This Row],[S Cap Diff]], 0)</f>
        <v>428</v>
      </c>
      <c r="DK8" s="29">
        <f>ROUND(DI$41/Buckets_12_23[[#Totals],[NC To Fill]]*Buckets_12_23[[#This Row],[NC To Fill]], 2)</f>
        <v>195.69</v>
      </c>
      <c r="DL8" s="31">
        <f>Buckets_12_23[[#This Row],[Pre Scale]] + IF($D8="Unexpected Fund", DI24-Buckets_12_23[[#Totals],[Pre Scale]], 0)</f>
        <v>195.69</v>
      </c>
      <c r="DM8" s="31">
        <f>Buckets_12_23[[#This Row],[Crit Filled]]+Buckets_12_23[[#This Row],[Scaled]]</f>
        <v>267.69</v>
      </c>
      <c r="DN8" s="31">
        <f>Buckets_12_23[[#This Row],[NC Filled]]</f>
        <v>267.69</v>
      </c>
      <c r="DO8" s="31">
        <f>Buckets_12_23[[#This Row],[Capacity]]-Buckets_12_23[[#This Row],[Final]]</f>
        <v>232.31</v>
      </c>
      <c r="DP8" s="33">
        <f>IF(Buckets_12_23[[#This Row],[Capacity]]=0, 1, Buckets_12_23[[#This Row],[Final]]/Buckets_12_23[[#This Row],[Capacity]])</f>
        <v>0.53537999999999997</v>
      </c>
      <c r="DR8" s="40">
        <f>Buckets_12_23[[#This Row],[Final]]</f>
        <v>267.69</v>
      </c>
      <c r="DS8" s="40">
        <f>Buckets_12_23[[#This Row],[Capacity]]</f>
        <v>500</v>
      </c>
      <c r="DT8" s="41" t="b">
        <f t="shared" si="25"/>
        <v>0</v>
      </c>
      <c r="DU8" s="42"/>
      <c r="DV8" s="42"/>
      <c r="DW8" s="42"/>
      <c r="DX8" s="42"/>
      <c r="DY8" s="43"/>
      <c r="DZ8" s="40">
        <f t="shared" si="26"/>
        <v>267.69</v>
      </c>
      <c r="EA8" s="40">
        <f t="shared" si="27"/>
        <v>500</v>
      </c>
      <c r="EB8" s="41" t="b">
        <f t="shared" si="4"/>
        <v>0</v>
      </c>
      <c r="ED8" s="29">
        <f t="shared" si="28"/>
        <v>267.69</v>
      </c>
      <c r="EE8" s="29">
        <f>GetTransactionTotal(AggregateTable2024[], AggregateTable2024[Start], ED$1, AggregateTable2024[#Headers], $D8)</f>
        <v>-500</v>
      </c>
      <c r="EF8" s="29">
        <f>Buckets_1_24[[#This Row],[Start]]+Buckets_1_24[[#This Row],[Transactions]]</f>
        <v>-232.31</v>
      </c>
      <c r="EG8" s="29">
        <f t="shared" si="29"/>
        <v>500</v>
      </c>
      <c r="EH8" s="29">
        <f>Buckets_1_24[[#This Row],[Capacity]]-Buckets_1_24[[#This Row],[After T]]</f>
        <v>732.31</v>
      </c>
      <c r="EI8" s="29">
        <f>MAX(-Buckets_1_24[[#This Row],[Cap Diff]], 0)</f>
        <v>0</v>
      </c>
      <c r="EJ8" s="29">
        <f>Buckets_1_24[[#This Row],[After T]]-Buckets_1_24[[#This Row],[Slush]]</f>
        <v>-232.31</v>
      </c>
      <c r="EK8" s="29">
        <f>Buckets_1_24[[#This Row],[Capacity]]-Buckets_1_24[[#This Row],[Before Fill]]</f>
        <v>732.31</v>
      </c>
      <c r="EL8" t="b">
        <f>OR(EB8, Buckets_1_24[[#This Row],[After T]]&lt;0)</f>
        <v>1</v>
      </c>
      <c r="EM8" s="29">
        <f>IF(Buckets_1_24[[#This Row],[Is Crit]], Buckets_1_24[[#This Row],[S Cap Diff]], 0)</f>
        <v>732.31</v>
      </c>
      <c r="EN8" s="29">
        <f>Buckets_1_24[[#This Row],[Before Fill]]+Buckets_1_24[[#This Row],[Crit To Fill]]</f>
        <v>499.99999999999994</v>
      </c>
      <c r="EO8" s="29">
        <f>IF(NOT(Buckets_1_24[[#This Row],[Is Crit]]), Buckets_1_24[[#This Row],[S Cap Diff]], 0)</f>
        <v>0</v>
      </c>
      <c r="EP8" s="29">
        <f>ROUND(EN$41/Buckets_1_24[[#Totals],[NC To Fill]]*Buckets_1_24[[#This Row],[NC To Fill]], 2)</f>
        <v>0</v>
      </c>
      <c r="EQ8" s="31">
        <f>Buckets_1_24[[#This Row],[Pre Scale]] + IF($D8="Unexpected Fund", EN24-Buckets_1_24[[#Totals],[Pre Scale]], 0)</f>
        <v>0</v>
      </c>
      <c r="ER8" s="31">
        <f>Buckets_1_24[[#This Row],[Crit Filled]]+Buckets_1_24[[#This Row],[Scaled]]</f>
        <v>499.99999999999994</v>
      </c>
      <c r="ES8" s="31">
        <f>Buckets_1_24[[#This Row],[NC Filled]]</f>
        <v>499.99999999999994</v>
      </c>
      <c r="ET8" s="31">
        <f>Buckets_1_24[[#This Row],[Capacity]]-Buckets_1_24[[#This Row],[Final]]</f>
        <v>0</v>
      </c>
      <c r="EU8" s="33">
        <f>IF(Buckets_1_24[[#This Row],[Capacity]]=0, 1, Buckets_1_24[[#This Row],[Final]]/Buckets_1_24[[#This Row],[Capacity]])</f>
        <v>0.99999999999999989</v>
      </c>
      <c r="EW8" s="40">
        <f>Buckets_1_24[[#This Row],[Final]]</f>
        <v>499.99999999999994</v>
      </c>
      <c r="EX8" s="40">
        <f>Buckets_1_24[[#This Row],[Capacity]]</f>
        <v>500</v>
      </c>
      <c r="EY8" s="41" t="b">
        <f t="shared" si="30"/>
        <v>0</v>
      </c>
      <c r="EZ8" s="42"/>
      <c r="FA8" s="42"/>
      <c r="FB8" s="42"/>
      <c r="FC8" s="42"/>
      <c r="FD8" s="43"/>
      <c r="FE8" s="40">
        <f t="shared" si="31"/>
        <v>499.99999999999994</v>
      </c>
      <c r="FF8" s="40">
        <f t="shared" si="32"/>
        <v>500</v>
      </c>
      <c r="FG8" s="41" t="b">
        <f t="shared" si="5"/>
        <v>0</v>
      </c>
      <c r="FI8" s="29">
        <f t="shared" si="33"/>
        <v>499.99999999999994</v>
      </c>
      <c r="FJ8" s="29">
        <f>GetTransactionTotal(AggregateTable2024[], AggregateTable2024[Start], FI$1, AggregateTable2024[#Headers], $D8)</f>
        <v>-500</v>
      </c>
      <c r="FK8" s="29">
        <f>Buckets_2_24[[#This Row],[Start]]+Buckets_2_24[[#This Row],[Transactions]]</f>
        <v>0</v>
      </c>
      <c r="FL8" s="29">
        <f t="shared" si="34"/>
        <v>500</v>
      </c>
      <c r="FM8" s="29">
        <f>Buckets_2_24[[#This Row],[Capacity]]-Buckets_2_24[[#This Row],[After T]]</f>
        <v>500</v>
      </c>
      <c r="FN8" s="29">
        <f>MAX(-Buckets_2_24[[#This Row],[Cap Diff]], 0)</f>
        <v>0</v>
      </c>
      <c r="FO8" s="29">
        <f>Buckets_2_24[[#This Row],[After T]]-Buckets_2_24[[#This Row],[Slush]]</f>
        <v>0</v>
      </c>
      <c r="FP8" s="29">
        <f>Buckets_2_24[[#This Row],[Capacity]]-Buckets_2_24[[#This Row],[Before Fill]]</f>
        <v>500</v>
      </c>
      <c r="FQ8" t="b">
        <f>OR(FG8, Buckets_2_24[[#This Row],[After T]]&lt;0)</f>
        <v>0</v>
      </c>
      <c r="FR8" s="29">
        <f>IF(Buckets_2_24[[#This Row],[Is Crit]], Buckets_2_24[[#This Row],[S Cap Diff]], 0)</f>
        <v>0</v>
      </c>
      <c r="FS8" s="29">
        <f>Buckets_2_24[[#This Row],[Before Fill]]+Buckets_2_24[[#This Row],[Crit To Fill]]</f>
        <v>0</v>
      </c>
      <c r="FT8" s="29">
        <f>IF(NOT(Buckets_2_24[[#This Row],[Is Crit]]), Buckets_2_24[[#This Row],[S Cap Diff]], 0)</f>
        <v>500</v>
      </c>
      <c r="FU8" s="29">
        <f>ROUND(FS$41/Buckets_2_24[[#Totals],[NC To Fill]]*Buckets_2_24[[#This Row],[NC To Fill]], 2)</f>
        <v>481.67</v>
      </c>
      <c r="FV8" s="31">
        <f>Buckets_2_24[[#This Row],[Pre Scale]] + IF($D8="Unexpected Fund", FS24-Buckets_2_24[[#Totals],[Pre Scale]], 0)</f>
        <v>481.67</v>
      </c>
      <c r="FW8" s="31">
        <f>Buckets_2_24[[#This Row],[Crit Filled]]+Buckets_2_24[[#This Row],[Scaled]]</f>
        <v>481.67</v>
      </c>
      <c r="FX8" s="31">
        <f>Buckets_2_24[[#This Row],[NC Filled]]</f>
        <v>481.67</v>
      </c>
      <c r="FY8" s="31">
        <f>Buckets_2_24[[#This Row],[Capacity]]-Buckets_2_24[[#This Row],[Final]]</f>
        <v>18.329999999999984</v>
      </c>
      <c r="FZ8" s="33">
        <f>IF(Buckets_2_24[[#This Row],[Capacity]]=0, 1, Buckets_2_24[[#This Row],[Final]]/Buckets_2_24[[#This Row],[Capacity]])</f>
        <v>0.96334000000000009</v>
      </c>
      <c r="GB8" s="40">
        <f>Buckets_2_24[[#This Row],[Final]]</f>
        <v>481.67</v>
      </c>
      <c r="GC8" s="40">
        <f>Buckets_2_24[[#This Row],[Capacity]]</f>
        <v>500</v>
      </c>
      <c r="GD8" s="41" t="b">
        <f t="shared" si="35"/>
        <v>0</v>
      </c>
      <c r="GE8" s="42"/>
      <c r="GF8" s="42"/>
      <c r="GG8" s="42"/>
      <c r="GH8" s="42"/>
      <c r="GI8" s="43"/>
      <c r="GJ8" s="40">
        <f t="shared" si="36"/>
        <v>481.67</v>
      </c>
      <c r="GK8" s="40">
        <f t="shared" si="37"/>
        <v>500</v>
      </c>
      <c r="GL8" s="41" t="b">
        <f t="shared" si="6"/>
        <v>0</v>
      </c>
      <c r="GN8" s="29">
        <f t="shared" si="38"/>
        <v>481.67</v>
      </c>
      <c r="GO8" s="29">
        <f>GetTransactionTotal(AggregateTable2024[], AggregateTable2024[Start], GN$1, AggregateTable2024[#Headers], $D8)</f>
        <v>-500</v>
      </c>
      <c r="GP8" s="29">
        <f>Buckets_3_24[[#This Row],[Start]]+Buckets_3_24[[#This Row],[Transactions]]</f>
        <v>-18.329999999999984</v>
      </c>
      <c r="GQ8" s="29">
        <f t="shared" si="39"/>
        <v>500</v>
      </c>
      <c r="GR8" s="29">
        <f>Buckets_3_24[[#This Row],[Capacity]]-Buckets_3_24[[#This Row],[After T]]</f>
        <v>518.32999999999993</v>
      </c>
      <c r="GS8" s="29">
        <f>MAX(-Buckets_3_24[[#This Row],[Cap Diff]], 0)</f>
        <v>0</v>
      </c>
      <c r="GT8" s="29">
        <f>Buckets_3_24[[#This Row],[After T]]-Buckets_3_24[[#This Row],[Slush]]</f>
        <v>-18.329999999999984</v>
      </c>
      <c r="GU8" s="29">
        <f>Buckets_3_24[[#This Row],[Capacity]]-Buckets_3_24[[#This Row],[Before Fill]]</f>
        <v>518.32999999999993</v>
      </c>
      <c r="GV8" t="b">
        <f>OR(GL8, Buckets_3_24[[#This Row],[After T]]&lt;0)</f>
        <v>1</v>
      </c>
      <c r="GW8" s="29">
        <f>IF(Buckets_3_24[[#This Row],[Is Crit]], Buckets_3_24[[#This Row],[S Cap Diff]], 0)</f>
        <v>518.32999999999993</v>
      </c>
      <c r="GX8" s="29">
        <f>Buckets_3_24[[#This Row],[Before Fill]]+Buckets_3_24[[#This Row],[Crit To Fill]]</f>
        <v>499.99999999999994</v>
      </c>
      <c r="GY8" s="29">
        <f>IF(NOT(Buckets_3_24[[#This Row],[Is Crit]]), Buckets_3_24[[#This Row],[S Cap Diff]], 0)</f>
        <v>0</v>
      </c>
      <c r="GZ8" s="29">
        <f>ROUND(GX$41/Buckets_3_24[[#Totals],[NC To Fill]]*Buckets_3_24[[#This Row],[NC To Fill]], 2)</f>
        <v>0</v>
      </c>
      <c r="HA8" s="31">
        <f>Buckets_3_24[[#This Row],[Pre Scale]] + IF($D8="Unexpected Fund", GX24-Buckets_3_24[[#Totals],[Pre Scale]], 0)</f>
        <v>0</v>
      </c>
      <c r="HB8" s="31">
        <f>Buckets_3_24[[#This Row],[Crit Filled]]+Buckets_3_24[[#This Row],[Scaled]]</f>
        <v>499.99999999999994</v>
      </c>
      <c r="HC8" s="31">
        <f>Buckets_3_24[[#This Row],[NC Filled]]</f>
        <v>499.99999999999994</v>
      </c>
      <c r="HD8" s="31">
        <f>Buckets_3_24[[#This Row],[Capacity]]-Buckets_3_24[[#This Row],[Final]]</f>
        <v>0</v>
      </c>
      <c r="HE8" s="33">
        <f>IF(Buckets_3_24[[#This Row],[Capacity]]=0, 1, Buckets_3_24[[#This Row],[Final]]/Buckets_3_24[[#This Row],[Capacity]])</f>
        <v>0.99999999999999989</v>
      </c>
      <c r="HG8" s="40">
        <f>Buckets_3_24[[#This Row],[Final]]</f>
        <v>499.99999999999994</v>
      </c>
      <c r="HH8" s="40">
        <f>Buckets_3_24[[#This Row],[Capacity]]</f>
        <v>500</v>
      </c>
      <c r="HI8" s="41" t="b">
        <f t="shared" si="40"/>
        <v>0</v>
      </c>
      <c r="HJ8" s="42"/>
      <c r="HK8" s="42"/>
      <c r="HL8" s="42"/>
      <c r="HM8" s="42">
        <v>1500</v>
      </c>
      <c r="HN8" s="43"/>
      <c r="HO8" s="40">
        <f t="shared" si="41"/>
        <v>499.99999999999994</v>
      </c>
      <c r="HP8" s="40">
        <f t="shared" si="42"/>
        <v>1500</v>
      </c>
      <c r="HQ8" s="41" t="b">
        <f t="shared" si="7"/>
        <v>0</v>
      </c>
      <c r="HS8" s="29">
        <f t="shared" si="43"/>
        <v>499.99999999999994</v>
      </c>
      <c r="HT8" s="29">
        <f>GetTransactionTotal(AggregateTable2024[], AggregateTable2024[Start], HS$1, AggregateTable2024[#Headers], $D8)</f>
        <v>-500</v>
      </c>
      <c r="HU8" s="29">
        <f>Buckets_4_24[[#This Row],[Start]]+Buckets_4_24[[#This Row],[Transactions]]</f>
        <v>0</v>
      </c>
      <c r="HV8" s="29">
        <f t="shared" si="44"/>
        <v>1500</v>
      </c>
      <c r="HW8" s="29">
        <f>Buckets_4_24[[#This Row],[Capacity]]-Buckets_4_24[[#This Row],[After T]]</f>
        <v>1500</v>
      </c>
      <c r="HX8" s="29">
        <f>MAX(-Buckets_4_24[[#This Row],[Cap Diff]], 0)</f>
        <v>0</v>
      </c>
      <c r="HY8" s="29">
        <f>Buckets_4_24[[#This Row],[After T]]-Buckets_4_24[[#This Row],[Slush]]</f>
        <v>0</v>
      </c>
      <c r="HZ8" s="29">
        <f>Buckets_4_24[[#This Row],[Capacity]]-Buckets_4_24[[#This Row],[Before Fill]]</f>
        <v>1500</v>
      </c>
      <c r="IA8" t="b">
        <f>OR(HQ8, Buckets_4_24[[#This Row],[After T]]&lt;0)</f>
        <v>0</v>
      </c>
      <c r="IB8" s="29">
        <f>IF(Buckets_4_24[[#This Row],[Is Crit]], Buckets_4_24[[#This Row],[S Cap Diff]], 0)</f>
        <v>0</v>
      </c>
      <c r="IC8" s="29">
        <f>Buckets_4_24[[#This Row],[Before Fill]]+Buckets_4_24[[#This Row],[Crit To Fill]]</f>
        <v>0</v>
      </c>
      <c r="ID8" s="29">
        <f>IF(NOT(Buckets_4_24[[#This Row],[Is Crit]]), Buckets_4_24[[#This Row],[S Cap Diff]], 0)</f>
        <v>1500</v>
      </c>
      <c r="IE8" s="29">
        <f>ROUND(IC$41/Buckets_4_24[[#Totals],[NC To Fill]]*Buckets_4_24[[#This Row],[NC To Fill]], 2)</f>
        <v>978.87</v>
      </c>
      <c r="IF8" s="31">
        <f>Buckets_4_24[[#This Row],[Pre Scale]] + IF($D8="Unexpected Fund", IC24-Buckets_4_24[[#Totals],[Pre Scale]], 0)</f>
        <v>978.87</v>
      </c>
      <c r="IG8" s="31">
        <f>Buckets_4_24[[#This Row],[Crit Filled]]+Buckets_4_24[[#This Row],[Scaled]]</f>
        <v>978.87</v>
      </c>
      <c r="IH8" s="31">
        <f>Buckets_4_24[[#This Row],[NC Filled]]</f>
        <v>978.87</v>
      </c>
      <c r="II8" s="31">
        <f>Buckets_4_24[[#This Row],[Capacity]]-Buckets_4_24[[#This Row],[Final]]</f>
        <v>521.13</v>
      </c>
      <c r="IJ8" s="33">
        <f>IF(Buckets_4_24[[#This Row],[Capacity]]=0, 1, Buckets_4_24[[#This Row],[Final]]/Buckets_4_24[[#This Row],[Capacity]])</f>
        <v>0.65258000000000005</v>
      </c>
      <c r="IL8" s="40">
        <f>Buckets_4_24[[#This Row],[Final]]</f>
        <v>978.87</v>
      </c>
      <c r="IM8" s="40">
        <f>Buckets_4_24[[#This Row],[Capacity]]</f>
        <v>1500</v>
      </c>
      <c r="IN8" s="41" t="b">
        <f t="shared" si="45"/>
        <v>0</v>
      </c>
      <c r="IO8" s="42"/>
      <c r="IP8" s="42"/>
      <c r="IQ8" s="42"/>
      <c r="IR8" s="42"/>
      <c r="IS8" s="43"/>
      <c r="IT8" s="40">
        <f t="shared" si="46"/>
        <v>978.87</v>
      </c>
      <c r="IU8" s="40">
        <f t="shared" si="47"/>
        <v>1500</v>
      </c>
      <c r="IV8" s="41" t="b">
        <f t="shared" si="8"/>
        <v>0</v>
      </c>
    </row>
    <row r="9" spans="1:256" x14ac:dyDescent="0.25">
      <c r="A9" s="49"/>
      <c r="B9" t="s">
        <v>32</v>
      </c>
      <c r="C9" t="s">
        <v>287</v>
      </c>
      <c r="D9" t="s">
        <v>287</v>
      </c>
      <c r="F9" s="30">
        <v>100</v>
      </c>
      <c r="G9" s="38">
        <v>300</v>
      </c>
      <c r="H9" t="b">
        <v>0</v>
      </c>
      <c r="J9" s="50">
        <f t="shared" si="9"/>
        <v>100</v>
      </c>
      <c r="K9" s="50">
        <f>GetTransactionTotal(AggregateTable2023[], AggregateTable2023[Start], J$1, AggregateTable2023[#Headers], $D9)</f>
        <v>0</v>
      </c>
      <c r="L9" s="50">
        <f>Buckets_9_23[[#This Row],[Start]]+Buckets_9_23[[#This Row],[Transactions]]</f>
        <v>100</v>
      </c>
      <c r="M9" s="50">
        <f t="shared" si="10"/>
        <v>300</v>
      </c>
      <c r="N9" s="50">
        <f>Buckets_9_23[[#This Row],[Capacity]]-Buckets_9_23[[#This Row],[After T]]</f>
        <v>200</v>
      </c>
      <c r="O9" s="50">
        <f>IF(Buckets_9_23[[#This Row],[After T]]&lt;0, Buckets_9_23[[#This Row],[After T]], IF(Buckets_9_23[[#This Row],[Cap Diff]]&lt;0, -Buckets_9_23[[#This Row],[Cap Diff]], 0))</f>
        <v>0</v>
      </c>
      <c r="P9" s="50">
        <f>Buckets_9_23[[#This Row],[After T]]-Buckets_9_23[[#This Row],[Slush]]</f>
        <v>100</v>
      </c>
      <c r="Q9" s="50">
        <f>Buckets_9_23[[#This Row],[Capacity]]-Buckets_9_23[[#This Row],[Before Fill]]</f>
        <v>200</v>
      </c>
      <c r="R9" s="31" t="b">
        <f t="shared" si="0"/>
        <v>0</v>
      </c>
      <c r="S9" s="50">
        <f>IF(Buckets_9_23[[#This Row],[Is Crit]], Buckets_9_23[[#This Row],[S Cap Diff]], 0)</f>
        <v>0</v>
      </c>
      <c r="T9" s="50">
        <f>Buckets_9_23[[#This Row],[Before Fill]]+Buckets_9_23[[#This Row],[Crit To Fill]]</f>
        <v>100</v>
      </c>
      <c r="U9" s="50">
        <f>IF(NOT(Buckets_9_23[[#This Row],[Is Crit]]), Buckets_9_23[[#This Row],[S Cap Diff]], 0)</f>
        <v>200</v>
      </c>
      <c r="V9" s="50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A9" s="51">
        <f>IF(Buckets_9_23[[#This Row],[Capacity]]=0, 1, Buckets_9_23[[#This Row],[Final]]/Buckets_9_23[[#This Row],[Capacity]])</f>
        <v>0.91520000000000001</v>
      </c>
      <c r="AC9" s="31">
        <f>Buckets_9_23[[#This Row],[Final]]</f>
        <v>274.56</v>
      </c>
      <c r="AD9" s="31">
        <f>Buckets_9_23[[#This Row],[Capacity]]</f>
        <v>300</v>
      </c>
      <c r="AE9" t="b">
        <f>H9</f>
        <v>0</v>
      </c>
      <c r="AF9" s="43"/>
      <c r="AG9" s="42"/>
      <c r="AH9" s="43"/>
      <c r="AI9" s="42"/>
      <c r="AJ9" s="43"/>
      <c r="AK9" s="40">
        <f t="shared" si="11"/>
        <v>274.56</v>
      </c>
      <c r="AL9" s="40">
        <f t="shared" si="12"/>
        <v>300</v>
      </c>
      <c r="AM9" s="41" t="b">
        <f t="shared" si="1"/>
        <v>0</v>
      </c>
      <c r="AO9" s="29">
        <f t="shared" si="13"/>
        <v>274.56</v>
      </c>
      <c r="AP9" s="29">
        <f>GetTransactionTotal(AggregateTable2023[], AggregateTable2023[Start], AO$1, AggregateTable2023[#Headers], $D9)</f>
        <v>-25</v>
      </c>
      <c r="AQ9" s="29">
        <f>Buckets_10_23[[#This Row],[Start]]+Buckets_10_23[[#This Row],[Transactions]]</f>
        <v>249.56</v>
      </c>
      <c r="AR9" s="29">
        <f t="shared" si="14"/>
        <v>300</v>
      </c>
      <c r="AS9" s="29">
        <f>Buckets_10_23[[#This Row],[Capacity]]-Buckets_10_23[[#This Row],[After T]]</f>
        <v>50.44</v>
      </c>
      <c r="AT9" s="29">
        <f>MAX(-Buckets_10_23[[#This Row],[Cap Diff]], 0)</f>
        <v>0</v>
      </c>
      <c r="AU9" s="29">
        <f>Buckets_10_23[[#This Row],[After T]]-Buckets_10_23[[#This Row],[Slush]]</f>
        <v>249.56</v>
      </c>
      <c r="AV9" s="29">
        <f>Buckets_10_23[[#This Row],[Capacity]]-Buckets_10_23[[#This Row],[Before Fill]]</f>
        <v>50.44</v>
      </c>
      <c r="AW9" t="b">
        <f>OR(AM9, Buckets_10_23[[#This Row],[After T]]&lt;0)</f>
        <v>0</v>
      </c>
      <c r="AX9" s="29">
        <f>IF(Buckets_10_23[[#This Row],[Is Crit]], Buckets_10_23[[#This Row],[S Cap Diff]], 0)</f>
        <v>0</v>
      </c>
      <c r="AY9" s="29">
        <f>Buckets_10_23[[#This Row],[Before Fill]]+Buckets_10_23[[#This Row],[Crit To Fill]]</f>
        <v>249.56</v>
      </c>
      <c r="AZ9" s="29">
        <f>IF(NOT(Buckets_10_23[[#This Row],[Is Crit]]), Buckets_10_23[[#This Row],[S Cap Diff]], 0)</f>
        <v>50.44</v>
      </c>
      <c r="BA9" s="29">
        <f>ROUND(AY$41/Buckets_10_23[[#Totals],[NC To Fill]]*Buckets_10_23[[#This Row],[NC To Fill]], 2)</f>
        <v>29.96</v>
      </c>
      <c r="BB9" s="31">
        <f>Buckets_10_23[[#This Row],[Pre Scale]] + IF($D9="Unexpected Fund", AY25-Buckets_10_23[[#Totals],[Pre Scale]], 0)</f>
        <v>29.96</v>
      </c>
      <c r="BC9" s="31">
        <f>Buckets_10_23[[#This Row],[Crit Filled]]+Buckets_10_23[[#This Row],[Scaled]]</f>
        <v>279.52</v>
      </c>
      <c r="BD9" s="31">
        <f>Buckets_10_23[[#This Row],[NC Filled]]</f>
        <v>279.52</v>
      </c>
      <c r="BE9" s="31">
        <f>Buckets_10_23[[#This Row],[Capacity]]-Buckets_10_23[[#This Row],[Final]]</f>
        <v>20.480000000000018</v>
      </c>
      <c r="BF9" s="33">
        <f>IF(Buckets_10_23[[#This Row],[Capacity]]=0, 1, Buckets_10_23[[#This Row],[Final]]/Buckets_10_23[[#This Row],[Capacity]])</f>
        <v>0.9317333333333333</v>
      </c>
      <c r="BH9" s="31">
        <f>Buckets_10_23[[#This Row],[Final]]</f>
        <v>279.52</v>
      </c>
      <c r="BI9" s="31">
        <f>Buckets_10_23[[#This Row],[Capacity]]</f>
        <v>300</v>
      </c>
      <c r="BJ9" t="b">
        <f t="shared" si="15"/>
        <v>0</v>
      </c>
      <c r="BK9" s="43"/>
      <c r="BL9" s="42"/>
      <c r="BM9" s="43"/>
      <c r="BN9" s="42"/>
      <c r="BO9" s="43"/>
      <c r="BP9" s="40">
        <f t="shared" si="16"/>
        <v>279.52</v>
      </c>
      <c r="BQ9" s="40">
        <f t="shared" si="17"/>
        <v>300</v>
      </c>
      <c r="BR9" s="41" t="b">
        <f t="shared" si="2"/>
        <v>0</v>
      </c>
      <c r="BT9" s="29">
        <f t="shared" si="18"/>
        <v>279.52</v>
      </c>
      <c r="BU9" s="29">
        <f>GetTransactionTotal(AggregateTable2023[], AggregateTable2023[Start], BT$1, AggregateTable2023[#Headers], $D9)</f>
        <v>-76.709999999999994</v>
      </c>
      <c r="BV9" s="29">
        <f>Buckets_11_23[[#This Row],[Start]]+Buckets_11_23[[#This Row],[Transactions]]</f>
        <v>202.81</v>
      </c>
      <c r="BW9" s="29">
        <f t="shared" si="19"/>
        <v>300</v>
      </c>
      <c r="BX9" s="29">
        <f>Buckets_11_23[[#This Row],[Capacity]]-Buckets_11_23[[#This Row],[After T]]</f>
        <v>97.19</v>
      </c>
      <c r="BY9" s="29">
        <f>MAX(-Buckets_11_23[[#This Row],[Cap Diff]], 0)</f>
        <v>0</v>
      </c>
      <c r="BZ9" s="29">
        <f>Buckets_11_23[[#This Row],[After T]]-Buckets_11_23[[#This Row],[Slush]]</f>
        <v>202.81</v>
      </c>
      <c r="CA9" s="29">
        <f>Buckets_11_23[[#This Row],[Capacity]]-Buckets_11_23[[#This Row],[Before Fill]]</f>
        <v>97.19</v>
      </c>
      <c r="CB9" t="b">
        <f>OR(BR9, Buckets_11_23[[#This Row],[After T]]&lt;0)</f>
        <v>0</v>
      </c>
      <c r="CC9" s="29">
        <f>IF(Buckets_11_23[[#This Row],[Is Crit]], Buckets_11_23[[#This Row],[S Cap Diff]], 0)</f>
        <v>0</v>
      </c>
      <c r="CD9" s="29">
        <f>Buckets_11_23[[#This Row],[Before Fill]]+Buckets_11_23[[#This Row],[Crit To Fill]]</f>
        <v>202.81</v>
      </c>
      <c r="CE9" s="29">
        <f>IF(NOT(Buckets_11_23[[#This Row],[Is Crit]]), Buckets_11_23[[#This Row],[S Cap Diff]], 0)</f>
        <v>97.19</v>
      </c>
      <c r="CF9" s="29">
        <f>ROUND(CD$41/Buckets_11_23[[#Totals],[NC To Fill]]*Buckets_11_23[[#This Row],[NC To Fill]], 2)</f>
        <v>95.85</v>
      </c>
      <c r="CG9" s="31">
        <f>Buckets_11_23[[#This Row],[Pre Scale]] + IF($D9="Unexpected Fund", CD25-Buckets_11_23[[#Totals],[Pre Scale]], 0)</f>
        <v>95.85</v>
      </c>
      <c r="CH9" s="31">
        <f>Buckets_11_23[[#This Row],[Crit Filled]]+Buckets_11_23[[#This Row],[Scaled]]</f>
        <v>298.65999999999997</v>
      </c>
      <c r="CI9" s="31">
        <f>Buckets_11_23[[#This Row],[NC Filled]]</f>
        <v>298.65999999999997</v>
      </c>
      <c r="CJ9" s="31">
        <f>Buckets_11_23[[#This Row],[Capacity]]-Buckets_11_23[[#This Row],[Final]]</f>
        <v>1.3400000000000318</v>
      </c>
      <c r="CK9" s="33">
        <f>IF(Buckets_11_23[[#This Row],[Capacity]]=0, 1, Buckets_11_23[[#This Row],[Final]]/Buckets_11_23[[#This Row],[Capacity]])</f>
        <v>0.99553333333333327</v>
      </c>
      <c r="CM9" s="40">
        <f>Buckets_11_23[[#This Row],[Final]]</f>
        <v>298.65999999999997</v>
      </c>
      <c r="CN9" s="40">
        <f>Buckets_11_23[[#This Row],[Capacity]]</f>
        <v>300</v>
      </c>
      <c r="CO9" s="41" t="b">
        <f t="shared" si="20"/>
        <v>0</v>
      </c>
      <c r="CP9" s="42"/>
      <c r="CQ9" s="42"/>
      <c r="CR9" s="42"/>
      <c r="CS9" s="42">
        <v>500</v>
      </c>
      <c r="CT9" s="43"/>
      <c r="CU9" s="40">
        <f t="shared" si="21"/>
        <v>298.65999999999997</v>
      </c>
      <c r="CV9" s="40">
        <f t="shared" si="22"/>
        <v>500</v>
      </c>
      <c r="CW9" s="41" t="b">
        <f t="shared" si="3"/>
        <v>0</v>
      </c>
      <c r="CY9" s="29">
        <f t="shared" si="23"/>
        <v>298.65999999999997</v>
      </c>
      <c r="CZ9" s="29">
        <f>GetTransactionTotal(AggregateTable2023[], AggregateTable2023[Start], CY$1, AggregateTable2023[#Headers], $D9)</f>
        <v>-90.759999999999991</v>
      </c>
      <c r="DA9" s="29">
        <f>Buckets_12_23[[#This Row],[Start]]+Buckets_12_23[[#This Row],[Transactions]]</f>
        <v>207.89999999999998</v>
      </c>
      <c r="DB9" s="29">
        <f t="shared" si="24"/>
        <v>500</v>
      </c>
      <c r="DC9" s="29">
        <f>Buckets_12_23[[#This Row],[Capacity]]-Buckets_12_23[[#This Row],[After T]]</f>
        <v>292.10000000000002</v>
      </c>
      <c r="DD9" s="29">
        <f>MAX(-Buckets_12_23[[#This Row],[Cap Diff]], 0)</f>
        <v>0</v>
      </c>
      <c r="DE9" s="29">
        <f>Buckets_12_23[[#This Row],[After T]]-Buckets_12_23[[#This Row],[Slush]]</f>
        <v>207.89999999999998</v>
      </c>
      <c r="DF9" s="29">
        <f>Buckets_12_23[[#This Row],[Capacity]]-Buckets_12_23[[#This Row],[Before Fill]]</f>
        <v>292.10000000000002</v>
      </c>
      <c r="DG9" t="b">
        <f>OR(CW9, Buckets_12_23[[#This Row],[After T]]&lt;0)</f>
        <v>0</v>
      </c>
      <c r="DH9" s="29">
        <f>IF(Buckets_12_23[[#This Row],[Is Crit]], Buckets_12_23[[#This Row],[S Cap Diff]], 0)</f>
        <v>0</v>
      </c>
      <c r="DI9" s="29">
        <f>Buckets_12_23[[#This Row],[Before Fill]]+Buckets_12_23[[#This Row],[Crit To Fill]]</f>
        <v>207.89999999999998</v>
      </c>
      <c r="DJ9" s="29">
        <f>IF(NOT(Buckets_12_23[[#This Row],[Is Crit]]), Buckets_12_23[[#This Row],[S Cap Diff]], 0)</f>
        <v>292.10000000000002</v>
      </c>
      <c r="DK9" s="29">
        <f>ROUND(DI$41/Buckets_12_23[[#Totals],[NC To Fill]]*Buckets_12_23[[#This Row],[NC To Fill]], 2)</f>
        <v>133.55000000000001</v>
      </c>
      <c r="DL9" s="31">
        <f>Buckets_12_23[[#This Row],[Pre Scale]] + IF($D9="Unexpected Fund", DI25-Buckets_12_23[[#Totals],[Pre Scale]], 0)</f>
        <v>133.55000000000001</v>
      </c>
      <c r="DM9" s="31">
        <f>Buckets_12_23[[#This Row],[Crit Filled]]+Buckets_12_23[[#This Row],[Scaled]]</f>
        <v>341.45</v>
      </c>
      <c r="DN9" s="31">
        <f>Buckets_12_23[[#This Row],[NC Filled]]</f>
        <v>341.45</v>
      </c>
      <c r="DO9" s="31">
        <f>Buckets_12_23[[#This Row],[Capacity]]-Buckets_12_23[[#This Row],[Final]]</f>
        <v>158.55000000000001</v>
      </c>
      <c r="DP9" s="33">
        <f>IF(Buckets_12_23[[#This Row],[Capacity]]=0, 1, Buckets_12_23[[#This Row],[Final]]/Buckets_12_23[[#This Row],[Capacity]])</f>
        <v>0.68289999999999995</v>
      </c>
      <c r="DR9" s="40">
        <f>Buckets_12_23[[#This Row],[Final]]</f>
        <v>341.45</v>
      </c>
      <c r="DS9" s="40">
        <f>Buckets_12_23[[#This Row],[Capacity]]</f>
        <v>500</v>
      </c>
      <c r="DT9" s="41" t="b">
        <f t="shared" si="25"/>
        <v>0</v>
      </c>
      <c r="DU9" s="42"/>
      <c r="DV9" s="42"/>
      <c r="DW9" s="42"/>
      <c r="DX9" s="42"/>
      <c r="DY9" s="43"/>
      <c r="DZ9" s="40">
        <f t="shared" si="26"/>
        <v>341.45</v>
      </c>
      <c r="EA9" s="40">
        <f t="shared" si="27"/>
        <v>500</v>
      </c>
      <c r="EB9" s="41" t="b">
        <f t="shared" si="4"/>
        <v>0</v>
      </c>
      <c r="ED9" s="29">
        <f t="shared" si="28"/>
        <v>341.45</v>
      </c>
      <c r="EE9" s="29">
        <f>GetTransactionTotal(AggregateTable2024[], AggregateTable2024[Start], ED$1, AggregateTable2024[#Headers], $D9)</f>
        <v>-51.9</v>
      </c>
      <c r="EF9" s="29">
        <f>Buckets_1_24[[#This Row],[Start]]+Buckets_1_24[[#This Row],[Transactions]]</f>
        <v>289.55</v>
      </c>
      <c r="EG9" s="29">
        <f t="shared" si="29"/>
        <v>500</v>
      </c>
      <c r="EH9" s="29">
        <f>Buckets_1_24[[#This Row],[Capacity]]-Buckets_1_24[[#This Row],[After T]]</f>
        <v>210.45</v>
      </c>
      <c r="EI9" s="29">
        <f>MAX(-Buckets_1_24[[#This Row],[Cap Diff]], 0)</f>
        <v>0</v>
      </c>
      <c r="EJ9" s="29">
        <f>Buckets_1_24[[#This Row],[After T]]-Buckets_1_24[[#This Row],[Slush]]</f>
        <v>289.55</v>
      </c>
      <c r="EK9" s="29">
        <f>Buckets_1_24[[#This Row],[Capacity]]-Buckets_1_24[[#This Row],[Before Fill]]</f>
        <v>210.45</v>
      </c>
      <c r="EL9" t="b">
        <f>OR(EB9, Buckets_1_24[[#This Row],[After T]]&lt;0)</f>
        <v>0</v>
      </c>
      <c r="EM9" s="29">
        <f>IF(Buckets_1_24[[#This Row],[Is Crit]], Buckets_1_24[[#This Row],[S Cap Diff]], 0)</f>
        <v>0</v>
      </c>
      <c r="EN9" s="29">
        <f>Buckets_1_24[[#This Row],[Before Fill]]+Buckets_1_24[[#This Row],[Crit To Fill]]</f>
        <v>289.55</v>
      </c>
      <c r="EO9" s="29">
        <f>IF(NOT(Buckets_1_24[[#This Row],[Is Crit]]), Buckets_1_24[[#This Row],[S Cap Diff]], 0)</f>
        <v>210.45</v>
      </c>
      <c r="EP9" s="29">
        <f>ROUND(EN$41/Buckets_1_24[[#Totals],[NC To Fill]]*Buckets_1_24[[#This Row],[NC To Fill]], 2)</f>
        <v>129.21</v>
      </c>
      <c r="EQ9" s="31">
        <f>Buckets_1_24[[#This Row],[Pre Scale]] + IF($D9="Unexpected Fund", EN25-Buckets_1_24[[#Totals],[Pre Scale]], 0)</f>
        <v>129.21</v>
      </c>
      <c r="ER9" s="31">
        <f>Buckets_1_24[[#This Row],[Crit Filled]]+Buckets_1_24[[#This Row],[Scaled]]</f>
        <v>418.76</v>
      </c>
      <c r="ES9" s="31">
        <f>Buckets_1_24[[#This Row],[NC Filled]]</f>
        <v>418.76</v>
      </c>
      <c r="ET9" s="31">
        <f>Buckets_1_24[[#This Row],[Capacity]]-Buckets_1_24[[#This Row],[Final]]</f>
        <v>81.240000000000009</v>
      </c>
      <c r="EU9" s="33">
        <f>IF(Buckets_1_24[[#This Row],[Capacity]]=0, 1, Buckets_1_24[[#This Row],[Final]]/Buckets_1_24[[#This Row],[Capacity]])</f>
        <v>0.83751999999999993</v>
      </c>
      <c r="EW9" s="40">
        <f>Buckets_1_24[[#This Row],[Final]]</f>
        <v>418.76</v>
      </c>
      <c r="EX9" s="40">
        <f>Buckets_1_24[[#This Row],[Capacity]]</f>
        <v>500</v>
      </c>
      <c r="EY9" s="41" t="b">
        <f t="shared" si="30"/>
        <v>0</v>
      </c>
      <c r="EZ9" s="42"/>
      <c r="FA9" s="42"/>
      <c r="FB9" s="42"/>
      <c r="FC9" s="42"/>
      <c r="FD9" s="43"/>
      <c r="FE9" s="40">
        <f t="shared" si="31"/>
        <v>418.76</v>
      </c>
      <c r="FF9" s="40">
        <f t="shared" si="32"/>
        <v>500</v>
      </c>
      <c r="FG9" s="41" t="b">
        <f t="shared" si="5"/>
        <v>0</v>
      </c>
      <c r="FI9" s="29">
        <f t="shared" si="33"/>
        <v>418.76</v>
      </c>
      <c r="FJ9" s="29">
        <f>GetTransactionTotal(AggregateTable2024[], AggregateTable2024[Start], FI$1, AggregateTable2024[#Headers], $D9)</f>
        <v>0</v>
      </c>
      <c r="FK9" s="29">
        <f>Buckets_2_24[[#This Row],[Start]]+Buckets_2_24[[#This Row],[Transactions]]</f>
        <v>418.76</v>
      </c>
      <c r="FL9" s="29">
        <f t="shared" si="34"/>
        <v>500</v>
      </c>
      <c r="FM9" s="29">
        <f>Buckets_2_24[[#This Row],[Capacity]]-Buckets_2_24[[#This Row],[After T]]</f>
        <v>81.240000000000009</v>
      </c>
      <c r="FN9" s="29">
        <f>MAX(-Buckets_2_24[[#This Row],[Cap Diff]], 0)</f>
        <v>0</v>
      </c>
      <c r="FO9" s="29">
        <f>Buckets_2_24[[#This Row],[After T]]-Buckets_2_24[[#This Row],[Slush]]</f>
        <v>418.76</v>
      </c>
      <c r="FP9" s="29">
        <f>Buckets_2_24[[#This Row],[Capacity]]-Buckets_2_24[[#This Row],[Before Fill]]</f>
        <v>81.240000000000009</v>
      </c>
      <c r="FQ9" t="b">
        <f>OR(FG9, Buckets_2_24[[#This Row],[After T]]&lt;0)</f>
        <v>0</v>
      </c>
      <c r="FR9" s="29">
        <f>IF(Buckets_2_24[[#This Row],[Is Crit]], Buckets_2_24[[#This Row],[S Cap Diff]], 0)</f>
        <v>0</v>
      </c>
      <c r="FS9" s="29">
        <f>Buckets_2_24[[#This Row],[Before Fill]]+Buckets_2_24[[#This Row],[Crit To Fill]]</f>
        <v>418.76</v>
      </c>
      <c r="FT9" s="29">
        <f>IF(NOT(Buckets_2_24[[#This Row],[Is Crit]]), Buckets_2_24[[#This Row],[S Cap Diff]], 0)</f>
        <v>81.240000000000009</v>
      </c>
      <c r="FU9" s="29">
        <f>ROUND(FS$41/Buckets_2_24[[#Totals],[NC To Fill]]*Buckets_2_24[[#This Row],[NC To Fill]], 2)</f>
        <v>78.260000000000005</v>
      </c>
      <c r="FV9" s="31">
        <f>Buckets_2_24[[#This Row],[Pre Scale]] + IF($D9="Unexpected Fund", FS25-Buckets_2_24[[#Totals],[Pre Scale]], 0)</f>
        <v>78.260000000000005</v>
      </c>
      <c r="FW9" s="31">
        <f>Buckets_2_24[[#This Row],[Crit Filled]]+Buckets_2_24[[#This Row],[Scaled]]</f>
        <v>497.02</v>
      </c>
      <c r="FX9" s="31">
        <f>Buckets_2_24[[#This Row],[NC Filled]]</f>
        <v>497.02</v>
      </c>
      <c r="FY9" s="31">
        <f>Buckets_2_24[[#This Row],[Capacity]]-Buckets_2_24[[#This Row],[Final]]</f>
        <v>2.9800000000000182</v>
      </c>
      <c r="FZ9" s="33">
        <f>IF(Buckets_2_24[[#This Row],[Capacity]]=0, 1, Buckets_2_24[[#This Row],[Final]]/Buckets_2_24[[#This Row],[Capacity]])</f>
        <v>0.99403999999999992</v>
      </c>
      <c r="GB9" s="40">
        <f>Buckets_2_24[[#This Row],[Final]]</f>
        <v>497.02</v>
      </c>
      <c r="GC9" s="40">
        <f>Buckets_2_24[[#This Row],[Capacity]]</f>
        <v>500</v>
      </c>
      <c r="GD9" s="41" t="b">
        <f t="shared" si="35"/>
        <v>0</v>
      </c>
      <c r="GE9" s="42"/>
      <c r="GF9" s="42"/>
      <c r="GG9" s="42"/>
      <c r="GH9" s="42"/>
      <c r="GI9" s="43"/>
      <c r="GJ9" s="40">
        <f t="shared" si="36"/>
        <v>497.02</v>
      </c>
      <c r="GK9" s="40">
        <f t="shared" si="37"/>
        <v>500</v>
      </c>
      <c r="GL9" s="41" t="b">
        <f t="shared" si="6"/>
        <v>0</v>
      </c>
      <c r="GN9" s="29">
        <f t="shared" si="38"/>
        <v>497.02</v>
      </c>
      <c r="GO9" s="29">
        <f>GetTransactionTotal(AggregateTable2024[], AggregateTable2024[Start], GN$1, AggregateTable2024[#Headers], $D9)</f>
        <v>0</v>
      </c>
      <c r="GP9" s="29">
        <f>Buckets_3_24[[#This Row],[Start]]+Buckets_3_24[[#This Row],[Transactions]]</f>
        <v>497.02</v>
      </c>
      <c r="GQ9" s="29">
        <f t="shared" si="39"/>
        <v>500</v>
      </c>
      <c r="GR9" s="29">
        <f>Buckets_3_24[[#This Row],[Capacity]]-Buckets_3_24[[#This Row],[After T]]</f>
        <v>2.9800000000000182</v>
      </c>
      <c r="GS9" s="29">
        <f>MAX(-Buckets_3_24[[#This Row],[Cap Diff]], 0)</f>
        <v>0</v>
      </c>
      <c r="GT9" s="29">
        <f>Buckets_3_24[[#This Row],[After T]]-Buckets_3_24[[#This Row],[Slush]]</f>
        <v>497.02</v>
      </c>
      <c r="GU9" s="29">
        <f>Buckets_3_24[[#This Row],[Capacity]]-Buckets_3_24[[#This Row],[Before Fill]]</f>
        <v>2.9800000000000182</v>
      </c>
      <c r="GV9" t="b">
        <f>OR(GL9, Buckets_3_24[[#This Row],[After T]]&lt;0)</f>
        <v>0</v>
      </c>
      <c r="GW9" s="29">
        <f>IF(Buckets_3_24[[#This Row],[Is Crit]], Buckets_3_24[[#This Row],[S Cap Diff]], 0)</f>
        <v>0</v>
      </c>
      <c r="GX9" s="29">
        <f>Buckets_3_24[[#This Row],[Before Fill]]+Buckets_3_24[[#This Row],[Crit To Fill]]</f>
        <v>497.02</v>
      </c>
      <c r="GY9" s="29">
        <f>IF(NOT(Buckets_3_24[[#This Row],[Is Crit]]), Buckets_3_24[[#This Row],[S Cap Diff]], 0)</f>
        <v>2.9800000000000182</v>
      </c>
      <c r="GZ9" s="29">
        <f>ROUND(GX$41/Buckets_3_24[[#Totals],[NC To Fill]]*Buckets_3_24[[#This Row],[NC To Fill]], 2)</f>
        <v>2.89</v>
      </c>
      <c r="HA9" s="31">
        <f>Buckets_3_24[[#This Row],[Pre Scale]] + IF($D9="Unexpected Fund", GX25-Buckets_3_24[[#Totals],[Pre Scale]], 0)</f>
        <v>2.89</v>
      </c>
      <c r="HB9" s="31">
        <f>Buckets_3_24[[#This Row],[Crit Filled]]+Buckets_3_24[[#This Row],[Scaled]]</f>
        <v>499.90999999999997</v>
      </c>
      <c r="HC9" s="31">
        <f>Buckets_3_24[[#This Row],[NC Filled]]</f>
        <v>499.90999999999997</v>
      </c>
      <c r="HD9" s="31">
        <f>Buckets_3_24[[#This Row],[Capacity]]-Buckets_3_24[[#This Row],[Final]]</f>
        <v>9.0000000000031832E-2</v>
      </c>
      <c r="HE9" s="33">
        <f>IF(Buckets_3_24[[#This Row],[Capacity]]=0, 1, Buckets_3_24[[#This Row],[Final]]/Buckets_3_24[[#This Row],[Capacity]])</f>
        <v>0.99981999999999993</v>
      </c>
      <c r="HG9" s="40">
        <f>Buckets_3_24[[#This Row],[Final]]</f>
        <v>499.90999999999997</v>
      </c>
      <c r="HH9" s="40">
        <f>Buckets_3_24[[#This Row],[Capacity]]</f>
        <v>500</v>
      </c>
      <c r="HI9" s="41" t="b">
        <f t="shared" si="40"/>
        <v>0</v>
      </c>
      <c r="HJ9" s="42"/>
      <c r="HK9" s="42"/>
      <c r="HL9" s="42"/>
      <c r="HM9" s="42"/>
      <c r="HN9" s="43"/>
      <c r="HO9" s="40">
        <f t="shared" si="41"/>
        <v>499.90999999999997</v>
      </c>
      <c r="HP9" s="40">
        <f t="shared" si="42"/>
        <v>500</v>
      </c>
      <c r="HQ9" s="41" t="b">
        <f t="shared" si="7"/>
        <v>0</v>
      </c>
      <c r="HS9" s="29">
        <f t="shared" si="43"/>
        <v>499.90999999999997</v>
      </c>
      <c r="HT9" s="29">
        <f>GetTransactionTotal(AggregateTable2024[], AggregateTable2024[Start], HS$1, AggregateTable2024[#Headers], $D9)</f>
        <v>0</v>
      </c>
      <c r="HU9" s="29">
        <f>Buckets_4_24[[#This Row],[Start]]+Buckets_4_24[[#This Row],[Transactions]]</f>
        <v>499.90999999999997</v>
      </c>
      <c r="HV9" s="29">
        <f t="shared" si="44"/>
        <v>500</v>
      </c>
      <c r="HW9" s="29">
        <f>Buckets_4_24[[#This Row],[Capacity]]-Buckets_4_24[[#This Row],[After T]]</f>
        <v>9.0000000000031832E-2</v>
      </c>
      <c r="HX9" s="29">
        <f>MAX(-Buckets_4_24[[#This Row],[Cap Diff]], 0)</f>
        <v>0</v>
      </c>
      <c r="HY9" s="29">
        <f>Buckets_4_24[[#This Row],[After T]]-Buckets_4_24[[#This Row],[Slush]]</f>
        <v>499.90999999999997</v>
      </c>
      <c r="HZ9" s="29">
        <f>Buckets_4_24[[#This Row],[Capacity]]-Buckets_4_24[[#This Row],[Before Fill]]</f>
        <v>9.0000000000031832E-2</v>
      </c>
      <c r="IA9" t="b">
        <f>OR(HQ9, Buckets_4_24[[#This Row],[After T]]&lt;0)</f>
        <v>0</v>
      </c>
      <c r="IB9" s="29">
        <f>IF(Buckets_4_24[[#This Row],[Is Crit]], Buckets_4_24[[#This Row],[S Cap Diff]], 0)</f>
        <v>0</v>
      </c>
      <c r="IC9" s="29">
        <f>Buckets_4_24[[#This Row],[Before Fill]]+Buckets_4_24[[#This Row],[Crit To Fill]]</f>
        <v>499.90999999999997</v>
      </c>
      <c r="ID9" s="29">
        <f>IF(NOT(Buckets_4_24[[#This Row],[Is Crit]]), Buckets_4_24[[#This Row],[S Cap Diff]], 0)</f>
        <v>9.0000000000031832E-2</v>
      </c>
      <c r="IE9" s="29">
        <f>ROUND(IC$41/Buckets_4_24[[#Totals],[NC To Fill]]*Buckets_4_24[[#This Row],[NC To Fill]], 2)</f>
        <v>0.06</v>
      </c>
      <c r="IF9" s="31">
        <f>Buckets_4_24[[#This Row],[Pre Scale]] + IF($D9="Unexpected Fund", IC25-Buckets_4_24[[#Totals],[Pre Scale]], 0)</f>
        <v>0.06</v>
      </c>
      <c r="IG9" s="31">
        <f>Buckets_4_24[[#This Row],[Crit Filled]]+Buckets_4_24[[#This Row],[Scaled]]</f>
        <v>499.96999999999997</v>
      </c>
      <c r="IH9" s="31">
        <f>Buckets_4_24[[#This Row],[NC Filled]]</f>
        <v>499.96999999999997</v>
      </c>
      <c r="II9" s="31">
        <f>Buckets_4_24[[#This Row],[Capacity]]-Buckets_4_24[[#This Row],[Final]]</f>
        <v>3.0000000000029559E-2</v>
      </c>
      <c r="IJ9" s="33">
        <f>IF(Buckets_4_24[[#This Row],[Capacity]]=0, 1, Buckets_4_24[[#This Row],[Final]]/Buckets_4_24[[#This Row],[Capacity]])</f>
        <v>0.99993999999999994</v>
      </c>
      <c r="IL9" s="40">
        <f>Buckets_4_24[[#This Row],[Final]]</f>
        <v>499.96999999999997</v>
      </c>
      <c r="IM9" s="40">
        <f>Buckets_4_24[[#This Row],[Capacity]]</f>
        <v>500</v>
      </c>
      <c r="IN9" s="41" t="b">
        <f t="shared" si="45"/>
        <v>0</v>
      </c>
      <c r="IO9" s="42"/>
      <c r="IP9" s="42"/>
      <c r="IQ9" s="42"/>
      <c r="IR9" s="42"/>
      <c r="IS9" s="43"/>
      <c r="IT9" s="40">
        <f t="shared" si="46"/>
        <v>499.96999999999997</v>
      </c>
      <c r="IU9" s="40">
        <f t="shared" si="47"/>
        <v>500</v>
      </c>
      <c r="IV9" s="41" t="b">
        <f t="shared" si="8"/>
        <v>0</v>
      </c>
    </row>
    <row r="10" spans="1:256" x14ac:dyDescent="0.25">
      <c r="A10" s="49"/>
      <c r="B10" t="s">
        <v>32</v>
      </c>
      <c r="C10" t="s">
        <v>321</v>
      </c>
      <c r="D10" t="s">
        <v>288</v>
      </c>
      <c r="F10" s="30">
        <v>50</v>
      </c>
      <c r="G10" s="38">
        <v>200</v>
      </c>
      <c r="H10" t="b">
        <v>0</v>
      </c>
      <c r="J10" s="50">
        <f t="shared" si="9"/>
        <v>50</v>
      </c>
      <c r="K10" s="50">
        <f>GetTransactionTotal(AggregateTable2023[], AggregateTable2023[Start], J$1, AggregateTable2023[#Headers], $D10)</f>
        <v>-13.9</v>
      </c>
      <c r="L10" s="50">
        <f>Buckets_9_23[[#This Row],[Start]]+Buckets_9_23[[#This Row],[Transactions]]</f>
        <v>36.1</v>
      </c>
      <c r="M10" s="50">
        <f t="shared" si="10"/>
        <v>200</v>
      </c>
      <c r="N10" s="50">
        <f>Buckets_9_23[[#This Row],[Capacity]]-Buckets_9_23[[#This Row],[After T]]</f>
        <v>163.9</v>
      </c>
      <c r="O10" s="50">
        <f>IF(Buckets_9_23[[#This Row],[After T]]&lt;0, Buckets_9_23[[#This Row],[After T]], IF(Buckets_9_23[[#This Row],[Cap Diff]]&lt;0, -Buckets_9_23[[#This Row],[Cap Diff]], 0))</f>
        <v>0</v>
      </c>
      <c r="P10" s="50">
        <f>Buckets_9_23[[#This Row],[After T]]-Buckets_9_23[[#This Row],[Slush]]</f>
        <v>36.1</v>
      </c>
      <c r="Q10" s="50">
        <f>Buckets_9_23[[#This Row],[Capacity]]-Buckets_9_23[[#This Row],[Before Fill]]</f>
        <v>163.9</v>
      </c>
      <c r="R10" s="31" t="b">
        <f t="shared" si="0"/>
        <v>0</v>
      </c>
      <c r="S10" s="50">
        <f>IF(Buckets_9_23[[#This Row],[Is Crit]], Buckets_9_23[[#This Row],[S Cap Diff]], 0)</f>
        <v>0</v>
      </c>
      <c r="T10" s="50">
        <f>Buckets_9_23[[#This Row],[Before Fill]]+Buckets_9_23[[#This Row],[Crit To Fill]]</f>
        <v>36.1</v>
      </c>
      <c r="U10" s="50">
        <f>IF(NOT(Buckets_9_23[[#This Row],[Is Crit]]), Buckets_9_23[[#This Row],[S Cap Diff]], 0)</f>
        <v>163.9</v>
      </c>
      <c r="V10" s="50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A10" s="51">
        <f>IF(Buckets_9_23[[#This Row],[Capacity]]=0, 1, Buckets_9_23[[#This Row],[Final]]/Buckets_9_23[[#This Row],[Capacity]])</f>
        <v>0.89575000000000005</v>
      </c>
      <c r="AC10" s="31">
        <f>Buckets_9_23[[#This Row],[Final]]</f>
        <v>179.15</v>
      </c>
      <c r="AD10" s="31">
        <f>Buckets_9_23[[#This Row],[Capacity]]</f>
        <v>200</v>
      </c>
      <c r="AE10" t="b">
        <f>H10</f>
        <v>0</v>
      </c>
      <c r="AF10" s="43"/>
      <c r="AG10" s="42"/>
      <c r="AH10" s="43"/>
      <c r="AI10" s="42"/>
      <c r="AJ10" s="43"/>
      <c r="AK10" s="40">
        <f t="shared" si="11"/>
        <v>179.15</v>
      </c>
      <c r="AL10" s="40">
        <f t="shared" si="12"/>
        <v>200</v>
      </c>
      <c r="AM10" s="41" t="b">
        <f t="shared" si="1"/>
        <v>0</v>
      </c>
      <c r="AO10" s="29">
        <f t="shared" si="13"/>
        <v>179.15</v>
      </c>
      <c r="AP10" s="29">
        <f>GetTransactionTotal(AggregateTable2023[], AggregateTable2023[Start], AO$1, AggregateTable2023[#Headers], $D10)</f>
        <v>-13.9</v>
      </c>
      <c r="AQ10" s="29">
        <f>Buckets_10_23[[#This Row],[Start]]+Buckets_10_23[[#This Row],[Transactions]]</f>
        <v>165.25</v>
      </c>
      <c r="AR10" s="29">
        <f t="shared" si="14"/>
        <v>200</v>
      </c>
      <c r="AS10" s="29">
        <f>Buckets_10_23[[#This Row],[Capacity]]-Buckets_10_23[[#This Row],[After T]]</f>
        <v>34.75</v>
      </c>
      <c r="AT10" s="29">
        <f>MAX(-Buckets_10_23[[#This Row],[Cap Diff]], 0)</f>
        <v>0</v>
      </c>
      <c r="AU10" s="29">
        <f>Buckets_10_23[[#This Row],[After T]]-Buckets_10_23[[#This Row],[Slush]]</f>
        <v>165.25</v>
      </c>
      <c r="AV10" s="29">
        <f>Buckets_10_23[[#This Row],[Capacity]]-Buckets_10_23[[#This Row],[Before Fill]]</f>
        <v>34.75</v>
      </c>
      <c r="AW10" t="b">
        <f>OR(AM10, Buckets_10_23[[#This Row],[After T]]&lt;0)</f>
        <v>0</v>
      </c>
      <c r="AX10" s="29">
        <f>IF(Buckets_10_23[[#This Row],[Is Crit]], Buckets_10_23[[#This Row],[S Cap Diff]], 0)</f>
        <v>0</v>
      </c>
      <c r="AY10" s="29">
        <f>Buckets_10_23[[#This Row],[Before Fill]]+Buckets_10_23[[#This Row],[Crit To Fill]]</f>
        <v>165.25</v>
      </c>
      <c r="AZ10" s="29">
        <f>IF(NOT(Buckets_10_23[[#This Row],[Is Crit]]), Buckets_10_23[[#This Row],[S Cap Diff]], 0)</f>
        <v>34.75</v>
      </c>
      <c r="BA10" s="29">
        <f>ROUND(AY$41/Buckets_10_23[[#Totals],[NC To Fill]]*Buckets_10_23[[#This Row],[NC To Fill]], 2)</f>
        <v>20.64</v>
      </c>
      <c r="BB10" s="31">
        <f>Buckets_10_23[[#This Row],[Pre Scale]] + IF($D10="Unexpected Fund", AY26-Buckets_10_23[[#Totals],[Pre Scale]], 0)</f>
        <v>20.64</v>
      </c>
      <c r="BC10" s="31">
        <f>Buckets_10_23[[#This Row],[Crit Filled]]+Buckets_10_23[[#This Row],[Scaled]]</f>
        <v>185.89</v>
      </c>
      <c r="BD10" s="31">
        <f>Buckets_10_23[[#This Row],[NC Filled]]</f>
        <v>185.89</v>
      </c>
      <c r="BE10" s="31">
        <f>Buckets_10_23[[#This Row],[Capacity]]-Buckets_10_23[[#This Row],[Final]]</f>
        <v>14.110000000000014</v>
      </c>
      <c r="BF10" s="33">
        <f>IF(Buckets_10_23[[#This Row],[Capacity]]=0, 1, Buckets_10_23[[#This Row],[Final]]/Buckets_10_23[[#This Row],[Capacity]])</f>
        <v>0.92944999999999989</v>
      </c>
      <c r="BH10" s="31">
        <f>Buckets_10_23[[#This Row],[Final]]</f>
        <v>185.89</v>
      </c>
      <c r="BI10" s="31">
        <f>Buckets_10_23[[#This Row],[Capacity]]</f>
        <v>200</v>
      </c>
      <c r="BJ10" t="b">
        <f t="shared" si="15"/>
        <v>0</v>
      </c>
      <c r="BK10" s="43"/>
      <c r="BL10" s="42"/>
      <c r="BM10" s="43"/>
      <c r="BN10" s="42"/>
      <c r="BO10" s="43"/>
      <c r="BP10" s="40">
        <f t="shared" si="16"/>
        <v>185.89</v>
      </c>
      <c r="BQ10" s="40">
        <f t="shared" si="17"/>
        <v>200</v>
      </c>
      <c r="BR10" s="41" t="b">
        <f t="shared" si="2"/>
        <v>0</v>
      </c>
      <c r="BT10" s="29">
        <f t="shared" si="18"/>
        <v>185.89</v>
      </c>
      <c r="BU10" s="29">
        <f>GetTransactionTotal(AggregateTable2023[], AggregateTable2023[Start], BT$1, AggregateTable2023[#Headers], $D10)</f>
        <v>-13.9</v>
      </c>
      <c r="BV10" s="29">
        <f>Buckets_11_23[[#This Row],[Start]]+Buckets_11_23[[#This Row],[Transactions]]</f>
        <v>171.98999999999998</v>
      </c>
      <c r="BW10" s="29">
        <f t="shared" si="19"/>
        <v>200</v>
      </c>
      <c r="BX10" s="29">
        <f>Buckets_11_23[[#This Row],[Capacity]]-Buckets_11_23[[#This Row],[After T]]</f>
        <v>28.010000000000019</v>
      </c>
      <c r="BY10" s="29">
        <f>MAX(-Buckets_11_23[[#This Row],[Cap Diff]], 0)</f>
        <v>0</v>
      </c>
      <c r="BZ10" s="29">
        <f>Buckets_11_23[[#This Row],[After T]]-Buckets_11_23[[#This Row],[Slush]]</f>
        <v>171.98999999999998</v>
      </c>
      <c r="CA10" s="29">
        <f>Buckets_11_23[[#This Row],[Capacity]]-Buckets_11_23[[#This Row],[Before Fill]]</f>
        <v>28.010000000000019</v>
      </c>
      <c r="CB10" t="b">
        <f>OR(BR10, Buckets_11_23[[#This Row],[After T]]&lt;0)</f>
        <v>0</v>
      </c>
      <c r="CC10" s="29">
        <f>IF(Buckets_11_23[[#This Row],[Is Crit]], Buckets_11_23[[#This Row],[S Cap Diff]], 0)</f>
        <v>0</v>
      </c>
      <c r="CD10" s="29">
        <f>Buckets_11_23[[#This Row],[Before Fill]]+Buckets_11_23[[#This Row],[Crit To Fill]]</f>
        <v>171.98999999999998</v>
      </c>
      <c r="CE10" s="29">
        <f>IF(NOT(Buckets_11_23[[#This Row],[Is Crit]]), Buckets_11_23[[#This Row],[S Cap Diff]], 0)</f>
        <v>28.010000000000019</v>
      </c>
      <c r="CF10" s="29">
        <f>ROUND(CD$41/Buckets_11_23[[#Totals],[NC To Fill]]*Buckets_11_23[[#This Row],[NC To Fill]], 2)</f>
        <v>27.62</v>
      </c>
      <c r="CG10" s="31">
        <f>Buckets_11_23[[#This Row],[Pre Scale]] + IF($D10="Unexpected Fund", CD26-Buckets_11_23[[#Totals],[Pre Scale]], 0)</f>
        <v>27.62</v>
      </c>
      <c r="CH10" s="31">
        <f>Buckets_11_23[[#This Row],[Crit Filled]]+Buckets_11_23[[#This Row],[Scaled]]</f>
        <v>199.60999999999999</v>
      </c>
      <c r="CI10" s="31">
        <f>Buckets_11_23[[#This Row],[NC Filled]]</f>
        <v>199.60999999999999</v>
      </c>
      <c r="CJ10" s="31">
        <f>Buckets_11_23[[#This Row],[Capacity]]-Buckets_11_23[[#This Row],[Final]]</f>
        <v>0.39000000000001478</v>
      </c>
      <c r="CK10" s="33">
        <f>IF(Buckets_11_23[[#This Row],[Capacity]]=0, 1, Buckets_11_23[[#This Row],[Final]]/Buckets_11_23[[#This Row],[Capacity]])</f>
        <v>0.99804999999999988</v>
      </c>
      <c r="CM10" s="40">
        <f>Buckets_11_23[[#This Row],[Final]]</f>
        <v>199.60999999999999</v>
      </c>
      <c r="CN10" s="40">
        <f>Buckets_11_23[[#This Row],[Capacity]]</f>
        <v>200</v>
      </c>
      <c r="CO10" s="41" t="b">
        <f t="shared" si="20"/>
        <v>0</v>
      </c>
      <c r="CP10" s="42"/>
      <c r="CQ10" s="42"/>
      <c r="CR10" s="42"/>
      <c r="CS10" s="42">
        <v>500</v>
      </c>
      <c r="CT10" s="43"/>
      <c r="CU10" s="40">
        <f t="shared" si="21"/>
        <v>199.60999999999999</v>
      </c>
      <c r="CV10" s="40">
        <f t="shared" si="22"/>
        <v>500</v>
      </c>
      <c r="CW10" s="41" t="b">
        <f t="shared" si="3"/>
        <v>0</v>
      </c>
      <c r="CY10" s="29">
        <f t="shared" si="23"/>
        <v>199.60999999999999</v>
      </c>
      <c r="CZ10" s="29">
        <f>GetTransactionTotal(AggregateTable2023[], AggregateTable2023[Start], CY$1, AggregateTable2023[#Headers], $D10)</f>
        <v>-13.9</v>
      </c>
      <c r="DA10" s="29">
        <f>Buckets_12_23[[#This Row],[Start]]+Buckets_12_23[[#This Row],[Transactions]]</f>
        <v>185.70999999999998</v>
      </c>
      <c r="DB10" s="29">
        <f t="shared" si="24"/>
        <v>500</v>
      </c>
      <c r="DC10" s="29">
        <f>Buckets_12_23[[#This Row],[Capacity]]-Buckets_12_23[[#This Row],[After T]]</f>
        <v>314.29000000000002</v>
      </c>
      <c r="DD10" s="29">
        <f>MAX(-Buckets_12_23[[#This Row],[Cap Diff]], 0)</f>
        <v>0</v>
      </c>
      <c r="DE10" s="29">
        <f>Buckets_12_23[[#This Row],[After T]]-Buckets_12_23[[#This Row],[Slush]]</f>
        <v>185.70999999999998</v>
      </c>
      <c r="DF10" s="29">
        <f>Buckets_12_23[[#This Row],[Capacity]]-Buckets_12_23[[#This Row],[Before Fill]]</f>
        <v>314.29000000000002</v>
      </c>
      <c r="DG10" t="b">
        <f>OR(CW10, Buckets_12_23[[#This Row],[After T]]&lt;0)</f>
        <v>0</v>
      </c>
      <c r="DH10" s="29">
        <f>IF(Buckets_12_23[[#This Row],[Is Crit]], Buckets_12_23[[#This Row],[S Cap Diff]], 0)</f>
        <v>0</v>
      </c>
      <c r="DI10" s="29">
        <f>Buckets_12_23[[#This Row],[Before Fill]]+Buckets_12_23[[#This Row],[Crit To Fill]]</f>
        <v>185.70999999999998</v>
      </c>
      <c r="DJ10" s="29">
        <f>IF(NOT(Buckets_12_23[[#This Row],[Is Crit]]), Buckets_12_23[[#This Row],[S Cap Diff]], 0)</f>
        <v>314.29000000000002</v>
      </c>
      <c r="DK10" s="29">
        <f>ROUND(DI$41/Buckets_12_23[[#Totals],[NC To Fill]]*Buckets_12_23[[#This Row],[NC To Fill]], 2)</f>
        <v>143.69999999999999</v>
      </c>
      <c r="DL10" s="31">
        <f>Buckets_12_23[[#This Row],[Pre Scale]] + IF($D10="Unexpected Fund", DI26-Buckets_12_23[[#Totals],[Pre Scale]], 0)</f>
        <v>143.69999999999999</v>
      </c>
      <c r="DM10" s="31">
        <f>Buckets_12_23[[#This Row],[Crit Filled]]+Buckets_12_23[[#This Row],[Scaled]]</f>
        <v>329.40999999999997</v>
      </c>
      <c r="DN10" s="31">
        <f>Buckets_12_23[[#This Row],[NC Filled]]</f>
        <v>329.40999999999997</v>
      </c>
      <c r="DO10" s="31">
        <f>Buckets_12_23[[#This Row],[Capacity]]-Buckets_12_23[[#This Row],[Final]]</f>
        <v>170.59000000000003</v>
      </c>
      <c r="DP10" s="33">
        <f>IF(Buckets_12_23[[#This Row],[Capacity]]=0, 1, Buckets_12_23[[#This Row],[Final]]/Buckets_12_23[[#This Row],[Capacity]])</f>
        <v>0.65881999999999996</v>
      </c>
      <c r="DR10" s="40">
        <f>Buckets_12_23[[#This Row],[Final]]</f>
        <v>329.40999999999997</v>
      </c>
      <c r="DS10" s="40">
        <f>Buckets_12_23[[#This Row],[Capacity]]</f>
        <v>500</v>
      </c>
      <c r="DT10" s="41" t="b">
        <f t="shared" si="25"/>
        <v>0</v>
      </c>
      <c r="DU10" s="42"/>
      <c r="DV10" s="42"/>
      <c r="DW10" s="42"/>
      <c r="DX10" s="42"/>
      <c r="DY10" s="43"/>
      <c r="DZ10" s="40">
        <f t="shared" si="26"/>
        <v>329.40999999999997</v>
      </c>
      <c r="EA10" s="40">
        <f t="shared" si="27"/>
        <v>500</v>
      </c>
      <c r="EB10" s="41" t="b">
        <f t="shared" si="4"/>
        <v>0</v>
      </c>
      <c r="ED10" s="29">
        <f t="shared" si="28"/>
        <v>329.40999999999997</v>
      </c>
      <c r="EE10" s="29">
        <f>GetTransactionTotal(AggregateTable2024[], AggregateTable2024[Start], ED$1, AggregateTable2024[#Headers], $D10)</f>
        <v>-13.9</v>
      </c>
      <c r="EF10" s="29">
        <f>Buckets_1_24[[#This Row],[Start]]+Buckets_1_24[[#This Row],[Transactions]]</f>
        <v>315.51</v>
      </c>
      <c r="EG10" s="29">
        <f t="shared" si="29"/>
        <v>500</v>
      </c>
      <c r="EH10" s="29">
        <f>Buckets_1_24[[#This Row],[Capacity]]-Buckets_1_24[[#This Row],[After T]]</f>
        <v>184.49</v>
      </c>
      <c r="EI10" s="29">
        <f>MAX(-Buckets_1_24[[#This Row],[Cap Diff]], 0)</f>
        <v>0</v>
      </c>
      <c r="EJ10" s="29">
        <f>Buckets_1_24[[#This Row],[After T]]-Buckets_1_24[[#This Row],[Slush]]</f>
        <v>315.51</v>
      </c>
      <c r="EK10" s="29">
        <f>Buckets_1_24[[#This Row],[Capacity]]-Buckets_1_24[[#This Row],[Before Fill]]</f>
        <v>184.49</v>
      </c>
      <c r="EL10" t="b">
        <f>OR(EB10, Buckets_1_24[[#This Row],[After T]]&lt;0)</f>
        <v>0</v>
      </c>
      <c r="EM10" s="29">
        <f>IF(Buckets_1_24[[#This Row],[Is Crit]], Buckets_1_24[[#This Row],[S Cap Diff]], 0)</f>
        <v>0</v>
      </c>
      <c r="EN10" s="29">
        <f>Buckets_1_24[[#This Row],[Before Fill]]+Buckets_1_24[[#This Row],[Crit To Fill]]</f>
        <v>315.51</v>
      </c>
      <c r="EO10" s="29">
        <f>IF(NOT(Buckets_1_24[[#This Row],[Is Crit]]), Buckets_1_24[[#This Row],[S Cap Diff]], 0)</f>
        <v>184.49</v>
      </c>
      <c r="EP10" s="29">
        <f>ROUND(EN$41/Buckets_1_24[[#Totals],[NC To Fill]]*Buckets_1_24[[#This Row],[NC To Fill]], 2)</f>
        <v>113.28</v>
      </c>
      <c r="EQ10" s="31">
        <f>Buckets_1_24[[#This Row],[Pre Scale]] + IF($D10="Unexpected Fund", EN26-Buckets_1_24[[#Totals],[Pre Scale]], 0)</f>
        <v>113.28</v>
      </c>
      <c r="ER10" s="31">
        <f>Buckets_1_24[[#This Row],[Crit Filled]]+Buckets_1_24[[#This Row],[Scaled]]</f>
        <v>428.78999999999996</v>
      </c>
      <c r="ES10" s="31">
        <f>Buckets_1_24[[#This Row],[NC Filled]]</f>
        <v>428.78999999999996</v>
      </c>
      <c r="ET10" s="31">
        <f>Buckets_1_24[[#This Row],[Capacity]]-Buckets_1_24[[#This Row],[Final]]</f>
        <v>71.210000000000036</v>
      </c>
      <c r="EU10" s="33">
        <f>IF(Buckets_1_24[[#This Row],[Capacity]]=0, 1, Buckets_1_24[[#This Row],[Final]]/Buckets_1_24[[#This Row],[Capacity]])</f>
        <v>0.8575799999999999</v>
      </c>
      <c r="EW10" s="40">
        <f>Buckets_1_24[[#This Row],[Final]]</f>
        <v>428.78999999999996</v>
      </c>
      <c r="EX10" s="40">
        <f>Buckets_1_24[[#This Row],[Capacity]]</f>
        <v>500</v>
      </c>
      <c r="EY10" s="41" t="b">
        <f t="shared" si="30"/>
        <v>0</v>
      </c>
      <c r="EZ10" s="42"/>
      <c r="FA10" s="42"/>
      <c r="FB10" s="42"/>
      <c r="FC10" s="42"/>
      <c r="FD10" s="43"/>
      <c r="FE10" s="40">
        <f t="shared" si="31"/>
        <v>428.78999999999996</v>
      </c>
      <c r="FF10" s="40">
        <f t="shared" si="32"/>
        <v>500</v>
      </c>
      <c r="FG10" s="41" t="b">
        <f t="shared" si="5"/>
        <v>0</v>
      </c>
      <c r="FI10" s="29">
        <f t="shared" si="33"/>
        <v>428.78999999999996</v>
      </c>
      <c r="FJ10" s="29">
        <f>GetTransactionTotal(AggregateTable2024[], AggregateTable2024[Start], FI$1, AggregateTable2024[#Headers], $D10)</f>
        <v>-13.9</v>
      </c>
      <c r="FK10" s="29">
        <f>Buckets_2_24[[#This Row],[Start]]+Buckets_2_24[[#This Row],[Transactions]]</f>
        <v>414.89</v>
      </c>
      <c r="FL10" s="29">
        <f t="shared" si="34"/>
        <v>500</v>
      </c>
      <c r="FM10" s="29">
        <f>Buckets_2_24[[#This Row],[Capacity]]-Buckets_2_24[[#This Row],[After T]]</f>
        <v>85.110000000000014</v>
      </c>
      <c r="FN10" s="29">
        <f>MAX(-Buckets_2_24[[#This Row],[Cap Diff]], 0)</f>
        <v>0</v>
      </c>
      <c r="FO10" s="29">
        <f>Buckets_2_24[[#This Row],[After T]]-Buckets_2_24[[#This Row],[Slush]]</f>
        <v>414.89</v>
      </c>
      <c r="FP10" s="29">
        <f>Buckets_2_24[[#This Row],[Capacity]]-Buckets_2_24[[#This Row],[Before Fill]]</f>
        <v>85.110000000000014</v>
      </c>
      <c r="FQ10" t="b">
        <f>OR(FG10, Buckets_2_24[[#This Row],[After T]]&lt;0)</f>
        <v>0</v>
      </c>
      <c r="FR10" s="29">
        <f>IF(Buckets_2_24[[#This Row],[Is Crit]], Buckets_2_24[[#This Row],[S Cap Diff]], 0)</f>
        <v>0</v>
      </c>
      <c r="FS10" s="29">
        <f>Buckets_2_24[[#This Row],[Before Fill]]+Buckets_2_24[[#This Row],[Crit To Fill]]</f>
        <v>414.89</v>
      </c>
      <c r="FT10" s="29">
        <f>IF(NOT(Buckets_2_24[[#This Row],[Is Crit]]), Buckets_2_24[[#This Row],[S Cap Diff]], 0)</f>
        <v>85.110000000000014</v>
      </c>
      <c r="FU10" s="29">
        <f>ROUND(FS$41/Buckets_2_24[[#Totals],[NC To Fill]]*Buckets_2_24[[#This Row],[NC To Fill]], 2)</f>
        <v>81.99</v>
      </c>
      <c r="FV10" s="31">
        <f>Buckets_2_24[[#This Row],[Pre Scale]] + IF($D10="Unexpected Fund", FS26-Buckets_2_24[[#Totals],[Pre Scale]], 0)</f>
        <v>81.99</v>
      </c>
      <c r="FW10" s="31">
        <f>Buckets_2_24[[#This Row],[Crit Filled]]+Buckets_2_24[[#This Row],[Scaled]]</f>
        <v>496.88</v>
      </c>
      <c r="FX10" s="31">
        <f>Buckets_2_24[[#This Row],[NC Filled]]</f>
        <v>496.88</v>
      </c>
      <c r="FY10" s="31">
        <f>Buckets_2_24[[#This Row],[Capacity]]-Buckets_2_24[[#This Row],[Final]]</f>
        <v>3.1200000000000045</v>
      </c>
      <c r="FZ10" s="33">
        <f>IF(Buckets_2_24[[#This Row],[Capacity]]=0, 1, Buckets_2_24[[#This Row],[Final]]/Buckets_2_24[[#This Row],[Capacity]])</f>
        <v>0.99375999999999998</v>
      </c>
      <c r="GB10" s="40">
        <f>Buckets_2_24[[#This Row],[Final]]</f>
        <v>496.88</v>
      </c>
      <c r="GC10" s="40">
        <f>Buckets_2_24[[#This Row],[Capacity]]</f>
        <v>500</v>
      </c>
      <c r="GD10" s="41" t="b">
        <f t="shared" si="35"/>
        <v>0</v>
      </c>
      <c r="GE10" s="42"/>
      <c r="GF10" s="42"/>
      <c r="GG10" s="42"/>
      <c r="GH10" s="42"/>
      <c r="GI10" s="43"/>
      <c r="GJ10" s="40">
        <f t="shared" si="36"/>
        <v>496.88</v>
      </c>
      <c r="GK10" s="40">
        <f t="shared" si="37"/>
        <v>500</v>
      </c>
      <c r="GL10" s="41" t="b">
        <f t="shared" si="6"/>
        <v>0</v>
      </c>
      <c r="GN10" s="29">
        <f t="shared" si="38"/>
        <v>496.88</v>
      </c>
      <c r="GO10" s="29">
        <f>GetTransactionTotal(AggregateTable2024[], AggregateTable2024[Start], GN$1, AggregateTable2024[#Headers], $D10)</f>
        <v>-13.9</v>
      </c>
      <c r="GP10" s="29">
        <f>Buckets_3_24[[#This Row],[Start]]+Buckets_3_24[[#This Row],[Transactions]]</f>
        <v>482.98</v>
      </c>
      <c r="GQ10" s="29">
        <f t="shared" si="39"/>
        <v>500</v>
      </c>
      <c r="GR10" s="29">
        <f>Buckets_3_24[[#This Row],[Capacity]]-Buckets_3_24[[#This Row],[After T]]</f>
        <v>17.019999999999982</v>
      </c>
      <c r="GS10" s="29">
        <f>MAX(-Buckets_3_24[[#This Row],[Cap Diff]], 0)</f>
        <v>0</v>
      </c>
      <c r="GT10" s="29">
        <f>Buckets_3_24[[#This Row],[After T]]-Buckets_3_24[[#This Row],[Slush]]</f>
        <v>482.98</v>
      </c>
      <c r="GU10" s="29">
        <f>Buckets_3_24[[#This Row],[Capacity]]-Buckets_3_24[[#This Row],[Before Fill]]</f>
        <v>17.019999999999982</v>
      </c>
      <c r="GV10" t="b">
        <f>OR(GL10, Buckets_3_24[[#This Row],[After T]]&lt;0)</f>
        <v>0</v>
      </c>
      <c r="GW10" s="29">
        <f>IF(Buckets_3_24[[#This Row],[Is Crit]], Buckets_3_24[[#This Row],[S Cap Diff]], 0)</f>
        <v>0</v>
      </c>
      <c r="GX10" s="29">
        <f>Buckets_3_24[[#This Row],[Before Fill]]+Buckets_3_24[[#This Row],[Crit To Fill]]</f>
        <v>482.98</v>
      </c>
      <c r="GY10" s="29">
        <f>IF(NOT(Buckets_3_24[[#This Row],[Is Crit]]), Buckets_3_24[[#This Row],[S Cap Diff]], 0)</f>
        <v>17.019999999999982</v>
      </c>
      <c r="GZ10" s="29">
        <f>ROUND(GX$41/Buckets_3_24[[#Totals],[NC To Fill]]*Buckets_3_24[[#This Row],[NC To Fill]], 2)</f>
        <v>16.53</v>
      </c>
      <c r="HA10" s="31">
        <f>Buckets_3_24[[#This Row],[Pre Scale]] + IF($D10="Unexpected Fund", GX26-Buckets_3_24[[#Totals],[Pre Scale]], 0)</f>
        <v>16.53</v>
      </c>
      <c r="HB10" s="31">
        <f>Buckets_3_24[[#This Row],[Crit Filled]]+Buckets_3_24[[#This Row],[Scaled]]</f>
        <v>499.51</v>
      </c>
      <c r="HC10" s="31">
        <f>Buckets_3_24[[#This Row],[NC Filled]]</f>
        <v>499.51</v>
      </c>
      <c r="HD10" s="31">
        <f>Buckets_3_24[[#This Row],[Capacity]]-Buckets_3_24[[#This Row],[Final]]</f>
        <v>0.49000000000000909</v>
      </c>
      <c r="HE10" s="33">
        <f>IF(Buckets_3_24[[#This Row],[Capacity]]=0, 1, Buckets_3_24[[#This Row],[Final]]/Buckets_3_24[[#This Row],[Capacity]])</f>
        <v>0.99902000000000002</v>
      </c>
      <c r="HG10" s="40">
        <f>Buckets_3_24[[#This Row],[Final]]</f>
        <v>499.51</v>
      </c>
      <c r="HH10" s="40">
        <f>Buckets_3_24[[#This Row],[Capacity]]</f>
        <v>500</v>
      </c>
      <c r="HI10" s="41" t="b">
        <f t="shared" si="40"/>
        <v>0</v>
      </c>
      <c r="HJ10" s="42"/>
      <c r="HK10" s="42"/>
      <c r="HL10" s="42"/>
      <c r="HM10" s="42"/>
      <c r="HN10" s="43"/>
      <c r="HO10" s="40">
        <f t="shared" si="41"/>
        <v>499.51</v>
      </c>
      <c r="HP10" s="40">
        <f t="shared" si="42"/>
        <v>500</v>
      </c>
      <c r="HQ10" s="41" t="b">
        <f t="shared" si="7"/>
        <v>0</v>
      </c>
      <c r="HS10" s="29">
        <f t="shared" si="43"/>
        <v>499.51</v>
      </c>
      <c r="HT10" s="29">
        <f>GetTransactionTotal(AggregateTable2024[], AggregateTable2024[Start], HS$1, AggregateTable2024[#Headers], $D10)</f>
        <v>-13.9</v>
      </c>
      <c r="HU10" s="29">
        <f>Buckets_4_24[[#This Row],[Start]]+Buckets_4_24[[#This Row],[Transactions]]</f>
        <v>485.61</v>
      </c>
      <c r="HV10" s="29">
        <f t="shared" si="44"/>
        <v>500</v>
      </c>
      <c r="HW10" s="29">
        <f>Buckets_4_24[[#This Row],[Capacity]]-Buckets_4_24[[#This Row],[After T]]</f>
        <v>14.389999999999986</v>
      </c>
      <c r="HX10" s="29">
        <f>MAX(-Buckets_4_24[[#This Row],[Cap Diff]], 0)</f>
        <v>0</v>
      </c>
      <c r="HY10" s="29">
        <f>Buckets_4_24[[#This Row],[After T]]-Buckets_4_24[[#This Row],[Slush]]</f>
        <v>485.61</v>
      </c>
      <c r="HZ10" s="29">
        <f>Buckets_4_24[[#This Row],[Capacity]]-Buckets_4_24[[#This Row],[Before Fill]]</f>
        <v>14.389999999999986</v>
      </c>
      <c r="IA10" t="b">
        <f>OR(HQ10, Buckets_4_24[[#This Row],[After T]]&lt;0)</f>
        <v>0</v>
      </c>
      <c r="IB10" s="29">
        <f>IF(Buckets_4_24[[#This Row],[Is Crit]], Buckets_4_24[[#This Row],[S Cap Diff]], 0)</f>
        <v>0</v>
      </c>
      <c r="IC10" s="29">
        <f>Buckets_4_24[[#This Row],[Before Fill]]+Buckets_4_24[[#This Row],[Crit To Fill]]</f>
        <v>485.61</v>
      </c>
      <c r="ID10" s="29">
        <f>IF(NOT(Buckets_4_24[[#This Row],[Is Crit]]), Buckets_4_24[[#This Row],[S Cap Diff]], 0)</f>
        <v>14.389999999999986</v>
      </c>
      <c r="IE10" s="29">
        <f>ROUND(IC$41/Buckets_4_24[[#Totals],[NC To Fill]]*Buckets_4_24[[#This Row],[NC To Fill]], 2)</f>
        <v>9.39</v>
      </c>
      <c r="IF10" s="31">
        <f>Buckets_4_24[[#This Row],[Pre Scale]] + IF($D10="Unexpected Fund", IC26-Buckets_4_24[[#Totals],[Pre Scale]], 0)</f>
        <v>9.39</v>
      </c>
      <c r="IG10" s="31">
        <f>Buckets_4_24[[#This Row],[Crit Filled]]+Buckets_4_24[[#This Row],[Scaled]]</f>
        <v>495</v>
      </c>
      <c r="IH10" s="31">
        <f>Buckets_4_24[[#This Row],[NC Filled]]</f>
        <v>495</v>
      </c>
      <c r="II10" s="31">
        <f>Buckets_4_24[[#This Row],[Capacity]]-Buckets_4_24[[#This Row],[Final]]</f>
        <v>5</v>
      </c>
      <c r="IJ10" s="33">
        <f>IF(Buckets_4_24[[#This Row],[Capacity]]=0, 1, Buckets_4_24[[#This Row],[Final]]/Buckets_4_24[[#This Row],[Capacity]])</f>
        <v>0.99</v>
      </c>
      <c r="IL10" s="40">
        <f>Buckets_4_24[[#This Row],[Final]]</f>
        <v>495</v>
      </c>
      <c r="IM10" s="40">
        <f>Buckets_4_24[[#This Row],[Capacity]]</f>
        <v>500</v>
      </c>
      <c r="IN10" s="41" t="b">
        <f t="shared" si="45"/>
        <v>0</v>
      </c>
      <c r="IO10" s="42"/>
      <c r="IP10" s="42"/>
      <c r="IQ10" s="42"/>
      <c r="IR10" s="42"/>
      <c r="IS10" s="43"/>
      <c r="IT10" s="40">
        <f t="shared" si="46"/>
        <v>495</v>
      </c>
      <c r="IU10" s="40">
        <f t="shared" si="47"/>
        <v>500</v>
      </c>
      <c r="IV10" s="41" t="b">
        <f t="shared" si="8"/>
        <v>0</v>
      </c>
    </row>
    <row r="11" spans="1:256" x14ac:dyDescent="0.25">
      <c r="A11" s="49"/>
      <c r="B11" t="s">
        <v>32</v>
      </c>
      <c r="C11" t="s">
        <v>289</v>
      </c>
      <c r="D11" t="s">
        <v>289</v>
      </c>
      <c r="F11" s="30">
        <v>50</v>
      </c>
      <c r="G11" s="38">
        <v>200</v>
      </c>
      <c r="H11" t="b">
        <v>0</v>
      </c>
      <c r="J11" s="50">
        <f t="shared" si="9"/>
        <v>50</v>
      </c>
      <c r="K11" s="50">
        <f>GetTransactionTotal(AggregateTable2023[], AggregateTable2023[Start], J$1, AggregateTable2023[#Headers], $D11)</f>
        <v>-10.81</v>
      </c>
      <c r="L11" s="50">
        <f>Buckets_9_23[[#This Row],[Start]]+Buckets_9_23[[#This Row],[Transactions]]</f>
        <v>39.19</v>
      </c>
      <c r="M11" s="50">
        <f t="shared" si="10"/>
        <v>200</v>
      </c>
      <c r="N11" s="50">
        <f>Buckets_9_23[[#This Row],[Capacity]]-Buckets_9_23[[#This Row],[After T]]</f>
        <v>160.81</v>
      </c>
      <c r="O11" s="50">
        <f>IF(Buckets_9_23[[#This Row],[After T]]&lt;0, Buckets_9_23[[#This Row],[After T]], IF(Buckets_9_23[[#This Row],[Cap Diff]]&lt;0, -Buckets_9_23[[#This Row],[Cap Diff]], 0))</f>
        <v>0</v>
      </c>
      <c r="P11" s="50">
        <f>Buckets_9_23[[#This Row],[After T]]-Buckets_9_23[[#This Row],[Slush]]</f>
        <v>39.19</v>
      </c>
      <c r="Q11" s="50">
        <f>Buckets_9_23[[#This Row],[Capacity]]-Buckets_9_23[[#This Row],[Before Fill]]</f>
        <v>160.81</v>
      </c>
      <c r="R11" s="31" t="b">
        <f t="shared" si="0"/>
        <v>0</v>
      </c>
      <c r="S11" s="50">
        <f>IF(Buckets_9_23[[#This Row],[Is Crit]], Buckets_9_23[[#This Row],[S Cap Diff]], 0)</f>
        <v>0</v>
      </c>
      <c r="T11" s="50">
        <f>Buckets_9_23[[#This Row],[Before Fill]]+Buckets_9_23[[#This Row],[Crit To Fill]]</f>
        <v>39.19</v>
      </c>
      <c r="U11" s="50">
        <f>IF(NOT(Buckets_9_23[[#This Row],[Is Crit]]), Buckets_9_23[[#This Row],[S Cap Diff]], 0)</f>
        <v>160.81</v>
      </c>
      <c r="V11" s="50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A11" s="51">
        <f>IF(Buckets_9_23[[#This Row],[Capacity]]=0, 1, Buckets_9_23[[#This Row],[Final]]/Buckets_9_23[[#This Row],[Capacity]])</f>
        <v>0.89775000000000005</v>
      </c>
      <c r="AC11" s="31">
        <f>Buckets_9_23[[#This Row],[Final]]</f>
        <v>179.55</v>
      </c>
      <c r="AD11" s="31">
        <f>Buckets_9_23[[#This Row],[Capacity]]</f>
        <v>200</v>
      </c>
      <c r="AE11" t="b">
        <f>H11</f>
        <v>0</v>
      </c>
      <c r="AF11" s="43"/>
      <c r="AG11" s="42"/>
      <c r="AH11" s="43"/>
      <c r="AI11" s="42"/>
      <c r="AJ11" s="43"/>
      <c r="AK11" s="40">
        <f t="shared" si="11"/>
        <v>179.55</v>
      </c>
      <c r="AL11" s="40">
        <f t="shared" si="12"/>
        <v>200</v>
      </c>
      <c r="AM11" s="41" t="b">
        <f t="shared" si="1"/>
        <v>0</v>
      </c>
      <c r="AO11" s="29">
        <f t="shared" si="13"/>
        <v>179.55</v>
      </c>
      <c r="AP11" s="29">
        <f>GetTransactionTotal(AggregateTable2023[], AggregateTable2023[Start], AO$1, AggregateTable2023[#Headers], $D11)</f>
        <v>-16.23</v>
      </c>
      <c r="AQ11" s="29">
        <f>Buckets_10_23[[#This Row],[Start]]+Buckets_10_23[[#This Row],[Transactions]]</f>
        <v>163.32000000000002</v>
      </c>
      <c r="AR11" s="29">
        <f t="shared" si="14"/>
        <v>200</v>
      </c>
      <c r="AS11" s="29">
        <f>Buckets_10_23[[#This Row],[Capacity]]-Buckets_10_23[[#This Row],[After T]]</f>
        <v>36.679999999999978</v>
      </c>
      <c r="AT11" s="29">
        <f>MAX(-Buckets_10_23[[#This Row],[Cap Diff]], 0)</f>
        <v>0</v>
      </c>
      <c r="AU11" s="29">
        <f>Buckets_10_23[[#This Row],[After T]]-Buckets_10_23[[#This Row],[Slush]]</f>
        <v>163.32000000000002</v>
      </c>
      <c r="AV11" s="29">
        <f>Buckets_10_23[[#This Row],[Capacity]]-Buckets_10_23[[#This Row],[Before Fill]]</f>
        <v>36.679999999999978</v>
      </c>
      <c r="AW11" t="b">
        <f>OR(AM11, Buckets_10_23[[#This Row],[After T]]&lt;0)</f>
        <v>0</v>
      </c>
      <c r="AX11" s="29">
        <f>IF(Buckets_10_23[[#This Row],[Is Crit]], Buckets_10_23[[#This Row],[S Cap Diff]], 0)</f>
        <v>0</v>
      </c>
      <c r="AY11" s="29">
        <f>Buckets_10_23[[#This Row],[Before Fill]]+Buckets_10_23[[#This Row],[Crit To Fill]]</f>
        <v>163.32000000000002</v>
      </c>
      <c r="AZ11" s="29">
        <f>IF(NOT(Buckets_10_23[[#This Row],[Is Crit]]), Buckets_10_23[[#This Row],[S Cap Diff]], 0)</f>
        <v>36.679999999999978</v>
      </c>
      <c r="BA11" s="29">
        <f>ROUND(AY$41/Buckets_10_23[[#Totals],[NC To Fill]]*Buckets_10_23[[#This Row],[NC To Fill]], 2)</f>
        <v>21.79</v>
      </c>
      <c r="BB11" s="31">
        <f>Buckets_10_23[[#This Row],[Pre Scale]] + IF($D11="Unexpected Fund", AY27-Buckets_10_23[[#Totals],[Pre Scale]], 0)</f>
        <v>21.79</v>
      </c>
      <c r="BC11" s="31">
        <f>Buckets_10_23[[#This Row],[Crit Filled]]+Buckets_10_23[[#This Row],[Scaled]]</f>
        <v>185.11</v>
      </c>
      <c r="BD11" s="31">
        <f>Buckets_10_23[[#This Row],[NC Filled]]</f>
        <v>185.11</v>
      </c>
      <c r="BE11" s="31">
        <f>Buckets_10_23[[#This Row],[Capacity]]-Buckets_10_23[[#This Row],[Final]]</f>
        <v>14.889999999999986</v>
      </c>
      <c r="BF11" s="33">
        <f>IF(Buckets_10_23[[#This Row],[Capacity]]=0, 1, Buckets_10_23[[#This Row],[Final]]/Buckets_10_23[[#This Row],[Capacity]])</f>
        <v>0.92555000000000009</v>
      </c>
      <c r="BH11" s="31">
        <f>Buckets_10_23[[#This Row],[Final]]</f>
        <v>185.11</v>
      </c>
      <c r="BI11" s="31">
        <f>Buckets_10_23[[#This Row],[Capacity]]</f>
        <v>200</v>
      </c>
      <c r="BJ11" t="b">
        <f t="shared" si="15"/>
        <v>0</v>
      </c>
      <c r="BK11" s="43"/>
      <c r="BL11" s="42"/>
      <c r="BM11" s="43"/>
      <c r="BN11" s="42"/>
      <c r="BO11" s="43"/>
      <c r="BP11" s="40">
        <f t="shared" si="16"/>
        <v>185.11</v>
      </c>
      <c r="BQ11" s="40">
        <f t="shared" si="17"/>
        <v>200</v>
      </c>
      <c r="BR11" s="41" t="b">
        <f t="shared" si="2"/>
        <v>0</v>
      </c>
      <c r="BT11" s="29">
        <f t="shared" si="18"/>
        <v>185.11</v>
      </c>
      <c r="BU11" s="29">
        <f>GetTransactionTotal(AggregateTable2023[], AggregateTable2023[Start], BT$1, AggregateTable2023[#Headers], $D11)</f>
        <v>0</v>
      </c>
      <c r="BV11" s="29">
        <f>Buckets_11_23[[#This Row],[Start]]+Buckets_11_23[[#This Row],[Transactions]]</f>
        <v>185.11</v>
      </c>
      <c r="BW11" s="29">
        <f t="shared" si="19"/>
        <v>200</v>
      </c>
      <c r="BX11" s="29">
        <f>Buckets_11_23[[#This Row],[Capacity]]-Buckets_11_23[[#This Row],[After T]]</f>
        <v>14.889999999999986</v>
      </c>
      <c r="BY11" s="29">
        <f>MAX(-Buckets_11_23[[#This Row],[Cap Diff]], 0)</f>
        <v>0</v>
      </c>
      <c r="BZ11" s="29">
        <f>Buckets_11_23[[#This Row],[After T]]-Buckets_11_23[[#This Row],[Slush]]</f>
        <v>185.11</v>
      </c>
      <c r="CA11" s="29">
        <f>Buckets_11_23[[#This Row],[Capacity]]-Buckets_11_23[[#This Row],[Before Fill]]</f>
        <v>14.889999999999986</v>
      </c>
      <c r="CB11" t="b">
        <f>OR(BR11, Buckets_11_23[[#This Row],[After T]]&lt;0)</f>
        <v>0</v>
      </c>
      <c r="CC11" s="29">
        <f>IF(Buckets_11_23[[#This Row],[Is Crit]], Buckets_11_23[[#This Row],[S Cap Diff]], 0)</f>
        <v>0</v>
      </c>
      <c r="CD11" s="29">
        <f>Buckets_11_23[[#This Row],[Before Fill]]+Buckets_11_23[[#This Row],[Crit To Fill]]</f>
        <v>185.11</v>
      </c>
      <c r="CE11" s="29">
        <f>IF(NOT(Buckets_11_23[[#This Row],[Is Crit]]), Buckets_11_23[[#This Row],[S Cap Diff]], 0)</f>
        <v>14.889999999999986</v>
      </c>
      <c r="CF11" s="29">
        <f>ROUND(CD$41/Buckets_11_23[[#Totals],[NC To Fill]]*Buckets_11_23[[#This Row],[NC To Fill]], 2)</f>
        <v>14.68</v>
      </c>
      <c r="CG11" s="31">
        <f>Buckets_11_23[[#This Row],[Pre Scale]] + IF($D11="Unexpected Fund", CD27-Buckets_11_23[[#Totals],[Pre Scale]], 0)</f>
        <v>14.68</v>
      </c>
      <c r="CH11" s="31">
        <f>Buckets_11_23[[#This Row],[Crit Filled]]+Buckets_11_23[[#This Row],[Scaled]]</f>
        <v>199.79000000000002</v>
      </c>
      <c r="CI11" s="31">
        <f>Buckets_11_23[[#This Row],[NC Filled]]</f>
        <v>199.79000000000002</v>
      </c>
      <c r="CJ11" s="31">
        <f>Buckets_11_23[[#This Row],[Capacity]]-Buckets_11_23[[#This Row],[Final]]</f>
        <v>0.20999999999997954</v>
      </c>
      <c r="CK11" s="33">
        <f>IF(Buckets_11_23[[#This Row],[Capacity]]=0, 1, Buckets_11_23[[#This Row],[Final]]/Buckets_11_23[[#This Row],[Capacity]])</f>
        <v>0.99895000000000012</v>
      </c>
      <c r="CM11" s="40">
        <f>Buckets_11_23[[#This Row],[Final]]</f>
        <v>199.79000000000002</v>
      </c>
      <c r="CN11" s="40">
        <f>Buckets_11_23[[#This Row],[Capacity]]</f>
        <v>200</v>
      </c>
      <c r="CO11" s="41" t="b">
        <f t="shared" si="20"/>
        <v>0</v>
      </c>
      <c r="CP11" s="42">
        <v>-70</v>
      </c>
      <c r="CQ11" s="42"/>
      <c r="CR11" s="42"/>
      <c r="CS11" s="42">
        <v>500</v>
      </c>
      <c r="CT11" s="43"/>
      <c r="CU11" s="40">
        <f t="shared" si="21"/>
        <v>129.79000000000002</v>
      </c>
      <c r="CV11" s="40">
        <f t="shared" si="22"/>
        <v>500</v>
      </c>
      <c r="CW11" s="41" t="b">
        <f t="shared" si="3"/>
        <v>0</v>
      </c>
      <c r="CY11" s="29">
        <f t="shared" si="23"/>
        <v>129.79000000000002</v>
      </c>
      <c r="CZ11" s="29">
        <f>GetTransactionTotal(AggregateTable2023[], AggregateTable2023[Start], CY$1, AggregateTable2023[#Headers], $D11)</f>
        <v>-21.65</v>
      </c>
      <c r="DA11" s="29">
        <f>Buckets_12_23[[#This Row],[Start]]+Buckets_12_23[[#This Row],[Transactions]]</f>
        <v>108.14000000000001</v>
      </c>
      <c r="DB11" s="29">
        <f t="shared" si="24"/>
        <v>500</v>
      </c>
      <c r="DC11" s="29">
        <f>Buckets_12_23[[#This Row],[Capacity]]-Buckets_12_23[[#This Row],[After T]]</f>
        <v>391.86</v>
      </c>
      <c r="DD11" s="29">
        <f>MAX(-Buckets_12_23[[#This Row],[Cap Diff]], 0)</f>
        <v>0</v>
      </c>
      <c r="DE11" s="29">
        <f>Buckets_12_23[[#This Row],[After T]]-Buckets_12_23[[#This Row],[Slush]]</f>
        <v>108.14000000000001</v>
      </c>
      <c r="DF11" s="29">
        <f>Buckets_12_23[[#This Row],[Capacity]]-Buckets_12_23[[#This Row],[Before Fill]]</f>
        <v>391.86</v>
      </c>
      <c r="DG11" t="b">
        <f>OR(CW11, Buckets_12_23[[#This Row],[After T]]&lt;0)</f>
        <v>0</v>
      </c>
      <c r="DH11" s="29">
        <f>IF(Buckets_12_23[[#This Row],[Is Crit]], Buckets_12_23[[#This Row],[S Cap Diff]], 0)</f>
        <v>0</v>
      </c>
      <c r="DI11" s="29">
        <f>Buckets_12_23[[#This Row],[Before Fill]]+Buckets_12_23[[#This Row],[Crit To Fill]]</f>
        <v>108.14000000000001</v>
      </c>
      <c r="DJ11" s="29">
        <f>IF(NOT(Buckets_12_23[[#This Row],[Is Crit]]), Buckets_12_23[[#This Row],[S Cap Diff]], 0)</f>
        <v>391.86</v>
      </c>
      <c r="DK11" s="29">
        <f>ROUND(DI$41/Buckets_12_23[[#Totals],[NC To Fill]]*Buckets_12_23[[#This Row],[NC To Fill]], 2)</f>
        <v>179.17</v>
      </c>
      <c r="DL11" s="31">
        <f>Buckets_12_23[[#This Row],[Pre Scale]] + IF($D11="Unexpected Fund", DI27-Buckets_12_23[[#Totals],[Pre Scale]], 0)</f>
        <v>179.17</v>
      </c>
      <c r="DM11" s="31">
        <f>Buckets_12_23[[#This Row],[Crit Filled]]+Buckets_12_23[[#This Row],[Scaled]]</f>
        <v>287.31</v>
      </c>
      <c r="DN11" s="31">
        <f>Buckets_12_23[[#This Row],[NC Filled]]</f>
        <v>287.31</v>
      </c>
      <c r="DO11" s="31">
        <f>Buckets_12_23[[#This Row],[Capacity]]-Buckets_12_23[[#This Row],[Final]]</f>
        <v>212.69</v>
      </c>
      <c r="DP11" s="33">
        <f>IF(Buckets_12_23[[#This Row],[Capacity]]=0, 1, Buckets_12_23[[#This Row],[Final]]/Buckets_12_23[[#This Row],[Capacity]])</f>
        <v>0.57462000000000002</v>
      </c>
      <c r="DR11" s="40">
        <f>Buckets_12_23[[#This Row],[Final]]</f>
        <v>287.31</v>
      </c>
      <c r="DS11" s="40">
        <f>Buckets_12_23[[#This Row],[Capacity]]</f>
        <v>500</v>
      </c>
      <c r="DT11" s="41" t="b">
        <f t="shared" si="25"/>
        <v>0</v>
      </c>
      <c r="DU11" s="42"/>
      <c r="DV11" s="42"/>
      <c r="DW11" s="42"/>
      <c r="DX11" s="42"/>
      <c r="DY11" s="43"/>
      <c r="DZ11" s="40">
        <f t="shared" si="26"/>
        <v>287.31</v>
      </c>
      <c r="EA11" s="40">
        <f t="shared" si="27"/>
        <v>500</v>
      </c>
      <c r="EB11" s="41" t="b">
        <f t="shared" si="4"/>
        <v>0</v>
      </c>
      <c r="ED11" s="29">
        <f t="shared" si="28"/>
        <v>287.31</v>
      </c>
      <c r="EE11" s="29">
        <f>GetTransactionTotal(AggregateTable2024[], AggregateTable2024[Start], ED$1, AggregateTable2024[#Headers], $D11)</f>
        <v>0</v>
      </c>
      <c r="EF11" s="29">
        <f>Buckets_1_24[[#This Row],[Start]]+Buckets_1_24[[#This Row],[Transactions]]</f>
        <v>287.31</v>
      </c>
      <c r="EG11" s="29">
        <f t="shared" si="29"/>
        <v>500</v>
      </c>
      <c r="EH11" s="29">
        <f>Buckets_1_24[[#This Row],[Capacity]]-Buckets_1_24[[#This Row],[After T]]</f>
        <v>212.69</v>
      </c>
      <c r="EI11" s="29">
        <f>MAX(-Buckets_1_24[[#This Row],[Cap Diff]], 0)</f>
        <v>0</v>
      </c>
      <c r="EJ11" s="29">
        <f>Buckets_1_24[[#This Row],[After T]]-Buckets_1_24[[#This Row],[Slush]]</f>
        <v>287.31</v>
      </c>
      <c r="EK11" s="29">
        <f>Buckets_1_24[[#This Row],[Capacity]]-Buckets_1_24[[#This Row],[Before Fill]]</f>
        <v>212.69</v>
      </c>
      <c r="EL11" t="b">
        <f>OR(EB11, Buckets_1_24[[#This Row],[After T]]&lt;0)</f>
        <v>0</v>
      </c>
      <c r="EM11" s="29">
        <f>IF(Buckets_1_24[[#This Row],[Is Crit]], Buckets_1_24[[#This Row],[S Cap Diff]], 0)</f>
        <v>0</v>
      </c>
      <c r="EN11" s="29">
        <f>Buckets_1_24[[#This Row],[Before Fill]]+Buckets_1_24[[#This Row],[Crit To Fill]]</f>
        <v>287.31</v>
      </c>
      <c r="EO11" s="29">
        <f>IF(NOT(Buckets_1_24[[#This Row],[Is Crit]]), Buckets_1_24[[#This Row],[S Cap Diff]], 0)</f>
        <v>212.69</v>
      </c>
      <c r="EP11" s="29">
        <f>ROUND(EN$41/Buckets_1_24[[#Totals],[NC To Fill]]*Buckets_1_24[[#This Row],[NC To Fill]], 2)</f>
        <v>130.59</v>
      </c>
      <c r="EQ11" s="31">
        <f>Buckets_1_24[[#This Row],[Pre Scale]] + IF($D11="Unexpected Fund", EN27-Buckets_1_24[[#Totals],[Pre Scale]], 0)</f>
        <v>130.59</v>
      </c>
      <c r="ER11" s="31">
        <f>Buckets_1_24[[#This Row],[Crit Filled]]+Buckets_1_24[[#This Row],[Scaled]]</f>
        <v>417.9</v>
      </c>
      <c r="ES11" s="31">
        <f>Buckets_1_24[[#This Row],[NC Filled]]</f>
        <v>417.9</v>
      </c>
      <c r="ET11" s="31">
        <f>Buckets_1_24[[#This Row],[Capacity]]-Buckets_1_24[[#This Row],[Final]]</f>
        <v>82.100000000000023</v>
      </c>
      <c r="EU11" s="33">
        <f>IF(Buckets_1_24[[#This Row],[Capacity]]=0, 1, Buckets_1_24[[#This Row],[Final]]/Buckets_1_24[[#This Row],[Capacity]])</f>
        <v>0.83579999999999999</v>
      </c>
      <c r="EW11" s="40">
        <f>Buckets_1_24[[#This Row],[Final]]</f>
        <v>417.9</v>
      </c>
      <c r="EX11" s="40">
        <f>Buckets_1_24[[#This Row],[Capacity]]</f>
        <v>500</v>
      </c>
      <c r="EY11" s="41" t="b">
        <f t="shared" si="30"/>
        <v>0</v>
      </c>
      <c r="EZ11" s="42"/>
      <c r="FA11" s="42"/>
      <c r="FB11" s="42"/>
      <c r="FC11" s="42"/>
      <c r="FD11" s="43"/>
      <c r="FE11" s="40">
        <f t="shared" si="31"/>
        <v>417.9</v>
      </c>
      <c r="FF11" s="40">
        <f t="shared" si="32"/>
        <v>500</v>
      </c>
      <c r="FG11" s="41" t="b">
        <f t="shared" si="5"/>
        <v>0</v>
      </c>
      <c r="FI11" s="29">
        <f t="shared" si="33"/>
        <v>417.9</v>
      </c>
      <c r="FJ11" s="29">
        <f>GetTransactionTotal(AggregateTable2024[], AggregateTable2024[Start], FI$1, AggregateTable2024[#Headers], $D11)</f>
        <v>-43.29</v>
      </c>
      <c r="FK11" s="29">
        <f>Buckets_2_24[[#This Row],[Start]]+Buckets_2_24[[#This Row],[Transactions]]</f>
        <v>374.60999999999996</v>
      </c>
      <c r="FL11" s="29">
        <f t="shared" si="34"/>
        <v>500</v>
      </c>
      <c r="FM11" s="29">
        <f>Buckets_2_24[[#This Row],[Capacity]]-Buckets_2_24[[#This Row],[After T]]</f>
        <v>125.39000000000004</v>
      </c>
      <c r="FN11" s="29">
        <f>MAX(-Buckets_2_24[[#This Row],[Cap Diff]], 0)</f>
        <v>0</v>
      </c>
      <c r="FO11" s="29">
        <f>Buckets_2_24[[#This Row],[After T]]-Buckets_2_24[[#This Row],[Slush]]</f>
        <v>374.60999999999996</v>
      </c>
      <c r="FP11" s="29">
        <f>Buckets_2_24[[#This Row],[Capacity]]-Buckets_2_24[[#This Row],[Before Fill]]</f>
        <v>125.39000000000004</v>
      </c>
      <c r="FQ11" t="b">
        <f>OR(FG11, Buckets_2_24[[#This Row],[After T]]&lt;0)</f>
        <v>0</v>
      </c>
      <c r="FR11" s="29">
        <f>IF(Buckets_2_24[[#This Row],[Is Crit]], Buckets_2_24[[#This Row],[S Cap Diff]], 0)</f>
        <v>0</v>
      </c>
      <c r="FS11" s="29">
        <f>Buckets_2_24[[#This Row],[Before Fill]]+Buckets_2_24[[#This Row],[Crit To Fill]]</f>
        <v>374.60999999999996</v>
      </c>
      <c r="FT11" s="29">
        <f>IF(NOT(Buckets_2_24[[#This Row],[Is Crit]]), Buckets_2_24[[#This Row],[S Cap Diff]], 0)</f>
        <v>125.39000000000004</v>
      </c>
      <c r="FU11" s="29">
        <f>ROUND(FS$41/Buckets_2_24[[#Totals],[NC To Fill]]*Buckets_2_24[[#This Row],[NC To Fill]], 2)</f>
        <v>120.79</v>
      </c>
      <c r="FV11" s="31">
        <f>Buckets_2_24[[#This Row],[Pre Scale]] + IF($D11="Unexpected Fund", FS27-Buckets_2_24[[#Totals],[Pre Scale]], 0)</f>
        <v>120.79</v>
      </c>
      <c r="FW11" s="31">
        <f>Buckets_2_24[[#This Row],[Crit Filled]]+Buckets_2_24[[#This Row],[Scaled]]</f>
        <v>495.4</v>
      </c>
      <c r="FX11" s="31">
        <f>Buckets_2_24[[#This Row],[NC Filled]]</f>
        <v>495.4</v>
      </c>
      <c r="FY11" s="31">
        <f>Buckets_2_24[[#This Row],[Capacity]]-Buckets_2_24[[#This Row],[Final]]</f>
        <v>4.6000000000000227</v>
      </c>
      <c r="FZ11" s="33">
        <f>IF(Buckets_2_24[[#This Row],[Capacity]]=0, 1, Buckets_2_24[[#This Row],[Final]]/Buckets_2_24[[#This Row],[Capacity]])</f>
        <v>0.9907999999999999</v>
      </c>
      <c r="GB11" s="40">
        <f>Buckets_2_24[[#This Row],[Final]]</f>
        <v>495.4</v>
      </c>
      <c r="GC11" s="40">
        <f>Buckets_2_24[[#This Row],[Capacity]]</f>
        <v>500</v>
      </c>
      <c r="GD11" s="41" t="b">
        <f t="shared" si="35"/>
        <v>0</v>
      </c>
      <c r="GE11" s="42"/>
      <c r="GF11" s="42"/>
      <c r="GG11" s="42"/>
      <c r="GH11" s="42"/>
      <c r="GI11" s="43"/>
      <c r="GJ11" s="40">
        <f t="shared" si="36"/>
        <v>495.4</v>
      </c>
      <c r="GK11" s="40">
        <f t="shared" si="37"/>
        <v>500</v>
      </c>
      <c r="GL11" s="41" t="b">
        <f t="shared" si="6"/>
        <v>0</v>
      </c>
      <c r="GN11" s="29">
        <f t="shared" si="38"/>
        <v>495.4</v>
      </c>
      <c r="GO11" s="29">
        <f>GetTransactionTotal(AggregateTable2024[], AggregateTable2024[Start], GN$1, AggregateTable2024[#Headers], $D11)</f>
        <v>-47.870000000000005</v>
      </c>
      <c r="GP11" s="29">
        <f>Buckets_3_24[[#This Row],[Start]]+Buckets_3_24[[#This Row],[Transactions]]</f>
        <v>447.53</v>
      </c>
      <c r="GQ11" s="29">
        <f t="shared" si="39"/>
        <v>500</v>
      </c>
      <c r="GR11" s="29">
        <f>Buckets_3_24[[#This Row],[Capacity]]-Buckets_3_24[[#This Row],[After T]]</f>
        <v>52.470000000000027</v>
      </c>
      <c r="GS11" s="29">
        <f>MAX(-Buckets_3_24[[#This Row],[Cap Diff]], 0)</f>
        <v>0</v>
      </c>
      <c r="GT11" s="29">
        <f>Buckets_3_24[[#This Row],[After T]]-Buckets_3_24[[#This Row],[Slush]]</f>
        <v>447.53</v>
      </c>
      <c r="GU11" s="29">
        <f>Buckets_3_24[[#This Row],[Capacity]]-Buckets_3_24[[#This Row],[Before Fill]]</f>
        <v>52.470000000000027</v>
      </c>
      <c r="GV11" t="b">
        <f>OR(GL11, Buckets_3_24[[#This Row],[After T]]&lt;0)</f>
        <v>0</v>
      </c>
      <c r="GW11" s="29">
        <f>IF(Buckets_3_24[[#This Row],[Is Crit]], Buckets_3_24[[#This Row],[S Cap Diff]], 0)</f>
        <v>0</v>
      </c>
      <c r="GX11" s="29">
        <f>Buckets_3_24[[#This Row],[Before Fill]]+Buckets_3_24[[#This Row],[Crit To Fill]]</f>
        <v>447.53</v>
      </c>
      <c r="GY11" s="29">
        <f>IF(NOT(Buckets_3_24[[#This Row],[Is Crit]]), Buckets_3_24[[#This Row],[S Cap Diff]], 0)</f>
        <v>52.470000000000027</v>
      </c>
      <c r="GZ11" s="29">
        <f>ROUND(GX$41/Buckets_3_24[[#Totals],[NC To Fill]]*Buckets_3_24[[#This Row],[NC To Fill]], 2)</f>
        <v>50.96</v>
      </c>
      <c r="HA11" s="31">
        <f>Buckets_3_24[[#This Row],[Pre Scale]] + IF($D11="Unexpected Fund", GX27-Buckets_3_24[[#Totals],[Pre Scale]], 0)</f>
        <v>50.96</v>
      </c>
      <c r="HB11" s="31">
        <f>Buckets_3_24[[#This Row],[Crit Filled]]+Buckets_3_24[[#This Row],[Scaled]]</f>
        <v>498.48999999999995</v>
      </c>
      <c r="HC11" s="31">
        <f>Buckets_3_24[[#This Row],[NC Filled]]</f>
        <v>498.48999999999995</v>
      </c>
      <c r="HD11" s="31">
        <f>Buckets_3_24[[#This Row],[Capacity]]-Buckets_3_24[[#This Row],[Final]]</f>
        <v>1.5100000000000477</v>
      </c>
      <c r="HE11" s="33">
        <f>IF(Buckets_3_24[[#This Row],[Capacity]]=0, 1, Buckets_3_24[[#This Row],[Final]]/Buckets_3_24[[#This Row],[Capacity]])</f>
        <v>0.99697999999999987</v>
      </c>
      <c r="HG11" s="40">
        <f>Buckets_3_24[[#This Row],[Final]]</f>
        <v>498.48999999999995</v>
      </c>
      <c r="HH11" s="40">
        <f>Buckets_3_24[[#This Row],[Capacity]]</f>
        <v>500</v>
      </c>
      <c r="HI11" s="41" t="b">
        <f t="shared" si="40"/>
        <v>0</v>
      </c>
      <c r="HJ11" s="42"/>
      <c r="HK11" s="42"/>
      <c r="HL11" s="42"/>
      <c r="HM11" s="42"/>
      <c r="HN11" s="43"/>
      <c r="HO11" s="40">
        <f t="shared" si="41"/>
        <v>498.48999999999995</v>
      </c>
      <c r="HP11" s="40">
        <f t="shared" si="42"/>
        <v>500</v>
      </c>
      <c r="HQ11" s="41" t="b">
        <f t="shared" si="7"/>
        <v>0</v>
      </c>
      <c r="HS11" s="29">
        <f t="shared" si="43"/>
        <v>498.48999999999995</v>
      </c>
      <c r="HT11" s="29">
        <f>GetTransactionTotal(AggregateTable2024[], AggregateTable2024[Start], HS$1, AggregateTable2024[#Headers], $D11)</f>
        <v>-18.18</v>
      </c>
      <c r="HU11" s="29">
        <f>Buckets_4_24[[#This Row],[Start]]+Buckets_4_24[[#This Row],[Transactions]]</f>
        <v>480.30999999999995</v>
      </c>
      <c r="HV11" s="29">
        <f t="shared" si="44"/>
        <v>500</v>
      </c>
      <c r="HW11" s="29">
        <f>Buckets_4_24[[#This Row],[Capacity]]-Buckets_4_24[[#This Row],[After T]]</f>
        <v>19.690000000000055</v>
      </c>
      <c r="HX11" s="29">
        <f>MAX(-Buckets_4_24[[#This Row],[Cap Diff]], 0)</f>
        <v>0</v>
      </c>
      <c r="HY11" s="29">
        <f>Buckets_4_24[[#This Row],[After T]]-Buckets_4_24[[#This Row],[Slush]]</f>
        <v>480.30999999999995</v>
      </c>
      <c r="HZ11" s="29">
        <f>Buckets_4_24[[#This Row],[Capacity]]-Buckets_4_24[[#This Row],[Before Fill]]</f>
        <v>19.690000000000055</v>
      </c>
      <c r="IA11" t="b">
        <f>OR(HQ11, Buckets_4_24[[#This Row],[After T]]&lt;0)</f>
        <v>0</v>
      </c>
      <c r="IB11" s="29">
        <f>IF(Buckets_4_24[[#This Row],[Is Crit]], Buckets_4_24[[#This Row],[S Cap Diff]], 0)</f>
        <v>0</v>
      </c>
      <c r="IC11" s="29">
        <f>Buckets_4_24[[#This Row],[Before Fill]]+Buckets_4_24[[#This Row],[Crit To Fill]]</f>
        <v>480.30999999999995</v>
      </c>
      <c r="ID11" s="29">
        <f>IF(NOT(Buckets_4_24[[#This Row],[Is Crit]]), Buckets_4_24[[#This Row],[S Cap Diff]], 0)</f>
        <v>19.690000000000055</v>
      </c>
      <c r="IE11" s="29">
        <f>ROUND(IC$41/Buckets_4_24[[#Totals],[NC To Fill]]*Buckets_4_24[[#This Row],[NC To Fill]], 2)</f>
        <v>12.85</v>
      </c>
      <c r="IF11" s="31">
        <f>Buckets_4_24[[#This Row],[Pre Scale]] + IF($D11="Unexpected Fund", IC27-Buckets_4_24[[#Totals],[Pre Scale]], 0)</f>
        <v>12.85</v>
      </c>
      <c r="IG11" s="31">
        <f>Buckets_4_24[[#This Row],[Crit Filled]]+Buckets_4_24[[#This Row],[Scaled]]</f>
        <v>493.15999999999997</v>
      </c>
      <c r="IH11" s="31">
        <f>Buckets_4_24[[#This Row],[NC Filled]]</f>
        <v>493.15999999999997</v>
      </c>
      <c r="II11" s="31">
        <f>Buckets_4_24[[#This Row],[Capacity]]-Buckets_4_24[[#This Row],[Final]]</f>
        <v>6.8400000000000318</v>
      </c>
      <c r="IJ11" s="33">
        <f>IF(Buckets_4_24[[#This Row],[Capacity]]=0, 1, Buckets_4_24[[#This Row],[Final]]/Buckets_4_24[[#This Row],[Capacity]])</f>
        <v>0.98631999999999997</v>
      </c>
      <c r="IL11" s="40">
        <f>Buckets_4_24[[#This Row],[Final]]</f>
        <v>493.15999999999997</v>
      </c>
      <c r="IM11" s="40">
        <f>Buckets_4_24[[#This Row],[Capacity]]</f>
        <v>500</v>
      </c>
      <c r="IN11" s="41" t="b">
        <f t="shared" si="45"/>
        <v>0</v>
      </c>
      <c r="IO11" s="42"/>
      <c r="IP11" s="42"/>
      <c r="IQ11" s="42"/>
      <c r="IR11" s="42"/>
      <c r="IS11" s="43"/>
      <c r="IT11" s="40">
        <f t="shared" si="46"/>
        <v>493.15999999999997</v>
      </c>
      <c r="IU11" s="40">
        <f t="shared" si="47"/>
        <v>500</v>
      </c>
      <c r="IV11" s="41" t="b">
        <f t="shared" si="8"/>
        <v>0</v>
      </c>
    </row>
    <row r="12" spans="1:256" x14ac:dyDescent="0.25">
      <c r="A12" s="49"/>
      <c r="B12" t="s">
        <v>32</v>
      </c>
      <c r="C12" t="s">
        <v>290</v>
      </c>
      <c r="D12" t="s">
        <v>290</v>
      </c>
      <c r="F12" s="30">
        <v>0</v>
      </c>
      <c r="G12" s="38">
        <v>300</v>
      </c>
      <c r="H12" t="b">
        <v>0</v>
      </c>
      <c r="J12" s="50">
        <f t="shared" si="9"/>
        <v>0</v>
      </c>
      <c r="K12" s="50">
        <f>GetTransactionTotal(AggregateTable2023[], AggregateTable2023[Start], J$1, AggregateTable2023[#Headers], $D12)</f>
        <v>0</v>
      </c>
      <c r="L12" s="50">
        <f>Buckets_9_23[[#This Row],[Start]]+Buckets_9_23[[#This Row],[Transactions]]</f>
        <v>0</v>
      </c>
      <c r="M12" s="50">
        <f t="shared" si="10"/>
        <v>300</v>
      </c>
      <c r="N12" s="50">
        <f>Buckets_9_23[[#This Row],[Capacity]]-Buckets_9_23[[#This Row],[After T]]</f>
        <v>300</v>
      </c>
      <c r="O12" s="50">
        <f>IF(Buckets_9_23[[#This Row],[After T]]&lt;0, Buckets_9_23[[#This Row],[After T]], IF(Buckets_9_23[[#This Row],[Cap Diff]]&lt;0, -Buckets_9_23[[#This Row],[Cap Diff]], 0))</f>
        <v>0</v>
      </c>
      <c r="P12" s="50">
        <f>Buckets_9_23[[#This Row],[After T]]-Buckets_9_23[[#This Row],[Slush]]</f>
        <v>0</v>
      </c>
      <c r="Q12" s="50">
        <f>Buckets_9_23[[#This Row],[Capacity]]-Buckets_9_23[[#This Row],[Before Fill]]</f>
        <v>300</v>
      </c>
      <c r="R12" s="31" t="b">
        <f t="shared" si="0"/>
        <v>0</v>
      </c>
      <c r="S12" s="50">
        <f>IF(Buckets_9_23[[#This Row],[Is Crit]], Buckets_9_23[[#This Row],[S Cap Diff]], 0)</f>
        <v>0</v>
      </c>
      <c r="T12" s="50">
        <f>Buckets_9_23[[#This Row],[Before Fill]]+Buckets_9_23[[#This Row],[Crit To Fill]]</f>
        <v>0</v>
      </c>
      <c r="U12" s="50">
        <f>IF(NOT(Buckets_9_23[[#This Row],[Is Crit]]), Buckets_9_23[[#This Row],[S Cap Diff]], 0)</f>
        <v>300</v>
      </c>
      <c r="V12" s="50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A12" s="51">
        <f>IF(Buckets_9_23[[#This Row],[Capacity]]=0, 1, Buckets_9_23[[#This Row],[Final]]/Buckets_9_23[[#This Row],[Capacity]])</f>
        <v>0.87283333333333346</v>
      </c>
      <c r="AC12" s="31">
        <f>Buckets_9_23[[#This Row],[Final]]</f>
        <v>261.85000000000002</v>
      </c>
      <c r="AD12" s="31">
        <f>Buckets_9_23[[#This Row],[Capacity]]</f>
        <v>300</v>
      </c>
      <c r="AE12" t="b">
        <f>H12</f>
        <v>0</v>
      </c>
      <c r="AF12" s="43"/>
      <c r="AG12" s="42"/>
      <c r="AH12" s="43"/>
      <c r="AI12" s="42"/>
      <c r="AJ12" s="43"/>
      <c r="AK12" s="40">
        <f t="shared" si="11"/>
        <v>261.85000000000002</v>
      </c>
      <c r="AL12" s="40">
        <f t="shared" si="12"/>
        <v>300</v>
      </c>
      <c r="AM12" s="41" t="b">
        <f t="shared" si="1"/>
        <v>0</v>
      </c>
      <c r="AO12" s="29">
        <f t="shared" si="13"/>
        <v>261.85000000000002</v>
      </c>
      <c r="AP12" s="29">
        <f>GetTransactionTotal(AggregateTable2023[], AggregateTable2023[Start], AO$1, AggregateTable2023[#Headers], $D12)</f>
        <v>-81.89</v>
      </c>
      <c r="AQ12" s="29">
        <f>Buckets_10_23[[#This Row],[Start]]+Buckets_10_23[[#This Row],[Transactions]]</f>
        <v>179.96000000000004</v>
      </c>
      <c r="AR12" s="29">
        <f t="shared" si="14"/>
        <v>300</v>
      </c>
      <c r="AS12" s="29">
        <f>Buckets_10_23[[#This Row],[Capacity]]-Buckets_10_23[[#This Row],[After T]]</f>
        <v>120.03999999999996</v>
      </c>
      <c r="AT12" s="29">
        <f>MAX(-Buckets_10_23[[#This Row],[Cap Diff]], 0)</f>
        <v>0</v>
      </c>
      <c r="AU12" s="29">
        <f>Buckets_10_23[[#This Row],[After T]]-Buckets_10_23[[#This Row],[Slush]]</f>
        <v>179.96000000000004</v>
      </c>
      <c r="AV12" s="29">
        <f>Buckets_10_23[[#This Row],[Capacity]]-Buckets_10_23[[#This Row],[Before Fill]]</f>
        <v>120.03999999999996</v>
      </c>
      <c r="AW12" t="b">
        <f>OR(AM12, Buckets_10_23[[#This Row],[After T]]&lt;0)</f>
        <v>0</v>
      </c>
      <c r="AX12" s="29">
        <f>IF(Buckets_10_23[[#This Row],[Is Crit]], Buckets_10_23[[#This Row],[S Cap Diff]], 0)</f>
        <v>0</v>
      </c>
      <c r="AY12" s="29">
        <f>Buckets_10_23[[#This Row],[Before Fill]]+Buckets_10_23[[#This Row],[Crit To Fill]]</f>
        <v>179.96000000000004</v>
      </c>
      <c r="AZ12" s="29">
        <f>IF(NOT(Buckets_10_23[[#This Row],[Is Crit]]), Buckets_10_23[[#This Row],[S Cap Diff]], 0)</f>
        <v>120.03999999999996</v>
      </c>
      <c r="BA12" s="29">
        <f>ROUND(AY$41/Buckets_10_23[[#Totals],[NC To Fill]]*Buckets_10_23[[#This Row],[NC To Fill]], 2)</f>
        <v>71.3</v>
      </c>
      <c r="BB12" s="31">
        <f>Buckets_10_23[[#This Row],[Pre Scale]] + IF($D12="Unexpected Fund", AY28-Buckets_10_23[[#Totals],[Pre Scale]], 0)</f>
        <v>71.3</v>
      </c>
      <c r="BC12" s="31">
        <f>Buckets_10_23[[#This Row],[Crit Filled]]+Buckets_10_23[[#This Row],[Scaled]]</f>
        <v>251.26000000000005</v>
      </c>
      <c r="BD12" s="31">
        <f>Buckets_10_23[[#This Row],[NC Filled]]</f>
        <v>251.26000000000005</v>
      </c>
      <c r="BE12" s="31">
        <f>Buckets_10_23[[#This Row],[Capacity]]-Buckets_10_23[[#This Row],[Final]]</f>
        <v>48.739999999999952</v>
      </c>
      <c r="BF12" s="33">
        <f>IF(Buckets_10_23[[#This Row],[Capacity]]=0, 1, Buckets_10_23[[#This Row],[Final]]/Buckets_10_23[[#This Row],[Capacity]])</f>
        <v>0.83753333333333346</v>
      </c>
      <c r="BH12" s="31">
        <f>Buckets_10_23[[#This Row],[Final]]</f>
        <v>251.26000000000005</v>
      </c>
      <c r="BI12" s="31">
        <f>Buckets_10_23[[#This Row],[Capacity]]</f>
        <v>300</v>
      </c>
      <c r="BJ12" t="b">
        <f t="shared" si="15"/>
        <v>0</v>
      </c>
      <c r="BK12" s="43"/>
      <c r="BL12" s="42"/>
      <c r="BM12" s="43"/>
      <c r="BN12" s="42"/>
      <c r="BO12" s="43"/>
      <c r="BP12" s="40">
        <f t="shared" si="16"/>
        <v>251.26000000000005</v>
      </c>
      <c r="BQ12" s="40">
        <f t="shared" si="17"/>
        <v>300</v>
      </c>
      <c r="BR12" s="41" t="b">
        <f t="shared" si="2"/>
        <v>0</v>
      </c>
      <c r="BT12" s="29">
        <f t="shared" si="18"/>
        <v>251.26000000000005</v>
      </c>
      <c r="BU12" s="29">
        <f>GetTransactionTotal(AggregateTable2023[], AggregateTable2023[Start], BT$1, AggregateTable2023[#Headers], $D12)</f>
        <v>0</v>
      </c>
      <c r="BV12" s="29">
        <f>Buckets_11_23[[#This Row],[Start]]+Buckets_11_23[[#This Row],[Transactions]]</f>
        <v>251.26000000000005</v>
      </c>
      <c r="BW12" s="29">
        <f t="shared" si="19"/>
        <v>300</v>
      </c>
      <c r="BX12" s="29">
        <f>Buckets_11_23[[#This Row],[Capacity]]-Buckets_11_23[[#This Row],[After T]]</f>
        <v>48.739999999999952</v>
      </c>
      <c r="BY12" s="29">
        <f>MAX(-Buckets_11_23[[#This Row],[Cap Diff]], 0)</f>
        <v>0</v>
      </c>
      <c r="BZ12" s="29">
        <f>Buckets_11_23[[#This Row],[After T]]-Buckets_11_23[[#This Row],[Slush]]</f>
        <v>251.26000000000005</v>
      </c>
      <c r="CA12" s="29">
        <f>Buckets_11_23[[#This Row],[Capacity]]-Buckets_11_23[[#This Row],[Before Fill]]</f>
        <v>48.739999999999952</v>
      </c>
      <c r="CB12" t="b">
        <f>OR(BR12, Buckets_11_23[[#This Row],[After T]]&lt;0)</f>
        <v>0</v>
      </c>
      <c r="CC12" s="29">
        <f>IF(Buckets_11_23[[#This Row],[Is Crit]], Buckets_11_23[[#This Row],[S Cap Diff]], 0)</f>
        <v>0</v>
      </c>
      <c r="CD12" s="29">
        <f>Buckets_11_23[[#This Row],[Before Fill]]+Buckets_11_23[[#This Row],[Crit To Fill]]</f>
        <v>251.26000000000005</v>
      </c>
      <c r="CE12" s="29">
        <f>IF(NOT(Buckets_11_23[[#This Row],[Is Crit]]), Buckets_11_23[[#This Row],[S Cap Diff]], 0)</f>
        <v>48.739999999999952</v>
      </c>
      <c r="CF12" s="29">
        <f>ROUND(CD$41/Buckets_11_23[[#Totals],[NC To Fill]]*Buckets_11_23[[#This Row],[NC To Fill]], 2)</f>
        <v>48.07</v>
      </c>
      <c r="CG12" s="31">
        <f>Buckets_11_23[[#This Row],[Pre Scale]] + IF($D12="Unexpected Fund", CD28-Buckets_11_23[[#Totals],[Pre Scale]], 0)</f>
        <v>48.07</v>
      </c>
      <c r="CH12" s="31">
        <f>Buckets_11_23[[#This Row],[Crit Filled]]+Buckets_11_23[[#This Row],[Scaled]]</f>
        <v>299.33000000000004</v>
      </c>
      <c r="CI12" s="31">
        <f>Buckets_11_23[[#This Row],[NC Filled]]</f>
        <v>299.33000000000004</v>
      </c>
      <c r="CJ12" s="31">
        <f>Buckets_11_23[[#This Row],[Capacity]]-Buckets_11_23[[#This Row],[Final]]</f>
        <v>0.66999999999995907</v>
      </c>
      <c r="CK12" s="33">
        <f>IF(Buckets_11_23[[#This Row],[Capacity]]=0, 1, Buckets_11_23[[#This Row],[Final]]/Buckets_11_23[[#This Row],[Capacity]])</f>
        <v>0.9977666666666668</v>
      </c>
      <c r="CM12" s="40">
        <f>Buckets_11_23[[#This Row],[Final]]</f>
        <v>299.33000000000004</v>
      </c>
      <c r="CN12" s="40">
        <f>Buckets_11_23[[#This Row],[Capacity]]</f>
        <v>300</v>
      </c>
      <c r="CO12" s="41" t="b">
        <f t="shared" si="20"/>
        <v>0</v>
      </c>
      <c r="CP12" s="42">
        <v>-120</v>
      </c>
      <c r="CQ12" s="42"/>
      <c r="CR12" s="42"/>
      <c r="CS12" s="42">
        <v>500</v>
      </c>
      <c r="CT12" s="43"/>
      <c r="CU12" s="40">
        <f t="shared" si="21"/>
        <v>179.33000000000004</v>
      </c>
      <c r="CV12" s="40">
        <f t="shared" si="22"/>
        <v>500</v>
      </c>
      <c r="CW12" s="41" t="b">
        <f t="shared" si="3"/>
        <v>0</v>
      </c>
      <c r="CY12" s="29">
        <f t="shared" si="23"/>
        <v>179.33000000000004</v>
      </c>
      <c r="CZ12" s="29">
        <f>GetTransactionTotal(AggregateTable2023[], AggregateTable2023[Start], CY$1, AggregateTable2023[#Headers], $D12)</f>
        <v>-10.65</v>
      </c>
      <c r="DA12" s="29">
        <f>Buckets_12_23[[#This Row],[Start]]+Buckets_12_23[[#This Row],[Transactions]]</f>
        <v>168.68000000000004</v>
      </c>
      <c r="DB12" s="29">
        <f t="shared" si="24"/>
        <v>500</v>
      </c>
      <c r="DC12" s="29">
        <f>Buckets_12_23[[#This Row],[Capacity]]-Buckets_12_23[[#This Row],[After T]]</f>
        <v>331.31999999999994</v>
      </c>
      <c r="DD12" s="29">
        <f>MAX(-Buckets_12_23[[#This Row],[Cap Diff]], 0)</f>
        <v>0</v>
      </c>
      <c r="DE12" s="29">
        <f>Buckets_12_23[[#This Row],[After T]]-Buckets_12_23[[#This Row],[Slush]]</f>
        <v>168.68000000000004</v>
      </c>
      <c r="DF12" s="29">
        <f>Buckets_12_23[[#This Row],[Capacity]]-Buckets_12_23[[#This Row],[Before Fill]]</f>
        <v>331.31999999999994</v>
      </c>
      <c r="DG12" t="b">
        <f>OR(CW12, Buckets_12_23[[#This Row],[After T]]&lt;0)</f>
        <v>0</v>
      </c>
      <c r="DH12" s="29">
        <f>IF(Buckets_12_23[[#This Row],[Is Crit]], Buckets_12_23[[#This Row],[S Cap Diff]], 0)</f>
        <v>0</v>
      </c>
      <c r="DI12" s="29">
        <f>Buckets_12_23[[#This Row],[Before Fill]]+Buckets_12_23[[#This Row],[Crit To Fill]]</f>
        <v>168.68000000000004</v>
      </c>
      <c r="DJ12" s="29">
        <f>IF(NOT(Buckets_12_23[[#This Row],[Is Crit]]), Buckets_12_23[[#This Row],[S Cap Diff]], 0)</f>
        <v>331.31999999999994</v>
      </c>
      <c r="DK12" s="29">
        <f>ROUND(DI$41/Buckets_12_23[[#Totals],[NC To Fill]]*Buckets_12_23[[#This Row],[NC To Fill]], 2)</f>
        <v>151.49</v>
      </c>
      <c r="DL12" s="31">
        <f>Buckets_12_23[[#This Row],[Pre Scale]] + IF($D12="Unexpected Fund", DI28-Buckets_12_23[[#Totals],[Pre Scale]], 0)</f>
        <v>151.49</v>
      </c>
      <c r="DM12" s="31">
        <f>Buckets_12_23[[#This Row],[Crit Filled]]+Buckets_12_23[[#This Row],[Scaled]]</f>
        <v>320.17000000000007</v>
      </c>
      <c r="DN12" s="31">
        <f>Buckets_12_23[[#This Row],[NC Filled]]</f>
        <v>320.17000000000007</v>
      </c>
      <c r="DO12" s="31">
        <f>Buckets_12_23[[#This Row],[Capacity]]-Buckets_12_23[[#This Row],[Final]]</f>
        <v>179.82999999999993</v>
      </c>
      <c r="DP12" s="33">
        <f>IF(Buckets_12_23[[#This Row],[Capacity]]=0, 1, Buckets_12_23[[#This Row],[Final]]/Buckets_12_23[[#This Row],[Capacity]])</f>
        <v>0.64034000000000013</v>
      </c>
      <c r="DR12" s="40">
        <f>Buckets_12_23[[#This Row],[Final]]</f>
        <v>320.17000000000007</v>
      </c>
      <c r="DS12" s="40">
        <f>Buckets_12_23[[#This Row],[Capacity]]</f>
        <v>500</v>
      </c>
      <c r="DT12" s="41" t="b">
        <f t="shared" si="25"/>
        <v>0</v>
      </c>
      <c r="DU12" s="42"/>
      <c r="DV12" s="42"/>
      <c r="DW12" s="42"/>
      <c r="DX12" s="42"/>
      <c r="DY12" s="43"/>
      <c r="DZ12" s="40">
        <f t="shared" si="26"/>
        <v>320.17000000000007</v>
      </c>
      <c r="EA12" s="40">
        <f t="shared" si="27"/>
        <v>500</v>
      </c>
      <c r="EB12" s="41" t="b">
        <f t="shared" si="4"/>
        <v>0</v>
      </c>
      <c r="ED12" s="29">
        <f t="shared" si="28"/>
        <v>320.17000000000007</v>
      </c>
      <c r="EE12" s="29">
        <f>GetTransactionTotal(AggregateTable2024[], AggregateTable2024[Start], ED$1, AggregateTable2024[#Headers], $D12)</f>
        <v>-21.3</v>
      </c>
      <c r="EF12" s="29">
        <f>Buckets_1_24[[#This Row],[Start]]+Buckets_1_24[[#This Row],[Transactions]]</f>
        <v>298.87000000000006</v>
      </c>
      <c r="EG12" s="29">
        <f t="shared" si="29"/>
        <v>500</v>
      </c>
      <c r="EH12" s="29">
        <f>Buckets_1_24[[#This Row],[Capacity]]-Buckets_1_24[[#This Row],[After T]]</f>
        <v>201.12999999999994</v>
      </c>
      <c r="EI12" s="29">
        <f>MAX(-Buckets_1_24[[#This Row],[Cap Diff]], 0)</f>
        <v>0</v>
      </c>
      <c r="EJ12" s="29">
        <f>Buckets_1_24[[#This Row],[After T]]-Buckets_1_24[[#This Row],[Slush]]</f>
        <v>298.87000000000006</v>
      </c>
      <c r="EK12" s="29">
        <f>Buckets_1_24[[#This Row],[Capacity]]-Buckets_1_24[[#This Row],[Before Fill]]</f>
        <v>201.12999999999994</v>
      </c>
      <c r="EL12" t="b">
        <f>OR(EB12, Buckets_1_24[[#This Row],[After T]]&lt;0)</f>
        <v>0</v>
      </c>
      <c r="EM12" s="29">
        <f>IF(Buckets_1_24[[#This Row],[Is Crit]], Buckets_1_24[[#This Row],[S Cap Diff]], 0)</f>
        <v>0</v>
      </c>
      <c r="EN12" s="29">
        <f>Buckets_1_24[[#This Row],[Before Fill]]+Buckets_1_24[[#This Row],[Crit To Fill]]</f>
        <v>298.87000000000006</v>
      </c>
      <c r="EO12" s="29">
        <f>IF(NOT(Buckets_1_24[[#This Row],[Is Crit]]), Buckets_1_24[[#This Row],[S Cap Diff]], 0)</f>
        <v>201.12999999999994</v>
      </c>
      <c r="EP12" s="29">
        <f>ROUND(EN$41/Buckets_1_24[[#Totals],[NC To Fill]]*Buckets_1_24[[#This Row],[NC To Fill]], 2)</f>
        <v>123.49</v>
      </c>
      <c r="EQ12" s="31">
        <f>Buckets_1_24[[#This Row],[Pre Scale]] + IF($D12="Unexpected Fund", EN28-Buckets_1_24[[#Totals],[Pre Scale]], 0)</f>
        <v>123.49</v>
      </c>
      <c r="ER12" s="31">
        <f>Buckets_1_24[[#This Row],[Crit Filled]]+Buckets_1_24[[#This Row],[Scaled]]</f>
        <v>422.36000000000007</v>
      </c>
      <c r="ES12" s="31">
        <f>Buckets_1_24[[#This Row],[NC Filled]]</f>
        <v>422.36000000000007</v>
      </c>
      <c r="ET12" s="31">
        <f>Buckets_1_24[[#This Row],[Capacity]]-Buckets_1_24[[#This Row],[Final]]</f>
        <v>77.63999999999993</v>
      </c>
      <c r="EU12" s="33">
        <f>IF(Buckets_1_24[[#This Row],[Capacity]]=0, 1, Buckets_1_24[[#This Row],[Final]]/Buckets_1_24[[#This Row],[Capacity]])</f>
        <v>0.84472000000000014</v>
      </c>
      <c r="EW12" s="40">
        <f>Buckets_1_24[[#This Row],[Final]]</f>
        <v>422.36000000000007</v>
      </c>
      <c r="EX12" s="40">
        <f>Buckets_1_24[[#This Row],[Capacity]]</f>
        <v>500</v>
      </c>
      <c r="EY12" s="41" t="b">
        <f t="shared" si="30"/>
        <v>0</v>
      </c>
      <c r="EZ12" s="42"/>
      <c r="FA12" s="42"/>
      <c r="FB12" s="42"/>
      <c r="FC12" s="42"/>
      <c r="FD12" s="43"/>
      <c r="FE12" s="40">
        <f t="shared" si="31"/>
        <v>422.36000000000007</v>
      </c>
      <c r="FF12" s="40">
        <f t="shared" si="32"/>
        <v>500</v>
      </c>
      <c r="FG12" s="41" t="b">
        <f t="shared" si="5"/>
        <v>0</v>
      </c>
      <c r="FI12" s="29">
        <f t="shared" si="33"/>
        <v>422.36000000000007</v>
      </c>
      <c r="FJ12" s="29">
        <f>GetTransactionTotal(AggregateTable2024[], AggregateTable2024[Start], FI$1, AggregateTable2024[#Headers], $D12)</f>
        <v>0</v>
      </c>
      <c r="FK12" s="29">
        <f>Buckets_2_24[[#This Row],[Start]]+Buckets_2_24[[#This Row],[Transactions]]</f>
        <v>422.36000000000007</v>
      </c>
      <c r="FL12" s="29">
        <f t="shared" si="34"/>
        <v>500</v>
      </c>
      <c r="FM12" s="29">
        <f>Buckets_2_24[[#This Row],[Capacity]]-Buckets_2_24[[#This Row],[After T]]</f>
        <v>77.63999999999993</v>
      </c>
      <c r="FN12" s="29">
        <f>MAX(-Buckets_2_24[[#This Row],[Cap Diff]], 0)</f>
        <v>0</v>
      </c>
      <c r="FO12" s="29">
        <f>Buckets_2_24[[#This Row],[After T]]-Buckets_2_24[[#This Row],[Slush]]</f>
        <v>422.36000000000007</v>
      </c>
      <c r="FP12" s="29">
        <f>Buckets_2_24[[#This Row],[Capacity]]-Buckets_2_24[[#This Row],[Before Fill]]</f>
        <v>77.63999999999993</v>
      </c>
      <c r="FQ12" t="b">
        <f>OR(FG12, Buckets_2_24[[#This Row],[After T]]&lt;0)</f>
        <v>0</v>
      </c>
      <c r="FR12" s="29">
        <f>IF(Buckets_2_24[[#This Row],[Is Crit]], Buckets_2_24[[#This Row],[S Cap Diff]], 0)</f>
        <v>0</v>
      </c>
      <c r="FS12" s="29">
        <f>Buckets_2_24[[#This Row],[Before Fill]]+Buckets_2_24[[#This Row],[Crit To Fill]]</f>
        <v>422.36000000000007</v>
      </c>
      <c r="FT12" s="29">
        <f>IF(NOT(Buckets_2_24[[#This Row],[Is Crit]]), Buckets_2_24[[#This Row],[S Cap Diff]], 0)</f>
        <v>77.63999999999993</v>
      </c>
      <c r="FU12" s="29">
        <f>ROUND(FS$41/Buckets_2_24[[#Totals],[NC To Fill]]*Buckets_2_24[[#This Row],[NC To Fill]], 2)</f>
        <v>74.790000000000006</v>
      </c>
      <c r="FV12" s="31">
        <f>Buckets_2_24[[#This Row],[Pre Scale]] + IF($D12="Unexpected Fund", FS28-Buckets_2_24[[#Totals],[Pre Scale]], 0)</f>
        <v>74.790000000000006</v>
      </c>
      <c r="FW12" s="31">
        <f>Buckets_2_24[[#This Row],[Crit Filled]]+Buckets_2_24[[#This Row],[Scaled]]</f>
        <v>497.15000000000009</v>
      </c>
      <c r="FX12" s="31">
        <f>Buckets_2_24[[#This Row],[NC Filled]]</f>
        <v>497.15000000000009</v>
      </c>
      <c r="FY12" s="31">
        <f>Buckets_2_24[[#This Row],[Capacity]]-Buckets_2_24[[#This Row],[Final]]</f>
        <v>2.8499999999999091</v>
      </c>
      <c r="FZ12" s="33">
        <f>IF(Buckets_2_24[[#This Row],[Capacity]]=0, 1, Buckets_2_24[[#This Row],[Final]]/Buckets_2_24[[#This Row],[Capacity]])</f>
        <v>0.99430000000000018</v>
      </c>
      <c r="GB12" s="40">
        <f>Buckets_2_24[[#This Row],[Final]]</f>
        <v>497.15000000000009</v>
      </c>
      <c r="GC12" s="40">
        <f>Buckets_2_24[[#This Row],[Capacity]]</f>
        <v>500</v>
      </c>
      <c r="GD12" s="41" t="b">
        <f t="shared" si="35"/>
        <v>0</v>
      </c>
      <c r="GE12" s="42"/>
      <c r="GF12" s="42"/>
      <c r="GG12" s="42"/>
      <c r="GH12" s="42"/>
      <c r="GI12" s="43"/>
      <c r="GJ12" s="40">
        <f t="shared" si="36"/>
        <v>497.15000000000009</v>
      </c>
      <c r="GK12" s="40">
        <f t="shared" si="37"/>
        <v>500</v>
      </c>
      <c r="GL12" s="41" t="b">
        <f t="shared" si="6"/>
        <v>0</v>
      </c>
      <c r="GN12" s="29">
        <f t="shared" si="38"/>
        <v>497.15000000000009</v>
      </c>
      <c r="GO12" s="29">
        <f>GetTransactionTotal(AggregateTable2024[], AggregateTable2024[Start], GN$1, AggregateTable2024[#Headers], $D12)</f>
        <v>-11.65</v>
      </c>
      <c r="GP12" s="29">
        <f>Buckets_3_24[[#This Row],[Start]]+Buckets_3_24[[#This Row],[Transactions]]</f>
        <v>485.50000000000011</v>
      </c>
      <c r="GQ12" s="29">
        <f t="shared" si="39"/>
        <v>500</v>
      </c>
      <c r="GR12" s="29">
        <f>Buckets_3_24[[#This Row],[Capacity]]-Buckets_3_24[[#This Row],[After T]]</f>
        <v>14.499999999999886</v>
      </c>
      <c r="GS12" s="29">
        <f>MAX(-Buckets_3_24[[#This Row],[Cap Diff]], 0)</f>
        <v>0</v>
      </c>
      <c r="GT12" s="29">
        <f>Buckets_3_24[[#This Row],[After T]]-Buckets_3_24[[#This Row],[Slush]]</f>
        <v>485.50000000000011</v>
      </c>
      <c r="GU12" s="29">
        <f>Buckets_3_24[[#This Row],[Capacity]]-Buckets_3_24[[#This Row],[Before Fill]]</f>
        <v>14.499999999999886</v>
      </c>
      <c r="GV12" t="b">
        <f>OR(GL12, Buckets_3_24[[#This Row],[After T]]&lt;0)</f>
        <v>0</v>
      </c>
      <c r="GW12" s="29">
        <f>IF(Buckets_3_24[[#This Row],[Is Crit]], Buckets_3_24[[#This Row],[S Cap Diff]], 0)</f>
        <v>0</v>
      </c>
      <c r="GX12" s="29">
        <f>Buckets_3_24[[#This Row],[Before Fill]]+Buckets_3_24[[#This Row],[Crit To Fill]]</f>
        <v>485.50000000000011</v>
      </c>
      <c r="GY12" s="29">
        <f>IF(NOT(Buckets_3_24[[#This Row],[Is Crit]]), Buckets_3_24[[#This Row],[S Cap Diff]], 0)</f>
        <v>14.499999999999886</v>
      </c>
      <c r="GZ12" s="29">
        <f>ROUND(GX$41/Buckets_3_24[[#Totals],[NC To Fill]]*Buckets_3_24[[#This Row],[NC To Fill]], 2)</f>
        <v>14.08</v>
      </c>
      <c r="HA12" s="31">
        <f>Buckets_3_24[[#This Row],[Pre Scale]] + IF($D12="Unexpected Fund", GX28-Buckets_3_24[[#Totals],[Pre Scale]], 0)</f>
        <v>14.08</v>
      </c>
      <c r="HB12" s="31">
        <f>Buckets_3_24[[#This Row],[Crit Filled]]+Buckets_3_24[[#This Row],[Scaled]]</f>
        <v>499.5800000000001</v>
      </c>
      <c r="HC12" s="31">
        <f>Buckets_3_24[[#This Row],[NC Filled]]</f>
        <v>499.5800000000001</v>
      </c>
      <c r="HD12" s="31">
        <f>Buckets_3_24[[#This Row],[Capacity]]-Buckets_3_24[[#This Row],[Final]]</f>
        <v>0.41999999999990223</v>
      </c>
      <c r="HE12" s="33">
        <f>IF(Buckets_3_24[[#This Row],[Capacity]]=0, 1, Buckets_3_24[[#This Row],[Final]]/Buckets_3_24[[#This Row],[Capacity]])</f>
        <v>0.99916000000000016</v>
      </c>
      <c r="HG12" s="40">
        <f>Buckets_3_24[[#This Row],[Final]]</f>
        <v>499.5800000000001</v>
      </c>
      <c r="HH12" s="40">
        <f>Buckets_3_24[[#This Row],[Capacity]]</f>
        <v>500</v>
      </c>
      <c r="HI12" s="41" t="b">
        <f t="shared" si="40"/>
        <v>0</v>
      </c>
      <c r="HJ12" s="42"/>
      <c r="HK12" s="42"/>
      <c r="HL12" s="42"/>
      <c r="HM12" s="42"/>
      <c r="HN12" s="43"/>
      <c r="HO12" s="40">
        <f t="shared" si="41"/>
        <v>499.5800000000001</v>
      </c>
      <c r="HP12" s="40">
        <f t="shared" si="42"/>
        <v>500</v>
      </c>
      <c r="HQ12" s="41" t="b">
        <f t="shared" si="7"/>
        <v>0</v>
      </c>
      <c r="HS12" s="29">
        <f t="shared" si="43"/>
        <v>499.5800000000001</v>
      </c>
      <c r="HT12" s="29">
        <f>GetTransactionTotal(AggregateTable2024[], AggregateTable2024[Start], HS$1, AggregateTable2024[#Headers], $D12)</f>
        <v>-31.2</v>
      </c>
      <c r="HU12" s="29">
        <f>Buckets_4_24[[#This Row],[Start]]+Buckets_4_24[[#This Row],[Transactions]]</f>
        <v>468.38000000000011</v>
      </c>
      <c r="HV12" s="29">
        <f t="shared" si="44"/>
        <v>500</v>
      </c>
      <c r="HW12" s="29">
        <f>Buckets_4_24[[#This Row],[Capacity]]-Buckets_4_24[[#This Row],[After T]]</f>
        <v>31.619999999999891</v>
      </c>
      <c r="HX12" s="29">
        <f>MAX(-Buckets_4_24[[#This Row],[Cap Diff]], 0)</f>
        <v>0</v>
      </c>
      <c r="HY12" s="29">
        <f>Buckets_4_24[[#This Row],[After T]]-Buckets_4_24[[#This Row],[Slush]]</f>
        <v>468.38000000000011</v>
      </c>
      <c r="HZ12" s="29">
        <f>Buckets_4_24[[#This Row],[Capacity]]-Buckets_4_24[[#This Row],[Before Fill]]</f>
        <v>31.619999999999891</v>
      </c>
      <c r="IA12" t="b">
        <f>OR(HQ12, Buckets_4_24[[#This Row],[After T]]&lt;0)</f>
        <v>0</v>
      </c>
      <c r="IB12" s="29">
        <f>IF(Buckets_4_24[[#This Row],[Is Crit]], Buckets_4_24[[#This Row],[S Cap Diff]], 0)</f>
        <v>0</v>
      </c>
      <c r="IC12" s="29">
        <f>Buckets_4_24[[#This Row],[Before Fill]]+Buckets_4_24[[#This Row],[Crit To Fill]]</f>
        <v>468.38000000000011</v>
      </c>
      <c r="ID12" s="29">
        <f>IF(NOT(Buckets_4_24[[#This Row],[Is Crit]]), Buckets_4_24[[#This Row],[S Cap Diff]], 0)</f>
        <v>31.619999999999891</v>
      </c>
      <c r="IE12" s="29">
        <f>ROUND(IC$41/Buckets_4_24[[#Totals],[NC To Fill]]*Buckets_4_24[[#This Row],[NC To Fill]], 2)</f>
        <v>20.63</v>
      </c>
      <c r="IF12" s="31">
        <f>Buckets_4_24[[#This Row],[Pre Scale]] + IF($D12="Unexpected Fund", IC28-Buckets_4_24[[#Totals],[Pre Scale]], 0)</f>
        <v>20.63</v>
      </c>
      <c r="IG12" s="31">
        <f>Buckets_4_24[[#This Row],[Crit Filled]]+Buckets_4_24[[#This Row],[Scaled]]</f>
        <v>489.0100000000001</v>
      </c>
      <c r="IH12" s="31">
        <f>Buckets_4_24[[#This Row],[NC Filled]]</f>
        <v>489.0100000000001</v>
      </c>
      <c r="II12" s="31">
        <f>Buckets_4_24[[#This Row],[Capacity]]-Buckets_4_24[[#This Row],[Final]]</f>
        <v>10.989999999999895</v>
      </c>
      <c r="IJ12" s="33">
        <f>IF(Buckets_4_24[[#This Row],[Capacity]]=0, 1, Buckets_4_24[[#This Row],[Final]]/Buckets_4_24[[#This Row],[Capacity]])</f>
        <v>0.97802000000000022</v>
      </c>
      <c r="IL12" s="40">
        <f>Buckets_4_24[[#This Row],[Final]]</f>
        <v>489.0100000000001</v>
      </c>
      <c r="IM12" s="40">
        <f>Buckets_4_24[[#This Row],[Capacity]]</f>
        <v>500</v>
      </c>
      <c r="IN12" s="41" t="b">
        <f t="shared" si="45"/>
        <v>0</v>
      </c>
      <c r="IO12" s="42"/>
      <c r="IP12" s="42"/>
      <c r="IQ12" s="42"/>
      <c r="IR12" s="42"/>
      <c r="IS12" s="43"/>
      <c r="IT12" s="40">
        <f t="shared" si="46"/>
        <v>489.0100000000001</v>
      </c>
      <c r="IU12" s="40">
        <f t="shared" si="47"/>
        <v>500</v>
      </c>
      <c r="IV12" s="41" t="b">
        <f t="shared" si="8"/>
        <v>0</v>
      </c>
    </row>
    <row r="13" spans="1:256" x14ac:dyDescent="0.25">
      <c r="A13" s="49"/>
      <c r="B13" t="s">
        <v>32</v>
      </c>
      <c r="C13" t="s">
        <v>125</v>
      </c>
      <c r="D13" t="s">
        <v>125</v>
      </c>
      <c r="F13" s="30">
        <v>0</v>
      </c>
      <c r="G13" s="38">
        <v>200</v>
      </c>
      <c r="H13" t="b">
        <v>0</v>
      </c>
      <c r="J13" s="50">
        <f t="shared" si="9"/>
        <v>0</v>
      </c>
      <c r="K13" s="50">
        <f>GetTransactionTotal(AggregateTable2023[], AggregateTable2023[Start], J$1, AggregateTable2023[#Headers], $D13)</f>
        <v>0</v>
      </c>
      <c r="L13" s="50">
        <f>Buckets_9_23[[#This Row],[Start]]+Buckets_9_23[[#This Row],[Transactions]]</f>
        <v>0</v>
      </c>
      <c r="M13" s="50">
        <f t="shared" si="10"/>
        <v>200</v>
      </c>
      <c r="N13" s="50">
        <f>Buckets_9_23[[#This Row],[Capacity]]-Buckets_9_23[[#This Row],[After T]]</f>
        <v>200</v>
      </c>
      <c r="O13" s="50">
        <f>IF(Buckets_9_23[[#This Row],[After T]]&lt;0, Buckets_9_23[[#This Row],[After T]], IF(Buckets_9_23[[#This Row],[Cap Diff]]&lt;0, -Buckets_9_23[[#This Row],[Cap Diff]], 0))</f>
        <v>0</v>
      </c>
      <c r="P13" s="50">
        <f>Buckets_9_23[[#This Row],[After T]]-Buckets_9_23[[#This Row],[Slush]]</f>
        <v>0</v>
      </c>
      <c r="Q13" s="50">
        <f>Buckets_9_23[[#This Row],[Capacity]]-Buckets_9_23[[#This Row],[Before Fill]]</f>
        <v>200</v>
      </c>
      <c r="R13" s="31" t="b">
        <f t="shared" si="0"/>
        <v>0</v>
      </c>
      <c r="S13" s="50">
        <f>IF(Buckets_9_23[[#This Row],[Is Crit]], Buckets_9_23[[#This Row],[S Cap Diff]], 0)</f>
        <v>0</v>
      </c>
      <c r="T13" s="50">
        <f>Buckets_9_23[[#This Row],[Before Fill]]+Buckets_9_23[[#This Row],[Crit To Fill]]</f>
        <v>0</v>
      </c>
      <c r="U13" s="50">
        <f>IF(NOT(Buckets_9_23[[#This Row],[Is Crit]]), Buckets_9_23[[#This Row],[S Cap Diff]], 0)</f>
        <v>200</v>
      </c>
      <c r="V13" s="50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A13" s="51">
        <f>IF(Buckets_9_23[[#This Row],[Capacity]]=0, 1, Buckets_9_23[[#This Row],[Final]]/Buckets_9_23[[#This Row],[Capacity]])</f>
        <v>0.87280000000000002</v>
      </c>
      <c r="AC13" s="31">
        <f>Buckets_9_23[[#This Row],[Final]]</f>
        <v>174.56</v>
      </c>
      <c r="AD13" s="31">
        <f>Buckets_9_23[[#This Row],[Capacity]]</f>
        <v>200</v>
      </c>
      <c r="AE13" t="b">
        <f>H13</f>
        <v>0</v>
      </c>
      <c r="AF13" s="43"/>
      <c r="AG13" s="42"/>
      <c r="AH13" s="43"/>
      <c r="AI13" s="42"/>
      <c r="AJ13" s="43"/>
      <c r="AK13" s="40">
        <f t="shared" si="11"/>
        <v>174.56</v>
      </c>
      <c r="AL13" s="40">
        <f t="shared" si="12"/>
        <v>200</v>
      </c>
      <c r="AM13" s="41" t="b">
        <f t="shared" si="1"/>
        <v>0</v>
      </c>
      <c r="AO13" s="29">
        <f t="shared" si="13"/>
        <v>174.56</v>
      </c>
      <c r="AP13" s="29">
        <f>GetTransactionTotal(AggregateTable2023[], AggregateTable2023[Start], AO$1, AggregateTable2023[#Headers], $D13)</f>
        <v>-16.23</v>
      </c>
      <c r="AQ13" s="29">
        <f>Buckets_10_23[[#This Row],[Start]]+Buckets_10_23[[#This Row],[Transactions]]</f>
        <v>158.33000000000001</v>
      </c>
      <c r="AR13" s="29">
        <f t="shared" si="14"/>
        <v>200</v>
      </c>
      <c r="AS13" s="29">
        <f>Buckets_10_23[[#This Row],[Capacity]]-Buckets_10_23[[#This Row],[After T]]</f>
        <v>41.669999999999987</v>
      </c>
      <c r="AT13" s="29">
        <f>MAX(-Buckets_10_23[[#This Row],[Cap Diff]], 0)</f>
        <v>0</v>
      </c>
      <c r="AU13" s="29">
        <f>Buckets_10_23[[#This Row],[After T]]-Buckets_10_23[[#This Row],[Slush]]</f>
        <v>158.33000000000001</v>
      </c>
      <c r="AV13" s="29">
        <f>Buckets_10_23[[#This Row],[Capacity]]-Buckets_10_23[[#This Row],[Before Fill]]</f>
        <v>41.669999999999987</v>
      </c>
      <c r="AW13" t="b">
        <f>OR(AM13, Buckets_10_23[[#This Row],[After T]]&lt;0)</f>
        <v>0</v>
      </c>
      <c r="AX13" s="29">
        <f>IF(Buckets_10_23[[#This Row],[Is Crit]], Buckets_10_23[[#This Row],[S Cap Diff]], 0)</f>
        <v>0</v>
      </c>
      <c r="AY13" s="29">
        <f>Buckets_10_23[[#This Row],[Before Fill]]+Buckets_10_23[[#This Row],[Crit To Fill]]</f>
        <v>158.33000000000001</v>
      </c>
      <c r="AZ13" s="29">
        <f>IF(NOT(Buckets_10_23[[#This Row],[Is Crit]]), Buckets_10_23[[#This Row],[S Cap Diff]], 0)</f>
        <v>41.669999999999987</v>
      </c>
      <c r="BA13" s="29">
        <f>ROUND(AY$41/Buckets_10_23[[#Totals],[NC To Fill]]*Buckets_10_23[[#This Row],[NC To Fill]], 2)</f>
        <v>24.75</v>
      </c>
      <c r="BB13" s="31">
        <f>Buckets_10_23[[#This Row],[Pre Scale]] + IF($D13="Unexpected Fund", AY29-Buckets_10_23[[#Totals],[Pre Scale]], 0)</f>
        <v>24.75</v>
      </c>
      <c r="BC13" s="31">
        <f>Buckets_10_23[[#This Row],[Crit Filled]]+Buckets_10_23[[#This Row],[Scaled]]</f>
        <v>183.08</v>
      </c>
      <c r="BD13" s="31">
        <f>Buckets_10_23[[#This Row],[NC Filled]]</f>
        <v>183.08</v>
      </c>
      <c r="BE13" s="31">
        <f>Buckets_10_23[[#This Row],[Capacity]]-Buckets_10_23[[#This Row],[Final]]</f>
        <v>16.919999999999987</v>
      </c>
      <c r="BF13" s="33">
        <f>IF(Buckets_10_23[[#This Row],[Capacity]]=0, 1, Buckets_10_23[[#This Row],[Final]]/Buckets_10_23[[#This Row],[Capacity]])</f>
        <v>0.9154000000000001</v>
      </c>
      <c r="BH13" s="31">
        <f>Buckets_10_23[[#This Row],[Final]]</f>
        <v>183.08</v>
      </c>
      <c r="BI13" s="31">
        <f>Buckets_10_23[[#This Row],[Capacity]]</f>
        <v>200</v>
      </c>
      <c r="BJ13" t="b">
        <f t="shared" si="15"/>
        <v>0</v>
      </c>
      <c r="BK13" s="43"/>
      <c r="BL13" s="42"/>
      <c r="BM13" s="43"/>
      <c r="BN13" s="42"/>
      <c r="BO13" s="43"/>
      <c r="BP13" s="40">
        <f t="shared" si="16"/>
        <v>183.08</v>
      </c>
      <c r="BQ13" s="40">
        <f t="shared" si="17"/>
        <v>200</v>
      </c>
      <c r="BR13" s="41" t="b">
        <f t="shared" si="2"/>
        <v>0</v>
      </c>
      <c r="BT13" s="29">
        <f t="shared" si="18"/>
        <v>183.08</v>
      </c>
      <c r="BU13" s="29">
        <f>GetTransactionTotal(AggregateTable2023[], AggregateTable2023[Start], BT$1, AggregateTable2023[#Headers], $D13)</f>
        <v>0</v>
      </c>
      <c r="BV13" s="29">
        <f>Buckets_11_23[[#This Row],[Start]]+Buckets_11_23[[#This Row],[Transactions]]</f>
        <v>183.08</v>
      </c>
      <c r="BW13" s="29">
        <f t="shared" si="19"/>
        <v>200</v>
      </c>
      <c r="BX13" s="29">
        <f>Buckets_11_23[[#This Row],[Capacity]]-Buckets_11_23[[#This Row],[After T]]</f>
        <v>16.919999999999987</v>
      </c>
      <c r="BY13" s="29">
        <f>MAX(-Buckets_11_23[[#This Row],[Cap Diff]], 0)</f>
        <v>0</v>
      </c>
      <c r="BZ13" s="29">
        <f>Buckets_11_23[[#This Row],[After T]]-Buckets_11_23[[#This Row],[Slush]]</f>
        <v>183.08</v>
      </c>
      <c r="CA13" s="29">
        <f>Buckets_11_23[[#This Row],[Capacity]]-Buckets_11_23[[#This Row],[Before Fill]]</f>
        <v>16.919999999999987</v>
      </c>
      <c r="CB13" t="b">
        <f>OR(BR13, Buckets_11_23[[#This Row],[After T]]&lt;0)</f>
        <v>0</v>
      </c>
      <c r="CC13" s="29">
        <f>IF(Buckets_11_23[[#This Row],[Is Crit]], Buckets_11_23[[#This Row],[S Cap Diff]], 0)</f>
        <v>0</v>
      </c>
      <c r="CD13" s="29">
        <f>Buckets_11_23[[#This Row],[Before Fill]]+Buckets_11_23[[#This Row],[Crit To Fill]]</f>
        <v>183.08</v>
      </c>
      <c r="CE13" s="29">
        <f>IF(NOT(Buckets_11_23[[#This Row],[Is Crit]]), Buckets_11_23[[#This Row],[S Cap Diff]], 0)</f>
        <v>16.919999999999987</v>
      </c>
      <c r="CF13" s="29">
        <f>ROUND(CD$41/Buckets_11_23[[#Totals],[NC To Fill]]*Buckets_11_23[[#This Row],[NC To Fill]], 2)</f>
        <v>16.690000000000001</v>
      </c>
      <c r="CG13" s="31">
        <f>Buckets_11_23[[#This Row],[Pre Scale]] + IF($D13="Unexpected Fund", CD29-Buckets_11_23[[#Totals],[Pre Scale]], 0)</f>
        <v>16.690000000000001</v>
      </c>
      <c r="CH13" s="31">
        <f>Buckets_11_23[[#This Row],[Crit Filled]]+Buckets_11_23[[#This Row],[Scaled]]</f>
        <v>199.77</v>
      </c>
      <c r="CI13" s="31">
        <f>Buckets_11_23[[#This Row],[NC Filled]]</f>
        <v>199.77</v>
      </c>
      <c r="CJ13" s="31">
        <f>Buckets_11_23[[#This Row],[Capacity]]-Buckets_11_23[[#This Row],[Final]]</f>
        <v>0.22999999999998977</v>
      </c>
      <c r="CK13" s="33">
        <f>IF(Buckets_11_23[[#This Row],[Capacity]]=0, 1, Buckets_11_23[[#This Row],[Final]]/Buckets_11_23[[#This Row],[Capacity]])</f>
        <v>0.99885000000000002</v>
      </c>
      <c r="CM13" s="40">
        <f>Buckets_11_23[[#This Row],[Final]]</f>
        <v>199.77</v>
      </c>
      <c r="CN13" s="40">
        <f>Buckets_11_23[[#This Row],[Capacity]]</f>
        <v>200</v>
      </c>
      <c r="CO13" s="41" t="b">
        <f t="shared" si="20"/>
        <v>0</v>
      </c>
      <c r="CP13" s="42"/>
      <c r="CQ13" s="42"/>
      <c r="CR13" s="42"/>
      <c r="CS13" s="42"/>
      <c r="CT13" s="43"/>
      <c r="CU13" s="40">
        <f t="shared" si="21"/>
        <v>199.77</v>
      </c>
      <c r="CV13" s="40">
        <f t="shared" si="22"/>
        <v>200</v>
      </c>
      <c r="CW13" s="41" t="b">
        <f t="shared" si="3"/>
        <v>0</v>
      </c>
      <c r="CY13" s="29">
        <f t="shared" si="23"/>
        <v>199.77</v>
      </c>
      <c r="CZ13" s="29">
        <f>GetTransactionTotal(AggregateTable2023[], AggregateTable2023[Start], CY$1, AggregateTable2023[#Headers], $D13)</f>
        <v>-24.87</v>
      </c>
      <c r="DA13" s="29">
        <f>Buckets_12_23[[#This Row],[Start]]+Buckets_12_23[[#This Row],[Transactions]]</f>
        <v>174.9</v>
      </c>
      <c r="DB13" s="29">
        <f t="shared" si="24"/>
        <v>200</v>
      </c>
      <c r="DC13" s="29">
        <f>Buckets_12_23[[#This Row],[Capacity]]-Buckets_12_23[[#This Row],[After T]]</f>
        <v>25.099999999999994</v>
      </c>
      <c r="DD13" s="29">
        <f>MAX(-Buckets_12_23[[#This Row],[Cap Diff]], 0)</f>
        <v>0</v>
      </c>
      <c r="DE13" s="29">
        <f>Buckets_12_23[[#This Row],[After T]]-Buckets_12_23[[#This Row],[Slush]]</f>
        <v>174.9</v>
      </c>
      <c r="DF13" s="29">
        <f>Buckets_12_23[[#This Row],[Capacity]]-Buckets_12_23[[#This Row],[Before Fill]]</f>
        <v>25.099999999999994</v>
      </c>
      <c r="DG13" t="b">
        <f>OR(CW13, Buckets_12_23[[#This Row],[After T]]&lt;0)</f>
        <v>0</v>
      </c>
      <c r="DH13" s="29">
        <f>IF(Buckets_12_23[[#This Row],[Is Crit]], Buckets_12_23[[#This Row],[S Cap Diff]], 0)</f>
        <v>0</v>
      </c>
      <c r="DI13" s="29">
        <f>Buckets_12_23[[#This Row],[Before Fill]]+Buckets_12_23[[#This Row],[Crit To Fill]]</f>
        <v>174.9</v>
      </c>
      <c r="DJ13" s="29">
        <f>IF(NOT(Buckets_12_23[[#This Row],[Is Crit]]), Buckets_12_23[[#This Row],[S Cap Diff]], 0)</f>
        <v>25.099999999999994</v>
      </c>
      <c r="DK13" s="29">
        <f>ROUND(DI$41/Buckets_12_23[[#Totals],[NC To Fill]]*Buckets_12_23[[#This Row],[NC To Fill]], 2)</f>
        <v>11.48</v>
      </c>
      <c r="DL13" s="31">
        <f>Buckets_12_23[[#This Row],[Pre Scale]] + IF($D13="Unexpected Fund", DI29-Buckets_12_23[[#Totals],[Pre Scale]], 0)</f>
        <v>11.48</v>
      </c>
      <c r="DM13" s="31">
        <f>Buckets_12_23[[#This Row],[Crit Filled]]+Buckets_12_23[[#This Row],[Scaled]]</f>
        <v>186.38</v>
      </c>
      <c r="DN13" s="31">
        <f>Buckets_12_23[[#This Row],[NC Filled]]</f>
        <v>186.38</v>
      </c>
      <c r="DO13" s="31">
        <f>Buckets_12_23[[#This Row],[Capacity]]-Buckets_12_23[[#This Row],[Final]]</f>
        <v>13.620000000000005</v>
      </c>
      <c r="DP13" s="33">
        <f>IF(Buckets_12_23[[#This Row],[Capacity]]=0, 1, Buckets_12_23[[#This Row],[Final]]/Buckets_12_23[[#This Row],[Capacity]])</f>
        <v>0.93189999999999995</v>
      </c>
      <c r="DR13" s="40">
        <f>Buckets_12_23[[#This Row],[Final]]</f>
        <v>186.38</v>
      </c>
      <c r="DS13" s="40">
        <f>Buckets_12_23[[#This Row],[Capacity]]</f>
        <v>200</v>
      </c>
      <c r="DT13" s="41" t="b">
        <f t="shared" si="25"/>
        <v>0</v>
      </c>
      <c r="DU13" s="42"/>
      <c r="DV13" s="42"/>
      <c r="DW13" s="42"/>
      <c r="DX13" s="42"/>
      <c r="DY13" s="43"/>
      <c r="DZ13" s="40">
        <f t="shared" si="26"/>
        <v>186.38</v>
      </c>
      <c r="EA13" s="40">
        <f t="shared" si="27"/>
        <v>200</v>
      </c>
      <c r="EB13" s="41" t="b">
        <f t="shared" si="4"/>
        <v>0</v>
      </c>
      <c r="ED13" s="29">
        <f t="shared" si="28"/>
        <v>186.38</v>
      </c>
      <c r="EE13" s="29">
        <f>GetTransactionTotal(AggregateTable2024[], AggregateTable2024[Start], ED$1, AggregateTable2024[#Headers], $D13)</f>
        <v>0</v>
      </c>
      <c r="EF13" s="29">
        <f>Buckets_1_24[[#This Row],[Start]]+Buckets_1_24[[#This Row],[Transactions]]</f>
        <v>186.38</v>
      </c>
      <c r="EG13" s="29">
        <f t="shared" si="29"/>
        <v>200</v>
      </c>
      <c r="EH13" s="29">
        <f>Buckets_1_24[[#This Row],[Capacity]]-Buckets_1_24[[#This Row],[After T]]</f>
        <v>13.620000000000005</v>
      </c>
      <c r="EI13" s="29">
        <f>MAX(-Buckets_1_24[[#This Row],[Cap Diff]], 0)</f>
        <v>0</v>
      </c>
      <c r="EJ13" s="29">
        <f>Buckets_1_24[[#This Row],[After T]]-Buckets_1_24[[#This Row],[Slush]]</f>
        <v>186.38</v>
      </c>
      <c r="EK13" s="29">
        <f>Buckets_1_24[[#This Row],[Capacity]]-Buckets_1_24[[#This Row],[Before Fill]]</f>
        <v>13.620000000000005</v>
      </c>
      <c r="EL13" t="b">
        <f>OR(EB13, Buckets_1_24[[#This Row],[After T]]&lt;0)</f>
        <v>0</v>
      </c>
      <c r="EM13" s="29">
        <f>IF(Buckets_1_24[[#This Row],[Is Crit]], Buckets_1_24[[#This Row],[S Cap Diff]], 0)</f>
        <v>0</v>
      </c>
      <c r="EN13" s="29">
        <f>Buckets_1_24[[#This Row],[Before Fill]]+Buckets_1_24[[#This Row],[Crit To Fill]]</f>
        <v>186.38</v>
      </c>
      <c r="EO13" s="29">
        <f>IF(NOT(Buckets_1_24[[#This Row],[Is Crit]]), Buckets_1_24[[#This Row],[S Cap Diff]], 0)</f>
        <v>13.620000000000005</v>
      </c>
      <c r="EP13" s="29">
        <f>ROUND(EN$41/Buckets_1_24[[#Totals],[NC To Fill]]*Buckets_1_24[[#This Row],[NC To Fill]], 2)</f>
        <v>8.36</v>
      </c>
      <c r="EQ13" s="31">
        <f>Buckets_1_24[[#This Row],[Pre Scale]] + IF($D13="Unexpected Fund", EN29-Buckets_1_24[[#Totals],[Pre Scale]], 0)</f>
        <v>8.36</v>
      </c>
      <c r="ER13" s="31">
        <f>Buckets_1_24[[#This Row],[Crit Filled]]+Buckets_1_24[[#This Row],[Scaled]]</f>
        <v>194.74</v>
      </c>
      <c r="ES13" s="31">
        <f>Buckets_1_24[[#This Row],[NC Filled]]</f>
        <v>194.74</v>
      </c>
      <c r="ET13" s="31">
        <f>Buckets_1_24[[#This Row],[Capacity]]-Buckets_1_24[[#This Row],[Final]]</f>
        <v>5.2599999999999909</v>
      </c>
      <c r="EU13" s="33">
        <f>IF(Buckets_1_24[[#This Row],[Capacity]]=0, 1, Buckets_1_24[[#This Row],[Final]]/Buckets_1_24[[#This Row],[Capacity]])</f>
        <v>0.97370000000000001</v>
      </c>
      <c r="EW13" s="40">
        <f>Buckets_1_24[[#This Row],[Final]]</f>
        <v>194.74</v>
      </c>
      <c r="EX13" s="40">
        <f>Buckets_1_24[[#This Row],[Capacity]]</f>
        <v>200</v>
      </c>
      <c r="EY13" s="41" t="b">
        <f t="shared" si="30"/>
        <v>0</v>
      </c>
      <c r="EZ13" s="42"/>
      <c r="FA13" s="42"/>
      <c r="FB13" s="42"/>
      <c r="FC13" s="42"/>
      <c r="FD13" s="43"/>
      <c r="FE13" s="40">
        <f t="shared" si="31"/>
        <v>194.74</v>
      </c>
      <c r="FF13" s="40">
        <f t="shared" si="32"/>
        <v>200</v>
      </c>
      <c r="FG13" s="41" t="b">
        <f t="shared" si="5"/>
        <v>0</v>
      </c>
      <c r="FI13" s="29">
        <f t="shared" si="33"/>
        <v>194.74</v>
      </c>
      <c r="FJ13" s="29">
        <f>GetTransactionTotal(AggregateTable2024[], AggregateTable2024[Start], FI$1, AggregateTable2024[#Headers], $D13)</f>
        <v>0</v>
      </c>
      <c r="FK13" s="29">
        <f>Buckets_2_24[[#This Row],[Start]]+Buckets_2_24[[#This Row],[Transactions]]</f>
        <v>194.74</v>
      </c>
      <c r="FL13" s="29">
        <f t="shared" si="34"/>
        <v>200</v>
      </c>
      <c r="FM13" s="29">
        <f>Buckets_2_24[[#This Row],[Capacity]]-Buckets_2_24[[#This Row],[After T]]</f>
        <v>5.2599999999999909</v>
      </c>
      <c r="FN13" s="29">
        <f>MAX(-Buckets_2_24[[#This Row],[Cap Diff]], 0)</f>
        <v>0</v>
      </c>
      <c r="FO13" s="29">
        <f>Buckets_2_24[[#This Row],[After T]]-Buckets_2_24[[#This Row],[Slush]]</f>
        <v>194.74</v>
      </c>
      <c r="FP13" s="29">
        <f>Buckets_2_24[[#This Row],[Capacity]]-Buckets_2_24[[#This Row],[Before Fill]]</f>
        <v>5.2599999999999909</v>
      </c>
      <c r="FQ13" t="b">
        <f>OR(FG13, Buckets_2_24[[#This Row],[After T]]&lt;0)</f>
        <v>0</v>
      </c>
      <c r="FR13" s="29">
        <f>IF(Buckets_2_24[[#This Row],[Is Crit]], Buckets_2_24[[#This Row],[S Cap Diff]], 0)</f>
        <v>0</v>
      </c>
      <c r="FS13" s="29">
        <f>Buckets_2_24[[#This Row],[Before Fill]]+Buckets_2_24[[#This Row],[Crit To Fill]]</f>
        <v>194.74</v>
      </c>
      <c r="FT13" s="29">
        <f>IF(NOT(Buckets_2_24[[#This Row],[Is Crit]]), Buckets_2_24[[#This Row],[S Cap Diff]], 0)</f>
        <v>5.2599999999999909</v>
      </c>
      <c r="FU13" s="29">
        <f>ROUND(FS$41/Buckets_2_24[[#Totals],[NC To Fill]]*Buckets_2_24[[#This Row],[NC To Fill]], 2)</f>
        <v>5.07</v>
      </c>
      <c r="FV13" s="31">
        <f>Buckets_2_24[[#This Row],[Pre Scale]] + IF($D13="Unexpected Fund", FS29-Buckets_2_24[[#Totals],[Pre Scale]], 0)</f>
        <v>5.07</v>
      </c>
      <c r="FW13" s="31">
        <f>Buckets_2_24[[#This Row],[Crit Filled]]+Buckets_2_24[[#This Row],[Scaled]]</f>
        <v>199.81</v>
      </c>
      <c r="FX13" s="31">
        <f>Buckets_2_24[[#This Row],[NC Filled]]</f>
        <v>199.81</v>
      </c>
      <c r="FY13" s="31">
        <f>Buckets_2_24[[#This Row],[Capacity]]-Buckets_2_24[[#This Row],[Final]]</f>
        <v>0.18999999999999773</v>
      </c>
      <c r="FZ13" s="33">
        <f>IF(Buckets_2_24[[#This Row],[Capacity]]=0, 1, Buckets_2_24[[#This Row],[Final]]/Buckets_2_24[[#This Row],[Capacity]])</f>
        <v>0.99904999999999999</v>
      </c>
      <c r="GB13" s="40">
        <f>Buckets_2_24[[#This Row],[Final]]</f>
        <v>199.81</v>
      </c>
      <c r="GC13" s="40">
        <f>Buckets_2_24[[#This Row],[Capacity]]</f>
        <v>200</v>
      </c>
      <c r="GD13" s="41" t="b">
        <f t="shared" si="35"/>
        <v>0</v>
      </c>
      <c r="GE13" s="42"/>
      <c r="GF13" s="42"/>
      <c r="GG13" s="42"/>
      <c r="GH13" s="42">
        <v>500</v>
      </c>
      <c r="GI13" s="43"/>
      <c r="GJ13" s="40">
        <f t="shared" si="36"/>
        <v>199.81</v>
      </c>
      <c r="GK13" s="40">
        <f t="shared" si="37"/>
        <v>500</v>
      </c>
      <c r="GL13" s="41" t="b">
        <f t="shared" si="6"/>
        <v>0</v>
      </c>
      <c r="GN13" s="29">
        <f t="shared" si="38"/>
        <v>199.81</v>
      </c>
      <c r="GO13" s="29">
        <f>GetTransactionTotal(AggregateTable2024[], AggregateTable2024[Start], GN$1, AggregateTable2024[#Headers], $D13)</f>
        <v>0</v>
      </c>
      <c r="GP13" s="29">
        <f>Buckets_3_24[[#This Row],[Start]]+Buckets_3_24[[#This Row],[Transactions]]</f>
        <v>199.81</v>
      </c>
      <c r="GQ13" s="29">
        <f t="shared" si="39"/>
        <v>500</v>
      </c>
      <c r="GR13" s="29">
        <f>Buckets_3_24[[#This Row],[Capacity]]-Buckets_3_24[[#This Row],[After T]]</f>
        <v>300.19</v>
      </c>
      <c r="GS13" s="29">
        <f>MAX(-Buckets_3_24[[#This Row],[Cap Diff]], 0)</f>
        <v>0</v>
      </c>
      <c r="GT13" s="29">
        <f>Buckets_3_24[[#This Row],[After T]]-Buckets_3_24[[#This Row],[Slush]]</f>
        <v>199.81</v>
      </c>
      <c r="GU13" s="29">
        <f>Buckets_3_24[[#This Row],[Capacity]]-Buckets_3_24[[#This Row],[Before Fill]]</f>
        <v>300.19</v>
      </c>
      <c r="GV13" t="b">
        <f>OR(GL13, Buckets_3_24[[#This Row],[After T]]&lt;0)</f>
        <v>0</v>
      </c>
      <c r="GW13" s="29">
        <f>IF(Buckets_3_24[[#This Row],[Is Crit]], Buckets_3_24[[#This Row],[S Cap Diff]], 0)</f>
        <v>0</v>
      </c>
      <c r="GX13" s="29">
        <f>Buckets_3_24[[#This Row],[Before Fill]]+Buckets_3_24[[#This Row],[Crit To Fill]]</f>
        <v>199.81</v>
      </c>
      <c r="GY13" s="29">
        <f>IF(NOT(Buckets_3_24[[#This Row],[Is Crit]]), Buckets_3_24[[#This Row],[S Cap Diff]], 0)</f>
        <v>300.19</v>
      </c>
      <c r="GZ13" s="29">
        <f>ROUND(GX$41/Buckets_3_24[[#Totals],[NC To Fill]]*Buckets_3_24[[#This Row],[NC To Fill]], 2)</f>
        <v>291.56</v>
      </c>
      <c r="HA13" s="31">
        <f>Buckets_3_24[[#This Row],[Pre Scale]] + IF($D13="Unexpected Fund", GX29-Buckets_3_24[[#Totals],[Pre Scale]], 0)</f>
        <v>291.56</v>
      </c>
      <c r="HB13" s="31">
        <f>Buckets_3_24[[#This Row],[Crit Filled]]+Buckets_3_24[[#This Row],[Scaled]]</f>
        <v>491.37</v>
      </c>
      <c r="HC13" s="31">
        <f>Buckets_3_24[[#This Row],[NC Filled]]</f>
        <v>491.37</v>
      </c>
      <c r="HD13" s="31">
        <f>Buckets_3_24[[#This Row],[Capacity]]-Buckets_3_24[[#This Row],[Final]]</f>
        <v>8.6299999999999955</v>
      </c>
      <c r="HE13" s="33">
        <f>IF(Buckets_3_24[[#This Row],[Capacity]]=0, 1, Buckets_3_24[[#This Row],[Final]]/Buckets_3_24[[#This Row],[Capacity]])</f>
        <v>0.98274000000000006</v>
      </c>
      <c r="HG13" s="40">
        <f>Buckets_3_24[[#This Row],[Final]]</f>
        <v>491.37</v>
      </c>
      <c r="HH13" s="40">
        <f>Buckets_3_24[[#This Row],[Capacity]]</f>
        <v>500</v>
      </c>
      <c r="HI13" s="41" t="b">
        <f t="shared" si="40"/>
        <v>0</v>
      </c>
      <c r="HJ13" s="42"/>
      <c r="HK13" s="42"/>
      <c r="HL13" s="42"/>
      <c r="HM13" s="42"/>
      <c r="HN13" s="43"/>
      <c r="HO13" s="40">
        <f t="shared" si="41"/>
        <v>491.37</v>
      </c>
      <c r="HP13" s="40">
        <f t="shared" si="42"/>
        <v>500</v>
      </c>
      <c r="HQ13" s="41" t="b">
        <f t="shared" si="7"/>
        <v>0</v>
      </c>
      <c r="HS13" s="29">
        <f t="shared" si="43"/>
        <v>491.37</v>
      </c>
      <c r="HT13" s="29">
        <f>GetTransactionTotal(AggregateTable2024[], AggregateTable2024[Start], HS$1, AggregateTable2024[#Headers], $D13)</f>
        <v>0</v>
      </c>
      <c r="HU13" s="29">
        <f>Buckets_4_24[[#This Row],[Start]]+Buckets_4_24[[#This Row],[Transactions]]</f>
        <v>491.37</v>
      </c>
      <c r="HV13" s="29">
        <f t="shared" si="44"/>
        <v>500</v>
      </c>
      <c r="HW13" s="29">
        <f>Buckets_4_24[[#This Row],[Capacity]]-Buckets_4_24[[#This Row],[After T]]</f>
        <v>8.6299999999999955</v>
      </c>
      <c r="HX13" s="29">
        <f>MAX(-Buckets_4_24[[#This Row],[Cap Diff]], 0)</f>
        <v>0</v>
      </c>
      <c r="HY13" s="29">
        <f>Buckets_4_24[[#This Row],[After T]]-Buckets_4_24[[#This Row],[Slush]]</f>
        <v>491.37</v>
      </c>
      <c r="HZ13" s="29">
        <f>Buckets_4_24[[#This Row],[Capacity]]-Buckets_4_24[[#This Row],[Before Fill]]</f>
        <v>8.6299999999999955</v>
      </c>
      <c r="IA13" t="b">
        <f>OR(HQ13, Buckets_4_24[[#This Row],[After T]]&lt;0)</f>
        <v>0</v>
      </c>
      <c r="IB13" s="29">
        <f>IF(Buckets_4_24[[#This Row],[Is Crit]], Buckets_4_24[[#This Row],[S Cap Diff]], 0)</f>
        <v>0</v>
      </c>
      <c r="IC13" s="29">
        <f>Buckets_4_24[[#This Row],[Before Fill]]+Buckets_4_24[[#This Row],[Crit To Fill]]</f>
        <v>491.37</v>
      </c>
      <c r="ID13" s="29">
        <f>IF(NOT(Buckets_4_24[[#This Row],[Is Crit]]), Buckets_4_24[[#This Row],[S Cap Diff]], 0)</f>
        <v>8.6299999999999955</v>
      </c>
      <c r="IE13" s="29">
        <f>ROUND(IC$41/Buckets_4_24[[#Totals],[NC To Fill]]*Buckets_4_24[[#This Row],[NC To Fill]], 2)</f>
        <v>5.63</v>
      </c>
      <c r="IF13" s="31">
        <f>Buckets_4_24[[#This Row],[Pre Scale]] + IF($D13="Unexpected Fund", IC29-Buckets_4_24[[#Totals],[Pre Scale]], 0)</f>
        <v>5.63</v>
      </c>
      <c r="IG13" s="31">
        <f>Buckets_4_24[[#This Row],[Crit Filled]]+Buckets_4_24[[#This Row],[Scaled]]</f>
        <v>497</v>
      </c>
      <c r="IH13" s="31">
        <f>Buckets_4_24[[#This Row],[NC Filled]]</f>
        <v>497</v>
      </c>
      <c r="II13" s="31">
        <f>Buckets_4_24[[#This Row],[Capacity]]-Buckets_4_24[[#This Row],[Final]]</f>
        <v>3</v>
      </c>
      <c r="IJ13" s="33">
        <f>IF(Buckets_4_24[[#This Row],[Capacity]]=0, 1, Buckets_4_24[[#This Row],[Final]]/Buckets_4_24[[#This Row],[Capacity]])</f>
        <v>0.99399999999999999</v>
      </c>
      <c r="IL13" s="40">
        <f>Buckets_4_24[[#This Row],[Final]]</f>
        <v>497</v>
      </c>
      <c r="IM13" s="40">
        <f>Buckets_4_24[[#This Row],[Capacity]]</f>
        <v>500</v>
      </c>
      <c r="IN13" s="41" t="b">
        <f t="shared" si="45"/>
        <v>0</v>
      </c>
      <c r="IO13" s="42"/>
      <c r="IP13" s="42"/>
      <c r="IQ13" s="42"/>
      <c r="IR13" s="42"/>
      <c r="IS13" s="43"/>
      <c r="IT13" s="40">
        <f t="shared" si="46"/>
        <v>497</v>
      </c>
      <c r="IU13" s="40">
        <f t="shared" si="47"/>
        <v>500</v>
      </c>
      <c r="IV13" s="41" t="b">
        <f t="shared" si="8"/>
        <v>0</v>
      </c>
    </row>
    <row r="14" spans="1:256" x14ac:dyDescent="0.25">
      <c r="A14" s="49"/>
      <c r="B14" t="s">
        <v>32</v>
      </c>
      <c r="C14" t="s">
        <v>291</v>
      </c>
      <c r="D14" t="s">
        <v>291</v>
      </c>
      <c r="F14" s="30">
        <v>0</v>
      </c>
      <c r="G14" s="38">
        <v>500</v>
      </c>
      <c r="H14" t="b">
        <v>0</v>
      </c>
      <c r="J14" s="50">
        <f t="shared" si="9"/>
        <v>0</v>
      </c>
      <c r="K14" s="50">
        <f>GetTransactionTotal(AggregateTable2023[], AggregateTable2023[Start], J$1, AggregateTable2023[#Headers], $D14)</f>
        <v>-1258.98</v>
      </c>
      <c r="L14" s="50">
        <f>Buckets_9_23[[#This Row],[Start]]+Buckets_9_23[[#This Row],[Transactions]]</f>
        <v>-1258.98</v>
      </c>
      <c r="M14" s="50">
        <f t="shared" si="10"/>
        <v>500</v>
      </c>
      <c r="N14" s="50">
        <f>Buckets_9_23[[#This Row],[Capacity]]-Buckets_9_23[[#This Row],[After T]]</f>
        <v>1758.98</v>
      </c>
      <c r="O14" s="50">
        <f>IF(Buckets_9_23[[#This Row],[After T]]&lt;0, Buckets_9_23[[#This Row],[After T]], IF(Buckets_9_23[[#This Row],[Cap Diff]]&lt;0, -Buckets_9_23[[#This Row],[Cap Diff]], 0))</f>
        <v>-1258.98</v>
      </c>
      <c r="P14" s="50">
        <f>Buckets_9_23[[#This Row],[After T]]-Buckets_9_23[[#This Row],[Slush]]</f>
        <v>0</v>
      </c>
      <c r="Q14" s="50">
        <f>Buckets_9_23[[#This Row],[Capacity]]-Buckets_9_23[[#This Row],[Before Fill]]</f>
        <v>500</v>
      </c>
      <c r="R14" s="31" t="b">
        <f t="shared" si="0"/>
        <v>0</v>
      </c>
      <c r="S14" s="50">
        <f>IF(Buckets_9_23[[#This Row],[Is Crit]], Buckets_9_23[[#This Row],[S Cap Diff]], 0)</f>
        <v>0</v>
      </c>
      <c r="T14" s="50">
        <f>Buckets_9_23[[#This Row],[Before Fill]]+Buckets_9_23[[#This Row],[Crit To Fill]]</f>
        <v>0</v>
      </c>
      <c r="U14" s="50">
        <f>IF(NOT(Buckets_9_23[[#This Row],[Is Crit]]), Buckets_9_23[[#This Row],[S Cap Diff]], 0)</f>
        <v>500</v>
      </c>
      <c r="V14" s="50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A14" s="51">
        <f>IF(Buckets_9_23[[#This Row],[Capacity]]=0, 1, Buckets_9_23[[#This Row],[Final]]/Buckets_9_23[[#This Row],[Capacity]])</f>
        <v>0.87282000000000004</v>
      </c>
      <c r="AC14" s="31">
        <f>Buckets_9_23[[#This Row],[Final]]</f>
        <v>436.41</v>
      </c>
      <c r="AD14" s="31">
        <f>Buckets_9_23[[#This Row],[Capacity]]</f>
        <v>500</v>
      </c>
      <c r="AE14" t="b">
        <f>H14</f>
        <v>0</v>
      </c>
      <c r="AF14" s="43"/>
      <c r="AG14" s="42"/>
      <c r="AH14" s="43"/>
      <c r="AI14" s="42"/>
      <c r="AJ14" s="43"/>
      <c r="AK14" s="40">
        <f t="shared" si="11"/>
        <v>436.41</v>
      </c>
      <c r="AL14" s="40">
        <f t="shared" si="12"/>
        <v>500</v>
      </c>
      <c r="AM14" s="41" t="b">
        <f t="shared" si="1"/>
        <v>0</v>
      </c>
      <c r="AO14" s="29">
        <f t="shared" si="13"/>
        <v>436.41</v>
      </c>
      <c r="AP14" s="29">
        <f>GetTransactionTotal(AggregateTable2023[], AggregateTable2023[Start], AO$1, AggregateTable2023[#Headers], $D14)</f>
        <v>-334.5</v>
      </c>
      <c r="AQ14" s="29">
        <f>Buckets_10_23[[#This Row],[Start]]+Buckets_10_23[[#This Row],[Transactions]]</f>
        <v>101.91000000000003</v>
      </c>
      <c r="AR14" s="29">
        <f t="shared" si="14"/>
        <v>500</v>
      </c>
      <c r="AS14" s="29">
        <f>Buckets_10_23[[#This Row],[Capacity]]-Buckets_10_23[[#This Row],[After T]]</f>
        <v>398.09</v>
      </c>
      <c r="AT14" s="29">
        <f>MAX(-Buckets_10_23[[#This Row],[Cap Diff]], 0)</f>
        <v>0</v>
      </c>
      <c r="AU14" s="29">
        <f>Buckets_10_23[[#This Row],[After T]]-Buckets_10_23[[#This Row],[Slush]]</f>
        <v>101.91000000000003</v>
      </c>
      <c r="AV14" s="29">
        <f>Buckets_10_23[[#This Row],[Capacity]]-Buckets_10_23[[#This Row],[Before Fill]]</f>
        <v>398.09</v>
      </c>
      <c r="AW14" t="b">
        <f>OR(AM14, Buckets_10_23[[#This Row],[After T]]&lt;0)</f>
        <v>0</v>
      </c>
      <c r="AX14" s="29">
        <f>IF(Buckets_10_23[[#This Row],[Is Crit]], Buckets_10_23[[#This Row],[S Cap Diff]], 0)</f>
        <v>0</v>
      </c>
      <c r="AY14" s="29">
        <f>Buckets_10_23[[#This Row],[Before Fill]]+Buckets_10_23[[#This Row],[Crit To Fill]]</f>
        <v>101.91000000000003</v>
      </c>
      <c r="AZ14" s="29">
        <f>IF(NOT(Buckets_10_23[[#This Row],[Is Crit]]), Buckets_10_23[[#This Row],[S Cap Diff]], 0)</f>
        <v>398.09</v>
      </c>
      <c r="BA14" s="29">
        <f>ROUND(AY$41/Buckets_10_23[[#Totals],[NC To Fill]]*Buckets_10_23[[#This Row],[NC To Fill]], 2)</f>
        <v>236.45</v>
      </c>
      <c r="BB14" s="31">
        <f>Buckets_10_23[[#This Row],[Pre Scale]] + IF($D14="Unexpected Fund", AY30-Buckets_10_23[[#Totals],[Pre Scale]], 0)</f>
        <v>236.45</v>
      </c>
      <c r="BC14" s="31">
        <f>Buckets_10_23[[#This Row],[Crit Filled]]+Buckets_10_23[[#This Row],[Scaled]]</f>
        <v>338.36</v>
      </c>
      <c r="BD14" s="31">
        <f>Buckets_10_23[[#This Row],[NC Filled]]</f>
        <v>338.36</v>
      </c>
      <c r="BE14" s="31">
        <f>Buckets_10_23[[#This Row],[Capacity]]-Buckets_10_23[[#This Row],[Final]]</f>
        <v>161.63999999999999</v>
      </c>
      <c r="BF14" s="33">
        <f>IF(Buckets_10_23[[#This Row],[Capacity]]=0, 1, Buckets_10_23[[#This Row],[Final]]/Buckets_10_23[[#This Row],[Capacity]])</f>
        <v>0.67671999999999999</v>
      </c>
      <c r="BH14" s="31">
        <f>Buckets_10_23[[#This Row],[Final]]</f>
        <v>338.36</v>
      </c>
      <c r="BI14" s="31">
        <f>Buckets_10_23[[#This Row],[Capacity]]</f>
        <v>500</v>
      </c>
      <c r="BJ14" t="b">
        <f t="shared" si="15"/>
        <v>0</v>
      </c>
      <c r="BK14" s="43"/>
      <c r="BL14" s="42"/>
      <c r="BM14" s="43"/>
      <c r="BN14" s="42"/>
      <c r="BO14" s="43"/>
      <c r="BP14" s="40">
        <f t="shared" si="16"/>
        <v>338.36</v>
      </c>
      <c r="BQ14" s="40">
        <f t="shared" si="17"/>
        <v>500</v>
      </c>
      <c r="BR14" s="41" t="b">
        <f t="shared" si="2"/>
        <v>0</v>
      </c>
      <c r="BT14" s="29">
        <f t="shared" si="18"/>
        <v>338.36</v>
      </c>
      <c r="BU14" s="29">
        <f>GetTransactionTotal(AggregateTable2023[], AggregateTable2023[Start], BT$1, AggregateTable2023[#Headers], $D14)</f>
        <v>0</v>
      </c>
      <c r="BV14" s="29">
        <f>Buckets_11_23[[#This Row],[Start]]+Buckets_11_23[[#This Row],[Transactions]]</f>
        <v>338.36</v>
      </c>
      <c r="BW14" s="29">
        <f t="shared" si="19"/>
        <v>500</v>
      </c>
      <c r="BX14" s="29">
        <f>Buckets_11_23[[#This Row],[Capacity]]-Buckets_11_23[[#This Row],[After T]]</f>
        <v>161.63999999999999</v>
      </c>
      <c r="BY14" s="29">
        <f>MAX(-Buckets_11_23[[#This Row],[Cap Diff]], 0)</f>
        <v>0</v>
      </c>
      <c r="BZ14" s="29">
        <f>Buckets_11_23[[#This Row],[After T]]-Buckets_11_23[[#This Row],[Slush]]</f>
        <v>338.36</v>
      </c>
      <c r="CA14" s="29">
        <f>Buckets_11_23[[#This Row],[Capacity]]-Buckets_11_23[[#This Row],[Before Fill]]</f>
        <v>161.63999999999999</v>
      </c>
      <c r="CB14" t="b">
        <f>OR(BR14, Buckets_11_23[[#This Row],[After T]]&lt;0)</f>
        <v>0</v>
      </c>
      <c r="CC14" s="29">
        <f>IF(Buckets_11_23[[#This Row],[Is Crit]], Buckets_11_23[[#This Row],[S Cap Diff]], 0)</f>
        <v>0</v>
      </c>
      <c r="CD14" s="29">
        <f>Buckets_11_23[[#This Row],[Before Fill]]+Buckets_11_23[[#This Row],[Crit To Fill]]</f>
        <v>338.36</v>
      </c>
      <c r="CE14" s="29">
        <f>IF(NOT(Buckets_11_23[[#This Row],[Is Crit]]), Buckets_11_23[[#This Row],[S Cap Diff]], 0)</f>
        <v>161.63999999999999</v>
      </c>
      <c r="CF14" s="29">
        <f>ROUND(CD$41/Buckets_11_23[[#Totals],[NC To Fill]]*Buckets_11_23[[#This Row],[NC To Fill]], 2)</f>
        <v>159.41</v>
      </c>
      <c r="CG14" s="31">
        <f>Buckets_11_23[[#This Row],[Pre Scale]] + IF($D14="Unexpected Fund", CD30-Buckets_11_23[[#Totals],[Pre Scale]], 0)</f>
        <v>159.41</v>
      </c>
      <c r="CH14" s="31">
        <f>Buckets_11_23[[#This Row],[Crit Filled]]+Buckets_11_23[[#This Row],[Scaled]]</f>
        <v>497.77</v>
      </c>
      <c r="CI14" s="31">
        <f>Buckets_11_23[[#This Row],[NC Filled]]</f>
        <v>497.77</v>
      </c>
      <c r="CJ14" s="31">
        <f>Buckets_11_23[[#This Row],[Capacity]]-Buckets_11_23[[#This Row],[Final]]</f>
        <v>2.2300000000000182</v>
      </c>
      <c r="CK14" s="33">
        <f>IF(Buckets_11_23[[#This Row],[Capacity]]=0, 1, Buckets_11_23[[#This Row],[Final]]/Buckets_11_23[[#This Row],[Capacity]])</f>
        <v>0.99553999999999998</v>
      </c>
      <c r="CM14" s="40">
        <f>Buckets_11_23[[#This Row],[Final]]</f>
        <v>497.77</v>
      </c>
      <c r="CN14" s="40">
        <f>Buckets_11_23[[#This Row],[Capacity]]</f>
        <v>500</v>
      </c>
      <c r="CO14" s="41" t="b">
        <f t="shared" si="20"/>
        <v>0</v>
      </c>
      <c r="CP14" s="42">
        <v>-200</v>
      </c>
      <c r="CQ14" s="42"/>
      <c r="CR14" s="42"/>
      <c r="CS14" s="42">
        <f>CN14+100</f>
        <v>600</v>
      </c>
      <c r="CT14" s="43"/>
      <c r="CU14" s="40">
        <f t="shared" si="21"/>
        <v>297.77</v>
      </c>
      <c r="CV14" s="40">
        <f t="shared" si="22"/>
        <v>600</v>
      </c>
      <c r="CW14" s="41" t="b">
        <f t="shared" si="3"/>
        <v>0</v>
      </c>
      <c r="CY14" s="29">
        <f t="shared" si="23"/>
        <v>297.77</v>
      </c>
      <c r="CZ14" s="29">
        <f>GetTransactionTotal(AggregateTable2023[], AggregateTable2023[Start], CY$1, AggregateTable2023[#Headers], $D14)</f>
        <v>-202.6</v>
      </c>
      <c r="DA14" s="29">
        <f>Buckets_12_23[[#This Row],[Start]]+Buckets_12_23[[#This Row],[Transactions]]</f>
        <v>95.169999999999987</v>
      </c>
      <c r="DB14" s="29">
        <f t="shared" si="24"/>
        <v>600</v>
      </c>
      <c r="DC14" s="29">
        <f>Buckets_12_23[[#This Row],[Capacity]]-Buckets_12_23[[#This Row],[After T]]</f>
        <v>504.83000000000004</v>
      </c>
      <c r="DD14" s="29">
        <f>MAX(-Buckets_12_23[[#This Row],[Cap Diff]], 0)</f>
        <v>0</v>
      </c>
      <c r="DE14" s="29">
        <f>Buckets_12_23[[#This Row],[After T]]-Buckets_12_23[[#This Row],[Slush]]</f>
        <v>95.169999999999987</v>
      </c>
      <c r="DF14" s="29">
        <f>Buckets_12_23[[#This Row],[Capacity]]-Buckets_12_23[[#This Row],[Before Fill]]</f>
        <v>504.83000000000004</v>
      </c>
      <c r="DG14" t="b">
        <f>OR(CW14, Buckets_12_23[[#This Row],[After T]]&lt;0)</f>
        <v>0</v>
      </c>
      <c r="DH14" s="29">
        <f>IF(Buckets_12_23[[#This Row],[Is Crit]], Buckets_12_23[[#This Row],[S Cap Diff]], 0)</f>
        <v>0</v>
      </c>
      <c r="DI14" s="29">
        <f>Buckets_12_23[[#This Row],[Before Fill]]+Buckets_12_23[[#This Row],[Crit To Fill]]</f>
        <v>95.169999999999987</v>
      </c>
      <c r="DJ14" s="29">
        <f>IF(NOT(Buckets_12_23[[#This Row],[Is Crit]]), Buckets_12_23[[#This Row],[S Cap Diff]], 0)</f>
        <v>504.83000000000004</v>
      </c>
      <c r="DK14" s="29">
        <f>ROUND(DI$41/Buckets_12_23[[#Totals],[NC To Fill]]*Buckets_12_23[[#This Row],[NC To Fill]], 2)</f>
        <v>230.82</v>
      </c>
      <c r="DL14" s="31">
        <f>Buckets_12_23[[#This Row],[Pre Scale]] + IF($D14="Unexpected Fund", DI30-Buckets_12_23[[#Totals],[Pre Scale]], 0)</f>
        <v>230.82</v>
      </c>
      <c r="DM14" s="31">
        <f>Buckets_12_23[[#This Row],[Crit Filled]]+Buckets_12_23[[#This Row],[Scaled]]</f>
        <v>325.99</v>
      </c>
      <c r="DN14" s="31">
        <f>Buckets_12_23[[#This Row],[NC Filled]]</f>
        <v>325.99</v>
      </c>
      <c r="DO14" s="31">
        <f>Buckets_12_23[[#This Row],[Capacity]]-Buckets_12_23[[#This Row],[Final]]</f>
        <v>274.01</v>
      </c>
      <c r="DP14" s="33">
        <f>IF(Buckets_12_23[[#This Row],[Capacity]]=0, 1, Buckets_12_23[[#This Row],[Final]]/Buckets_12_23[[#This Row],[Capacity]])</f>
        <v>0.54331666666666667</v>
      </c>
      <c r="DR14" s="40">
        <f>Buckets_12_23[[#This Row],[Final]]</f>
        <v>325.99</v>
      </c>
      <c r="DS14" s="40">
        <f>Buckets_12_23[[#This Row],[Capacity]]</f>
        <v>600</v>
      </c>
      <c r="DT14" s="41" t="b">
        <f t="shared" si="25"/>
        <v>0</v>
      </c>
      <c r="DU14" s="42"/>
      <c r="DV14" s="42"/>
      <c r="DW14" s="42"/>
      <c r="DX14" s="42">
        <f>DS14+100</f>
        <v>700</v>
      </c>
      <c r="DY14" s="43"/>
      <c r="DZ14" s="40">
        <f t="shared" si="26"/>
        <v>325.99</v>
      </c>
      <c r="EA14" s="40">
        <f t="shared" si="27"/>
        <v>700</v>
      </c>
      <c r="EB14" s="41" t="b">
        <f t="shared" si="4"/>
        <v>0</v>
      </c>
      <c r="ED14" s="29">
        <f t="shared" si="28"/>
        <v>325.99</v>
      </c>
      <c r="EE14" s="29">
        <f>GetTransactionTotal(AggregateTable2024[], AggregateTable2024[Start], ED$1, AggregateTable2024[#Headers], $D14)</f>
        <v>0</v>
      </c>
      <c r="EF14" s="29">
        <f>Buckets_1_24[[#This Row],[Start]]+Buckets_1_24[[#This Row],[Transactions]]</f>
        <v>325.99</v>
      </c>
      <c r="EG14" s="29">
        <f t="shared" si="29"/>
        <v>700</v>
      </c>
      <c r="EH14" s="29">
        <f>Buckets_1_24[[#This Row],[Capacity]]-Buckets_1_24[[#This Row],[After T]]</f>
        <v>374.01</v>
      </c>
      <c r="EI14" s="29">
        <f>MAX(-Buckets_1_24[[#This Row],[Cap Diff]], 0)</f>
        <v>0</v>
      </c>
      <c r="EJ14" s="29">
        <f>Buckets_1_24[[#This Row],[After T]]-Buckets_1_24[[#This Row],[Slush]]</f>
        <v>325.99</v>
      </c>
      <c r="EK14" s="29">
        <f>Buckets_1_24[[#This Row],[Capacity]]-Buckets_1_24[[#This Row],[Before Fill]]</f>
        <v>374.01</v>
      </c>
      <c r="EL14" t="b">
        <f>OR(EB14, Buckets_1_24[[#This Row],[After T]]&lt;0)</f>
        <v>0</v>
      </c>
      <c r="EM14" s="29">
        <f>IF(Buckets_1_24[[#This Row],[Is Crit]], Buckets_1_24[[#This Row],[S Cap Diff]], 0)</f>
        <v>0</v>
      </c>
      <c r="EN14" s="29">
        <f>Buckets_1_24[[#This Row],[Before Fill]]+Buckets_1_24[[#This Row],[Crit To Fill]]</f>
        <v>325.99</v>
      </c>
      <c r="EO14" s="29">
        <f>IF(NOT(Buckets_1_24[[#This Row],[Is Crit]]), Buckets_1_24[[#This Row],[S Cap Diff]], 0)</f>
        <v>374.01</v>
      </c>
      <c r="EP14" s="29">
        <f>ROUND(EN$41/Buckets_1_24[[#Totals],[NC To Fill]]*Buckets_1_24[[#This Row],[NC To Fill]], 2)</f>
        <v>229.64</v>
      </c>
      <c r="EQ14" s="31">
        <f>Buckets_1_24[[#This Row],[Pre Scale]] + IF($D14="Unexpected Fund", EN30-Buckets_1_24[[#Totals],[Pre Scale]], 0)</f>
        <v>229.64</v>
      </c>
      <c r="ER14" s="31">
        <f>Buckets_1_24[[#This Row],[Crit Filled]]+Buckets_1_24[[#This Row],[Scaled]]</f>
        <v>555.63</v>
      </c>
      <c r="ES14" s="31">
        <f>Buckets_1_24[[#This Row],[NC Filled]]</f>
        <v>555.63</v>
      </c>
      <c r="ET14" s="31">
        <f>Buckets_1_24[[#This Row],[Capacity]]-Buckets_1_24[[#This Row],[Final]]</f>
        <v>144.37</v>
      </c>
      <c r="EU14" s="33">
        <f>IF(Buckets_1_24[[#This Row],[Capacity]]=0, 1, Buckets_1_24[[#This Row],[Final]]/Buckets_1_24[[#This Row],[Capacity]])</f>
        <v>0.79375714285714283</v>
      </c>
      <c r="EW14" s="40">
        <f>Buckets_1_24[[#This Row],[Final]]</f>
        <v>555.63</v>
      </c>
      <c r="EX14" s="40">
        <f>Buckets_1_24[[#This Row],[Capacity]]</f>
        <v>700</v>
      </c>
      <c r="EY14" s="41" t="b">
        <f t="shared" si="30"/>
        <v>0</v>
      </c>
      <c r="EZ14" s="42"/>
      <c r="FA14" s="42"/>
      <c r="FB14" s="42">
        <v>100</v>
      </c>
      <c r="FC14" s="42"/>
      <c r="FD14" s="43"/>
      <c r="FE14" s="40">
        <f t="shared" si="31"/>
        <v>555.63</v>
      </c>
      <c r="FF14" s="40">
        <f t="shared" si="32"/>
        <v>800</v>
      </c>
      <c r="FG14" s="41" t="b">
        <f t="shared" si="5"/>
        <v>0</v>
      </c>
      <c r="FI14" s="29">
        <f t="shared" si="33"/>
        <v>555.63</v>
      </c>
      <c r="FJ14" s="29">
        <f>GetTransactionTotal(AggregateTable2024[], AggregateTable2024[Start], FI$1, AggregateTable2024[#Headers], $D14)</f>
        <v>0</v>
      </c>
      <c r="FK14" s="29">
        <f>Buckets_2_24[[#This Row],[Start]]+Buckets_2_24[[#This Row],[Transactions]]</f>
        <v>555.63</v>
      </c>
      <c r="FL14" s="29">
        <f t="shared" si="34"/>
        <v>800</v>
      </c>
      <c r="FM14" s="29">
        <f>Buckets_2_24[[#This Row],[Capacity]]-Buckets_2_24[[#This Row],[After T]]</f>
        <v>244.37</v>
      </c>
      <c r="FN14" s="29">
        <f>MAX(-Buckets_2_24[[#This Row],[Cap Diff]], 0)</f>
        <v>0</v>
      </c>
      <c r="FO14" s="29">
        <f>Buckets_2_24[[#This Row],[After T]]-Buckets_2_24[[#This Row],[Slush]]</f>
        <v>555.63</v>
      </c>
      <c r="FP14" s="29">
        <f>Buckets_2_24[[#This Row],[Capacity]]-Buckets_2_24[[#This Row],[Before Fill]]</f>
        <v>244.37</v>
      </c>
      <c r="FQ14" t="b">
        <f>OR(FG14, Buckets_2_24[[#This Row],[After T]]&lt;0)</f>
        <v>0</v>
      </c>
      <c r="FR14" s="29">
        <f>IF(Buckets_2_24[[#This Row],[Is Crit]], Buckets_2_24[[#This Row],[S Cap Diff]], 0)</f>
        <v>0</v>
      </c>
      <c r="FS14" s="29">
        <f>Buckets_2_24[[#This Row],[Before Fill]]+Buckets_2_24[[#This Row],[Crit To Fill]]</f>
        <v>555.63</v>
      </c>
      <c r="FT14" s="29">
        <f>IF(NOT(Buckets_2_24[[#This Row],[Is Crit]]), Buckets_2_24[[#This Row],[S Cap Diff]], 0)</f>
        <v>244.37</v>
      </c>
      <c r="FU14" s="29">
        <f>ROUND(FS$41/Buckets_2_24[[#Totals],[NC To Fill]]*Buckets_2_24[[#This Row],[NC To Fill]], 2)</f>
        <v>235.41</v>
      </c>
      <c r="FV14" s="31">
        <f>Buckets_2_24[[#This Row],[Pre Scale]] + IF($D14="Unexpected Fund", FS30-Buckets_2_24[[#Totals],[Pre Scale]], 0)</f>
        <v>235.41</v>
      </c>
      <c r="FW14" s="31">
        <f>Buckets_2_24[[#This Row],[Crit Filled]]+Buckets_2_24[[#This Row],[Scaled]]</f>
        <v>791.04</v>
      </c>
      <c r="FX14" s="31">
        <f>Buckets_2_24[[#This Row],[NC Filled]]</f>
        <v>791.04</v>
      </c>
      <c r="FY14" s="31">
        <f>Buckets_2_24[[#This Row],[Capacity]]-Buckets_2_24[[#This Row],[Final]]</f>
        <v>8.9600000000000364</v>
      </c>
      <c r="FZ14" s="33">
        <f>IF(Buckets_2_24[[#This Row],[Capacity]]=0, 1, Buckets_2_24[[#This Row],[Final]]/Buckets_2_24[[#This Row],[Capacity]])</f>
        <v>0.9887999999999999</v>
      </c>
      <c r="GB14" s="40">
        <f>Buckets_2_24[[#This Row],[Final]]</f>
        <v>791.04</v>
      </c>
      <c r="GC14" s="40">
        <f>Buckets_2_24[[#This Row],[Capacity]]</f>
        <v>800</v>
      </c>
      <c r="GD14" s="41" t="b">
        <f t="shared" si="35"/>
        <v>0</v>
      </c>
      <c r="GE14" s="42"/>
      <c r="GF14" s="42"/>
      <c r="GG14" s="42">
        <v>100</v>
      </c>
      <c r="GH14" s="42"/>
      <c r="GI14" s="43"/>
      <c r="GJ14" s="40">
        <f t="shared" si="36"/>
        <v>791.04</v>
      </c>
      <c r="GK14" s="40">
        <f t="shared" si="37"/>
        <v>900</v>
      </c>
      <c r="GL14" s="41" t="b">
        <f t="shared" si="6"/>
        <v>0</v>
      </c>
      <c r="GN14" s="29">
        <f t="shared" si="38"/>
        <v>791.04</v>
      </c>
      <c r="GO14" s="29">
        <f>GetTransactionTotal(AggregateTable2024[], AggregateTable2024[Start], GN$1, AggregateTable2024[#Headers], $D14)</f>
        <v>0</v>
      </c>
      <c r="GP14" s="29">
        <f>Buckets_3_24[[#This Row],[Start]]+Buckets_3_24[[#This Row],[Transactions]]</f>
        <v>791.04</v>
      </c>
      <c r="GQ14" s="29">
        <f t="shared" si="39"/>
        <v>900</v>
      </c>
      <c r="GR14" s="29">
        <f>Buckets_3_24[[#This Row],[Capacity]]-Buckets_3_24[[#This Row],[After T]]</f>
        <v>108.96000000000004</v>
      </c>
      <c r="GS14" s="29">
        <f>MAX(-Buckets_3_24[[#This Row],[Cap Diff]], 0)</f>
        <v>0</v>
      </c>
      <c r="GT14" s="29">
        <f>Buckets_3_24[[#This Row],[After T]]-Buckets_3_24[[#This Row],[Slush]]</f>
        <v>791.04</v>
      </c>
      <c r="GU14" s="29">
        <f>Buckets_3_24[[#This Row],[Capacity]]-Buckets_3_24[[#This Row],[Before Fill]]</f>
        <v>108.96000000000004</v>
      </c>
      <c r="GV14" t="b">
        <f>OR(GL14, Buckets_3_24[[#This Row],[After T]]&lt;0)</f>
        <v>0</v>
      </c>
      <c r="GW14" s="29">
        <f>IF(Buckets_3_24[[#This Row],[Is Crit]], Buckets_3_24[[#This Row],[S Cap Diff]], 0)</f>
        <v>0</v>
      </c>
      <c r="GX14" s="29">
        <f>Buckets_3_24[[#This Row],[Before Fill]]+Buckets_3_24[[#This Row],[Crit To Fill]]</f>
        <v>791.04</v>
      </c>
      <c r="GY14" s="29">
        <f>IF(NOT(Buckets_3_24[[#This Row],[Is Crit]]), Buckets_3_24[[#This Row],[S Cap Diff]], 0)</f>
        <v>108.96000000000004</v>
      </c>
      <c r="GZ14" s="29">
        <f>ROUND(GX$41/Buckets_3_24[[#Totals],[NC To Fill]]*Buckets_3_24[[#This Row],[NC To Fill]], 2)</f>
        <v>105.83</v>
      </c>
      <c r="HA14" s="31">
        <f>Buckets_3_24[[#This Row],[Pre Scale]] + IF($D14="Unexpected Fund", GX30-Buckets_3_24[[#Totals],[Pre Scale]], 0)</f>
        <v>105.83</v>
      </c>
      <c r="HB14" s="31">
        <f>Buckets_3_24[[#This Row],[Crit Filled]]+Buckets_3_24[[#This Row],[Scaled]]</f>
        <v>896.87</v>
      </c>
      <c r="HC14" s="31">
        <f>Buckets_3_24[[#This Row],[NC Filled]]</f>
        <v>896.87</v>
      </c>
      <c r="HD14" s="31">
        <f>Buckets_3_24[[#This Row],[Capacity]]-Buckets_3_24[[#This Row],[Final]]</f>
        <v>3.1299999999999955</v>
      </c>
      <c r="HE14" s="33">
        <f>IF(Buckets_3_24[[#This Row],[Capacity]]=0, 1, Buckets_3_24[[#This Row],[Final]]/Buckets_3_24[[#This Row],[Capacity]])</f>
        <v>0.9965222222222222</v>
      </c>
      <c r="HG14" s="40">
        <f>Buckets_3_24[[#This Row],[Final]]</f>
        <v>896.87</v>
      </c>
      <c r="HH14" s="40">
        <f>Buckets_3_24[[#This Row],[Capacity]]</f>
        <v>900</v>
      </c>
      <c r="HI14" s="41" t="b">
        <f t="shared" si="40"/>
        <v>0</v>
      </c>
      <c r="HJ14" s="42"/>
      <c r="HK14" s="42"/>
      <c r="HL14" s="42">
        <v>100</v>
      </c>
      <c r="HM14" s="42"/>
      <c r="HN14" s="43"/>
      <c r="HO14" s="40">
        <f t="shared" si="41"/>
        <v>896.87</v>
      </c>
      <c r="HP14" s="40">
        <f t="shared" si="42"/>
        <v>1000</v>
      </c>
      <c r="HQ14" s="41" t="b">
        <f t="shared" si="7"/>
        <v>0</v>
      </c>
      <c r="HS14" s="29">
        <f t="shared" si="43"/>
        <v>896.87</v>
      </c>
      <c r="HT14" s="29">
        <f>GetTransactionTotal(AggregateTable2024[], AggregateTable2024[Start], HS$1, AggregateTable2024[#Headers], $D14)</f>
        <v>0</v>
      </c>
      <c r="HU14" s="29">
        <f>Buckets_4_24[[#This Row],[Start]]+Buckets_4_24[[#This Row],[Transactions]]</f>
        <v>896.87</v>
      </c>
      <c r="HV14" s="29">
        <f t="shared" si="44"/>
        <v>1000</v>
      </c>
      <c r="HW14" s="29">
        <f>Buckets_4_24[[#This Row],[Capacity]]-Buckets_4_24[[#This Row],[After T]]</f>
        <v>103.13</v>
      </c>
      <c r="HX14" s="29">
        <f>MAX(-Buckets_4_24[[#This Row],[Cap Diff]], 0)</f>
        <v>0</v>
      </c>
      <c r="HY14" s="29">
        <f>Buckets_4_24[[#This Row],[After T]]-Buckets_4_24[[#This Row],[Slush]]</f>
        <v>896.87</v>
      </c>
      <c r="HZ14" s="29">
        <f>Buckets_4_24[[#This Row],[Capacity]]-Buckets_4_24[[#This Row],[Before Fill]]</f>
        <v>103.13</v>
      </c>
      <c r="IA14" t="b">
        <f>OR(HQ14, Buckets_4_24[[#This Row],[After T]]&lt;0)</f>
        <v>0</v>
      </c>
      <c r="IB14" s="29">
        <f>IF(Buckets_4_24[[#This Row],[Is Crit]], Buckets_4_24[[#This Row],[S Cap Diff]], 0)</f>
        <v>0</v>
      </c>
      <c r="IC14" s="29">
        <f>Buckets_4_24[[#This Row],[Before Fill]]+Buckets_4_24[[#This Row],[Crit To Fill]]</f>
        <v>896.87</v>
      </c>
      <c r="ID14" s="29">
        <f>IF(NOT(Buckets_4_24[[#This Row],[Is Crit]]), Buckets_4_24[[#This Row],[S Cap Diff]], 0)</f>
        <v>103.13</v>
      </c>
      <c r="IE14" s="29">
        <f>ROUND(IC$41/Buckets_4_24[[#Totals],[NC To Fill]]*Buckets_4_24[[#This Row],[NC To Fill]], 2)</f>
        <v>67.3</v>
      </c>
      <c r="IF14" s="31">
        <f>Buckets_4_24[[#This Row],[Pre Scale]] + IF($D14="Unexpected Fund", IC30-Buckets_4_24[[#Totals],[Pre Scale]], 0)</f>
        <v>67.3</v>
      </c>
      <c r="IG14" s="31">
        <f>Buckets_4_24[[#This Row],[Crit Filled]]+Buckets_4_24[[#This Row],[Scaled]]</f>
        <v>964.17</v>
      </c>
      <c r="IH14" s="31">
        <f>Buckets_4_24[[#This Row],[NC Filled]]</f>
        <v>964.17</v>
      </c>
      <c r="II14" s="31">
        <f>Buckets_4_24[[#This Row],[Capacity]]-Buckets_4_24[[#This Row],[Final]]</f>
        <v>35.830000000000041</v>
      </c>
      <c r="IJ14" s="33">
        <f>IF(Buckets_4_24[[#This Row],[Capacity]]=0, 1, Buckets_4_24[[#This Row],[Final]]/Buckets_4_24[[#This Row],[Capacity]])</f>
        <v>0.96416999999999997</v>
      </c>
      <c r="IL14" s="40">
        <f>Buckets_4_24[[#This Row],[Final]]</f>
        <v>964.17</v>
      </c>
      <c r="IM14" s="40">
        <f>Buckets_4_24[[#This Row],[Capacity]]</f>
        <v>1000</v>
      </c>
      <c r="IN14" s="41" t="b">
        <f t="shared" si="45"/>
        <v>0</v>
      </c>
      <c r="IO14" s="42"/>
      <c r="IP14" s="42"/>
      <c r="IQ14" s="42">
        <v>100</v>
      </c>
      <c r="IR14" s="42"/>
      <c r="IS14" s="43"/>
      <c r="IT14" s="40">
        <f t="shared" si="46"/>
        <v>964.17</v>
      </c>
      <c r="IU14" s="40">
        <f t="shared" si="47"/>
        <v>1100</v>
      </c>
      <c r="IV14" s="41" t="b">
        <f t="shared" si="8"/>
        <v>0</v>
      </c>
    </row>
    <row r="15" spans="1:256" x14ac:dyDescent="0.25">
      <c r="A15" s="49"/>
      <c r="B15" t="s">
        <v>323</v>
      </c>
      <c r="C15" t="s">
        <v>15</v>
      </c>
      <c r="D15" t="s">
        <v>15</v>
      </c>
      <c r="F15" s="30">
        <v>300</v>
      </c>
      <c r="G15" s="38">
        <v>600</v>
      </c>
      <c r="H15" t="b">
        <v>0</v>
      </c>
      <c r="J15" s="50">
        <f t="shared" si="9"/>
        <v>300</v>
      </c>
      <c r="K15" s="50">
        <f>GetTransactionTotal(AggregateTable2023[], AggregateTable2023[Start], J$1, AggregateTable2023[#Headers], $D15)</f>
        <v>-209.44</v>
      </c>
      <c r="L15" s="50">
        <f>Buckets_9_23[[#This Row],[Start]]+Buckets_9_23[[#This Row],[Transactions]]</f>
        <v>90.56</v>
      </c>
      <c r="M15" s="50">
        <f t="shared" si="10"/>
        <v>600</v>
      </c>
      <c r="N15" s="50">
        <f>Buckets_9_23[[#This Row],[Capacity]]-Buckets_9_23[[#This Row],[After T]]</f>
        <v>509.44</v>
      </c>
      <c r="O15" s="50">
        <f>IF(Buckets_9_23[[#This Row],[After T]]&lt;0, Buckets_9_23[[#This Row],[After T]], IF(Buckets_9_23[[#This Row],[Cap Diff]]&lt;0, -Buckets_9_23[[#This Row],[Cap Diff]], 0))</f>
        <v>0</v>
      </c>
      <c r="P15" s="50">
        <f>Buckets_9_23[[#This Row],[After T]]-Buckets_9_23[[#This Row],[Slush]]</f>
        <v>90.56</v>
      </c>
      <c r="Q15" s="50">
        <f>Buckets_9_23[[#This Row],[Capacity]]-Buckets_9_23[[#This Row],[Before Fill]]</f>
        <v>509.44</v>
      </c>
      <c r="R15" s="31" t="b">
        <f t="shared" si="0"/>
        <v>0</v>
      </c>
      <c r="S15" s="50">
        <f>IF(Buckets_9_23[[#This Row],[Is Crit]], Buckets_9_23[[#This Row],[S Cap Diff]], 0)</f>
        <v>0</v>
      </c>
      <c r="T15" s="50">
        <f>Buckets_9_23[[#This Row],[Before Fill]]+Buckets_9_23[[#This Row],[Crit To Fill]]</f>
        <v>90.56</v>
      </c>
      <c r="U15" s="50">
        <f>IF(NOT(Buckets_9_23[[#This Row],[Is Crit]]), Buckets_9_23[[#This Row],[S Cap Diff]], 0)</f>
        <v>509.44</v>
      </c>
      <c r="V15" s="50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A15" s="51">
        <f>IF(Buckets_9_23[[#This Row],[Capacity]]=0, 1, Buckets_9_23[[#This Row],[Final]]/Buckets_9_23[[#This Row],[Capacity]])</f>
        <v>0.89201666666666668</v>
      </c>
      <c r="AC15" s="31">
        <f>Buckets_9_23[[#This Row],[Final]]</f>
        <v>535.21</v>
      </c>
      <c r="AD15" s="31">
        <f>Buckets_9_23[[#This Row],[Capacity]]</f>
        <v>600</v>
      </c>
      <c r="AE15" t="b">
        <f>H15</f>
        <v>0</v>
      </c>
      <c r="AF15" s="43"/>
      <c r="AG15" s="42"/>
      <c r="AH15" s="43"/>
      <c r="AI15" s="42"/>
      <c r="AJ15" s="43"/>
      <c r="AK15" s="40">
        <f t="shared" si="11"/>
        <v>535.21</v>
      </c>
      <c r="AL15" s="40">
        <f t="shared" si="12"/>
        <v>600</v>
      </c>
      <c r="AM15" s="41" t="b">
        <f t="shared" si="1"/>
        <v>0</v>
      </c>
      <c r="AO15" s="29">
        <f t="shared" si="13"/>
        <v>535.21</v>
      </c>
      <c r="AP15" s="29">
        <f>GetTransactionTotal(AggregateTable2023[], AggregateTable2023[Start], AO$1, AggregateTable2023[#Headers], $D15)</f>
        <v>-218.93</v>
      </c>
      <c r="AQ15" s="29">
        <f>Buckets_10_23[[#This Row],[Start]]+Buckets_10_23[[#This Row],[Transactions]]</f>
        <v>316.28000000000003</v>
      </c>
      <c r="AR15" s="29">
        <f t="shared" si="14"/>
        <v>600</v>
      </c>
      <c r="AS15" s="29">
        <f>Buckets_10_23[[#This Row],[Capacity]]-Buckets_10_23[[#This Row],[After T]]</f>
        <v>283.71999999999997</v>
      </c>
      <c r="AT15" s="29">
        <f>MAX(-Buckets_10_23[[#This Row],[Cap Diff]], 0)</f>
        <v>0</v>
      </c>
      <c r="AU15" s="29">
        <f>Buckets_10_23[[#This Row],[After T]]-Buckets_10_23[[#This Row],[Slush]]</f>
        <v>316.28000000000003</v>
      </c>
      <c r="AV15" s="29">
        <f>Buckets_10_23[[#This Row],[Capacity]]-Buckets_10_23[[#This Row],[Before Fill]]</f>
        <v>283.71999999999997</v>
      </c>
      <c r="AW15" t="b">
        <f>OR(AM15, Buckets_10_23[[#This Row],[After T]]&lt;0)</f>
        <v>0</v>
      </c>
      <c r="AX15" s="29">
        <f>IF(Buckets_10_23[[#This Row],[Is Crit]], Buckets_10_23[[#This Row],[S Cap Diff]], 0)</f>
        <v>0</v>
      </c>
      <c r="AY15" s="29">
        <f>Buckets_10_23[[#This Row],[Before Fill]]+Buckets_10_23[[#This Row],[Crit To Fill]]</f>
        <v>316.28000000000003</v>
      </c>
      <c r="AZ15" s="29">
        <f>IF(NOT(Buckets_10_23[[#This Row],[Is Crit]]), Buckets_10_23[[#This Row],[S Cap Diff]], 0)</f>
        <v>283.71999999999997</v>
      </c>
      <c r="BA15" s="29">
        <f>ROUND(AY$41/Buckets_10_23[[#Totals],[NC To Fill]]*Buckets_10_23[[#This Row],[NC To Fill]], 2)</f>
        <v>168.52</v>
      </c>
      <c r="BB15" s="31">
        <f>Buckets_10_23[[#This Row],[Pre Scale]] + IF($D15="Unexpected Fund", AY31-Buckets_10_23[[#Totals],[Pre Scale]], 0)</f>
        <v>168.52</v>
      </c>
      <c r="BC15" s="31">
        <f>Buckets_10_23[[#This Row],[Crit Filled]]+Buckets_10_23[[#This Row],[Scaled]]</f>
        <v>484.80000000000007</v>
      </c>
      <c r="BD15" s="31">
        <f>Buckets_10_23[[#This Row],[NC Filled]]</f>
        <v>484.80000000000007</v>
      </c>
      <c r="BE15" s="31">
        <f>Buckets_10_23[[#This Row],[Capacity]]-Buckets_10_23[[#This Row],[Final]]</f>
        <v>115.19999999999993</v>
      </c>
      <c r="BF15" s="33">
        <f>IF(Buckets_10_23[[#This Row],[Capacity]]=0, 1, Buckets_10_23[[#This Row],[Final]]/Buckets_10_23[[#This Row],[Capacity]])</f>
        <v>0.80800000000000016</v>
      </c>
      <c r="BH15" s="31">
        <f>Buckets_10_23[[#This Row],[Final]]</f>
        <v>484.80000000000007</v>
      </c>
      <c r="BI15" s="31">
        <f>Buckets_10_23[[#This Row],[Capacity]]</f>
        <v>600</v>
      </c>
      <c r="BJ15" t="b">
        <f t="shared" si="15"/>
        <v>0</v>
      </c>
      <c r="BK15" s="43"/>
      <c r="BL15" s="42"/>
      <c r="BM15" s="43"/>
      <c r="BN15" s="42"/>
      <c r="BO15" s="43"/>
      <c r="BP15" s="40">
        <f t="shared" si="16"/>
        <v>484.80000000000007</v>
      </c>
      <c r="BQ15" s="40">
        <f t="shared" si="17"/>
        <v>600</v>
      </c>
      <c r="BR15" s="41" t="b">
        <f t="shared" si="2"/>
        <v>0</v>
      </c>
      <c r="BT15" s="29">
        <f t="shared" si="18"/>
        <v>484.80000000000007</v>
      </c>
      <c r="BU15" s="29">
        <f>GetTransactionTotal(AggregateTable2023[], AggregateTable2023[Start], BT$1, AggregateTable2023[#Headers], $D15)</f>
        <v>-252.23999999999998</v>
      </c>
      <c r="BV15" s="29">
        <f>Buckets_11_23[[#This Row],[Start]]+Buckets_11_23[[#This Row],[Transactions]]</f>
        <v>232.56000000000009</v>
      </c>
      <c r="BW15" s="29">
        <f t="shared" si="19"/>
        <v>600</v>
      </c>
      <c r="BX15" s="29">
        <f>Buckets_11_23[[#This Row],[Capacity]]-Buckets_11_23[[#This Row],[After T]]</f>
        <v>367.43999999999994</v>
      </c>
      <c r="BY15" s="29">
        <f>MAX(-Buckets_11_23[[#This Row],[Cap Diff]], 0)</f>
        <v>0</v>
      </c>
      <c r="BZ15" s="29">
        <f>Buckets_11_23[[#This Row],[After T]]-Buckets_11_23[[#This Row],[Slush]]</f>
        <v>232.56000000000009</v>
      </c>
      <c r="CA15" s="29">
        <f>Buckets_11_23[[#This Row],[Capacity]]-Buckets_11_23[[#This Row],[Before Fill]]</f>
        <v>367.43999999999994</v>
      </c>
      <c r="CB15" t="b">
        <f>OR(BR15, Buckets_11_23[[#This Row],[After T]]&lt;0)</f>
        <v>0</v>
      </c>
      <c r="CC15" s="29">
        <f>IF(Buckets_11_23[[#This Row],[Is Crit]], Buckets_11_23[[#This Row],[S Cap Diff]], 0)</f>
        <v>0</v>
      </c>
      <c r="CD15" s="29">
        <f>Buckets_11_23[[#This Row],[Before Fill]]+Buckets_11_23[[#This Row],[Crit To Fill]]</f>
        <v>232.56000000000009</v>
      </c>
      <c r="CE15" s="29">
        <f>IF(NOT(Buckets_11_23[[#This Row],[Is Crit]]), Buckets_11_23[[#This Row],[S Cap Diff]], 0)</f>
        <v>367.43999999999994</v>
      </c>
      <c r="CF15" s="29">
        <f>ROUND(CD$41/Buckets_11_23[[#Totals],[NC To Fill]]*Buckets_11_23[[#This Row],[NC To Fill]], 2)</f>
        <v>362.37</v>
      </c>
      <c r="CG15" s="31">
        <f>Buckets_11_23[[#This Row],[Pre Scale]] + IF($D15="Unexpected Fund", CD31-Buckets_11_23[[#Totals],[Pre Scale]], 0)</f>
        <v>362.37</v>
      </c>
      <c r="CH15" s="31">
        <f>Buckets_11_23[[#This Row],[Crit Filled]]+Buckets_11_23[[#This Row],[Scaled]]</f>
        <v>594.93000000000006</v>
      </c>
      <c r="CI15" s="31">
        <f>Buckets_11_23[[#This Row],[NC Filled]]</f>
        <v>594.93000000000006</v>
      </c>
      <c r="CJ15" s="31">
        <f>Buckets_11_23[[#This Row],[Capacity]]-Buckets_11_23[[#This Row],[Final]]</f>
        <v>5.0699999999999363</v>
      </c>
      <c r="CK15" s="33">
        <f>IF(Buckets_11_23[[#This Row],[Capacity]]=0, 1, Buckets_11_23[[#This Row],[Final]]/Buckets_11_23[[#This Row],[Capacity]])</f>
        <v>0.99155000000000015</v>
      </c>
      <c r="CM15" s="40">
        <f>Buckets_11_23[[#This Row],[Final]]</f>
        <v>594.93000000000006</v>
      </c>
      <c r="CN15" s="40">
        <f>Buckets_11_23[[#This Row],[Capacity]]</f>
        <v>600</v>
      </c>
      <c r="CO15" s="41" t="b">
        <f t="shared" si="20"/>
        <v>0</v>
      </c>
      <c r="CP15" s="42">
        <v>-300</v>
      </c>
      <c r="CQ15" s="42"/>
      <c r="CR15" s="42"/>
      <c r="CS15" s="42"/>
      <c r="CT15" s="43" t="b">
        <v>1</v>
      </c>
      <c r="CU15" s="40">
        <f t="shared" si="21"/>
        <v>294.93000000000006</v>
      </c>
      <c r="CV15" s="40">
        <f t="shared" si="22"/>
        <v>600</v>
      </c>
      <c r="CW15" s="41" t="b">
        <f t="shared" si="3"/>
        <v>1</v>
      </c>
      <c r="CY15" s="29">
        <f t="shared" si="23"/>
        <v>294.93000000000006</v>
      </c>
      <c r="CZ15" s="29">
        <f>GetTransactionTotal(AggregateTable2023[], AggregateTable2023[Start], CY$1, AggregateTable2023[#Headers], $D15)</f>
        <v>-209.10999999999999</v>
      </c>
      <c r="DA15" s="29">
        <f>Buckets_12_23[[#This Row],[Start]]+Buckets_12_23[[#This Row],[Transactions]]</f>
        <v>85.820000000000078</v>
      </c>
      <c r="DB15" s="29">
        <f t="shared" si="24"/>
        <v>600</v>
      </c>
      <c r="DC15" s="29">
        <f>Buckets_12_23[[#This Row],[Capacity]]-Buckets_12_23[[#This Row],[After T]]</f>
        <v>514.17999999999995</v>
      </c>
      <c r="DD15" s="29">
        <f>MAX(-Buckets_12_23[[#This Row],[Cap Diff]], 0)</f>
        <v>0</v>
      </c>
      <c r="DE15" s="29">
        <f>Buckets_12_23[[#This Row],[After T]]-Buckets_12_23[[#This Row],[Slush]]</f>
        <v>85.820000000000078</v>
      </c>
      <c r="DF15" s="29">
        <f>Buckets_12_23[[#This Row],[Capacity]]-Buckets_12_23[[#This Row],[Before Fill]]</f>
        <v>514.17999999999995</v>
      </c>
      <c r="DG15" t="b">
        <f>OR(CW15, Buckets_12_23[[#This Row],[After T]]&lt;0)</f>
        <v>1</v>
      </c>
      <c r="DH15" s="29">
        <f>IF(Buckets_12_23[[#This Row],[Is Crit]], Buckets_12_23[[#This Row],[S Cap Diff]], 0)</f>
        <v>514.17999999999995</v>
      </c>
      <c r="DI15" s="29">
        <f>Buckets_12_23[[#This Row],[Before Fill]]+Buckets_12_23[[#This Row],[Crit To Fill]]</f>
        <v>600</v>
      </c>
      <c r="DJ15" s="29">
        <f>IF(NOT(Buckets_12_23[[#This Row],[Is Crit]]), Buckets_12_23[[#This Row],[S Cap Diff]], 0)</f>
        <v>0</v>
      </c>
      <c r="DK15" s="29">
        <f>ROUND(DI$41/Buckets_12_23[[#Totals],[NC To Fill]]*Buckets_12_23[[#This Row],[NC To Fill]], 2)</f>
        <v>0</v>
      </c>
      <c r="DL15" s="31">
        <f>Buckets_12_23[[#This Row],[Pre Scale]] + IF($D15="Unexpected Fund", DI31-Buckets_12_23[[#Totals],[Pre Scale]], 0)</f>
        <v>0</v>
      </c>
      <c r="DM15" s="31">
        <f>Buckets_12_23[[#This Row],[Crit Filled]]+Buckets_12_23[[#This Row],[Scaled]]</f>
        <v>600</v>
      </c>
      <c r="DN15" s="31">
        <f>Buckets_12_23[[#This Row],[NC Filled]]</f>
        <v>600</v>
      </c>
      <c r="DO15" s="31">
        <f>Buckets_12_23[[#This Row],[Capacity]]-Buckets_12_23[[#This Row],[Final]]</f>
        <v>0</v>
      </c>
      <c r="DP15" s="33">
        <f>IF(Buckets_12_23[[#This Row],[Capacity]]=0, 1, Buckets_12_23[[#This Row],[Final]]/Buckets_12_23[[#This Row],[Capacity]])</f>
        <v>1</v>
      </c>
      <c r="DR15" s="40">
        <f>Buckets_12_23[[#This Row],[Final]]</f>
        <v>600</v>
      </c>
      <c r="DS15" s="40">
        <f>Buckets_12_23[[#This Row],[Capacity]]</f>
        <v>600</v>
      </c>
      <c r="DT15" s="41" t="b">
        <f t="shared" si="25"/>
        <v>1</v>
      </c>
      <c r="DU15" s="42"/>
      <c r="DV15" s="42"/>
      <c r="DW15" s="42"/>
      <c r="DX15" s="42"/>
      <c r="DY15" s="43"/>
      <c r="DZ15" s="40">
        <f t="shared" si="26"/>
        <v>600</v>
      </c>
      <c r="EA15" s="40">
        <f t="shared" si="27"/>
        <v>600</v>
      </c>
      <c r="EB15" s="41" t="b">
        <f t="shared" si="4"/>
        <v>1</v>
      </c>
      <c r="ED15" s="29">
        <f t="shared" si="28"/>
        <v>600</v>
      </c>
      <c r="EE15" s="29">
        <f>GetTransactionTotal(AggregateTable2024[], AggregateTable2024[Start], ED$1, AggregateTable2024[#Headers], $D15)</f>
        <v>-322.66999999999996</v>
      </c>
      <c r="EF15" s="29">
        <f>Buckets_1_24[[#This Row],[Start]]+Buckets_1_24[[#This Row],[Transactions]]</f>
        <v>277.33000000000004</v>
      </c>
      <c r="EG15" s="29">
        <f t="shared" si="29"/>
        <v>600</v>
      </c>
      <c r="EH15" s="29">
        <f>Buckets_1_24[[#This Row],[Capacity]]-Buckets_1_24[[#This Row],[After T]]</f>
        <v>322.66999999999996</v>
      </c>
      <c r="EI15" s="29">
        <f>MAX(-Buckets_1_24[[#This Row],[Cap Diff]], 0)</f>
        <v>0</v>
      </c>
      <c r="EJ15" s="29">
        <f>Buckets_1_24[[#This Row],[After T]]-Buckets_1_24[[#This Row],[Slush]]</f>
        <v>277.33000000000004</v>
      </c>
      <c r="EK15" s="29">
        <f>Buckets_1_24[[#This Row],[Capacity]]-Buckets_1_24[[#This Row],[Before Fill]]</f>
        <v>322.66999999999996</v>
      </c>
      <c r="EL15" t="b">
        <f>OR(EB15, Buckets_1_24[[#This Row],[After T]]&lt;0)</f>
        <v>1</v>
      </c>
      <c r="EM15" s="29">
        <f>IF(Buckets_1_24[[#This Row],[Is Crit]], Buckets_1_24[[#This Row],[S Cap Diff]], 0)</f>
        <v>322.66999999999996</v>
      </c>
      <c r="EN15" s="29">
        <f>Buckets_1_24[[#This Row],[Before Fill]]+Buckets_1_24[[#This Row],[Crit To Fill]]</f>
        <v>600</v>
      </c>
      <c r="EO15" s="29">
        <f>IF(NOT(Buckets_1_24[[#This Row],[Is Crit]]), Buckets_1_24[[#This Row],[S Cap Diff]], 0)</f>
        <v>0</v>
      </c>
      <c r="EP15" s="29">
        <f>ROUND(EN$41/Buckets_1_24[[#Totals],[NC To Fill]]*Buckets_1_24[[#This Row],[NC To Fill]], 2)</f>
        <v>0</v>
      </c>
      <c r="EQ15" s="31">
        <f>Buckets_1_24[[#This Row],[Pre Scale]] + IF($D15="Unexpected Fund", EN31-Buckets_1_24[[#Totals],[Pre Scale]], 0)</f>
        <v>0</v>
      </c>
      <c r="ER15" s="31">
        <f>Buckets_1_24[[#This Row],[Crit Filled]]+Buckets_1_24[[#This Row],[Scaled]]</f>
        <v>600</v>
      </c>
      <c r="ES15" s="31">
        <f>Buckets_1_24[[#This Row],[NC Filled]]</f>
        <v>600</v>
      </c>
      <c r="ET15" s="31">
        <f>Buckets_1_24[[#This Row],[Capacity]]-Buckets_1_24[[#This Row],[Final]]</f>
        <v>0</v>
      </c>
      <c r="EU15" s="33">
        <f>IF(Buckets_1_24[[#This Row],[Capacity]]=0, 1, Buckets_1_24[[#This Row],[Final]]/Buckets_1_24[[#This Row],[Capacity]])</f>
        <v>1</v>
      </c>
      <c r="EW15" s="40">
        <f>Buckets_1_24[[#This Row],[Final]]</f>
        <v>600</v>
      </c>
      <c r="EX15" s="40">
        <f>Buckets_1_24[[#This Row],[Capacity]]</f>
        <v>600</v>
      </c>
      <c r="EY15" s="41" t="b">
        <f t="shared" si="30"/>
        <v>1</v>
      </c>
      <c r="EZ15" s="42"/>
      <c r="FA15" s="42"/>
      <c r="FB15" s="42"/>
      <c r="FC15" s="42"/>
      <c r="FD15" s="43"/>
      <c r="FE15" s="40">
        <f t="shared" si="31"/>
        <v>600</v>
      </c>
      <c r="FF15" s="40">
        <f t="shared" si="32"/>
        <v>600</v>
      </c>
      <c r="FG15" s="41" t="b">
        <f t="shared" si="5"/>
        <v>1</v>
      </c>
      <c r="FI15" s="29">
        <f t="shared" si="33"/>
        <v>600</v>
      </c>
      <c r="FJ15" s="29">
        <f>GetTransactionTotal(AggregateTable2024[], AggregateTable2024[Start], FI$1, AggregateTable2024[#Headers], $D15)</f>
        <v>-288.81</v>
      </c>
      <c r="FK15" s="29">
        <f>Buckets_2_24[[#This Row],[Start]]+Buckets_2_24[[#This Row],[Transactions]]</f>
        <v>311.19</v>
      </c>
      <c r="FL15" s="29">
        <f t="shared" si="34"/>
        <v>600</v>
      </c>
      <c r="FM15" s="29">
        <f>Buckets_2_24[[#This Row],[Capacity]]-Buckets_2_24[[#This Row],[After T]]</f>
        <v>288.81</v>
      </c>
      <c r="FN15" s="29">
        <f>MAX(-Buckets_2_24[[#This Row],[Cap Diff]], 0)</f>
        <v>0</v>
      </c>
      <c r="FO15" s="29">
        <f>Buckets_2_24[[#This Row],[After T]]-Buckets_2_24[[#This Row],[Slush]]</f>
        <v>311.19</v>
      </c>
      <c r="FP15" s="29">
        <f>Buckets_2_24[[#This Row],[Capacity]]-Buckets_2_24[[#This Row],[Before Fill]]</f>
        <v>288.81</v>
      </c>
      <c r="FQ15" t="b">
        <f>OR(FG15, Buckets_2_24[[#This Row],[After T]]&lt;0)</f>
        <v>1</v>
      </c>
      <c r="FR15" s="29">
        <f>IF(Buckets_2_24[[#This Row],[Is Crit]], Buckets_2_24[[#This Row],[S Cap Diff]], 0)</f>
        <v>288.81</v>
      </c>
      <c r="FS15" s="29">
        <f>Buckets_2_24[[#This Row],[Before Fill]]+Buckets_2_24[[#This Row],[Crit To Fill]]</f>
        <v>600</v>
      </c>
      <c r="FT15" s="29">
        <f>IF(NOT(Buckets_2_24[[#This Row],[Is Crit]]), Buckets_2_24[[#This Row],[S Cap Diff]], 0)</f>
        <v>0</v>
      </c>
      <c r="FU15" s="29">
        <f>ROUND(FS$41/Buckets_2_24[[#Totals],[NC To Fill]]*Buckets_2_24[[#This Row],[NC To Fill]], 2)</f>
        <v>0</v>
      </c>
      <c r="FV15" s="31">
        <f>Buckets_2_24[[#This Row],[Pre Scale]] + IF($D15="Unexpected Fund", FS31-Buckets_2_24[[#Totals],[Pre Scale]], 0)</f>
        <v>0</v>
      </c>
      <c r="FW15" s="31">
        <f>Buckets_2_24[[#This Row],[Crit Filled]]+Buckets_2_24[[#This Row],[Scaled]]</f>
        <v>600</v>
      </c>
      <c r="FX15" s="31">
        <f>Buckets_2_24[[#This Row],[NC Filled]]</f>
        <v>600</v>
      </c>
      <c r="FY15" s="31">
        <f>Buckets_2_24[[#This Row],[Capacity]]-Buckets_2_24[[#This Row],[Final]]</f>
        <v>0</v>
      </c>
      <c r="FZ15" s="33">
        <f>IF(Buckets_2_24[[#This Row],[Capacity]]=0, 1, Buckets_2_24[[#This Row],[Final]]/Buckets_2_24[[#This Row],[Capacity]])</f>
        <v>1</v>
      </c>
      <c r="GB15" s="40">
        <f>Buckets_2_24[[#This Row],[Final]]</f>
        <v>600</v>
      </c>
      <c r="GC15" s="40">
        <f>Buckets_2_24[[#This Row],[Capacity]]</f>
        <v>600</v>
      </c>
      <c r="GD15" s="41" t="b">
        <f t="shared" si="35"/>
        <v>1</v>
      </c>
      <c r="GE15" s="42"/>
      <c r="GF15" s="42"/>
      <c r="GG15" s="42"/>
      <c r="GH15" s="42"/>
      <c r="GI15" s="43"/>
      <c r="GJ15" s="40">
        <f t="shared" si="36"/>
        <v>600</v>
      </c>
      <c r="GK15" s="40">
        <f t="shared" si="37"/>
        <v>600</v>
      </c>
      <c r="GL15" s="41" t="b">
        <f t="shared" si="6"/>
        <v>1</v>
      </c>
      <c r="GN15" s="29">
        <f t="shared" si="38"/>
        <v>600</v>
      </c>
      <c r="GO15" s="29">
        <f>GetTransactionTotal(AggregateTable2024[], AggregateTable2024[Start], GN$1, AggregateTable2024[#Headers], $D15)</f>
        <v>-257.33</v>
      </c>
      <c r="GP15" s="29">
        <f>Buckets_3_24[[#This Row],[Start]]+Buckets_3_24[[#This Row],[Transactions]]</f>
        <v>342.67</v>
      </c>
      <c r="GQ15" s="29">
        <f t="shared" si="39"/>
        <v>600</v>
      </c>
      <c r="GR15" s="29">
        <f>Buckets_3_24[[#This Row],[Capacity]]-Buckets_3_24[[#This Row],[After T]]</f>
        <v>257.33</v>
      </c>
      <c r="GS15" s="29">
        <f>MAX(-Buckets_3_24[[#This Row],[Cap Diff]], 0)</f>
        <v>0</v>
      </c>
      <c r="GT15" s="29">
        <f>Buckets_3_24[[#This Row],[After T]]-Buckets_3_24[[#This Row],[Slush]]</f>
        <v>342.67</v>
      </c>
      <c r="GU15" s="29">
        <f>Buckets_3_24[[#This Row],[Capacity]]-Buckets_3_24[[#This Row],[Before Fill]]</f>
        <v>257.33</v>
      </c>
      <c r="GV15" t="b">
        <f>OR(GL15, Buckets_3_24[[#This Row],[After T]]&lt;0)</f>
        <v>1</v>
      </c>
      <c r="GW15" s="29">
        <f>IF(Buckets_3_24[[#This Row],[Is Crit]], Buckets_3_24[[#This Row],[S Cap Diff]], 0)</f>
        <v>257.33</v>
      </c>
      <c r="GX15" s="29">
        <f>Buckets_3_24[[#This Row],[Before Fill]]+Buckets_3_24[[#This Row],[Crit To Fill]]</f>
        <v>600</v>
      </c>
      <c r="GY15" s="29">
        <f>IF(NOT(Buckets_3_24[[#This Row],[Is Crit]]), Buckets_3_24[[#This Row],[S Cap Diff]], 0)</f>
        <v>0</v>
      </c>
      <c r="GZ15" s="29">
        <f>ROUND(GX$41/Buckets_3_24[[#Totals],[NC To Fill]]*Buckets_3_24[[#This Row],[NC To Fill]], 2)</f>
        <v>0</v>
      </c>
      <c r="HA15" s="31">
        <f>Buckets_3_24[[#This Row],[Pre Scale]] + IF($D15="Unexpected Fund", GX31-Buckets_3_24[[#Totals],[Pre Scale]], 0)</f>
        <v>0</v>
      </c>
      <c r="HB15" s="31">
        <f>Buckets_3_24[[#This Row],[Crit Filled]]+Buckets_3_24[[#This Row],[Scaled]]</f>
        <v>600</v>
      </c>
      <c r="HC15" s="31">
        <f>Buckets_3_24[[#This Row],[NC Filled]]</f>
        <v>600</v>
      </c>
      <c r="HD15" s="31">
        <f>Buckets_3_24[[#This Row],[Capacity]]-Buckets_3_24[[#This Row],[Final]]</f>
        <v>0</v>
      </c>
      <c r="HE15" s="33">
        <f>IF(Buckets_3_24[[#This Row],[Capacity]]=0, 1, Buckets_3_24[[#This Row],[Final]]/Buckets_3_24[[#This Row],[Capacity]])</f>
        <v>1</v>
      </c>
      <c r="HG15" s="40">
        <f>Buckets_3_24[[#This Row],[Final]]</f>
        <v>600</v>
      </c>
      <c r="HH15" s="40">
        <f>Buckets_3_24[[#This Row],[Capacity]]</f>
        <v>600</v>
      </c>
      <c r="HI15" s="41" t="b">
        <f t="shared" si="40"/>
        <v>1</v>
      </c>
      <c r="HJ15" s="42"/>
      <c r="HK15" s="42"/>
      <c r="HL15" s="42"/>
      <c r="HM15" s="42"/>
      <c r="HN15" s="43"/>
      <c r="HO15" s="40">
        <f t="shared" si="41"/>
        <v>600</v>
      </c>
      <c r="HP15" s="40">
        <f t="shared" si="42"/>
        <v>600</v>
      </c>
      <c r="HQ15" s="41" t="b">
        <f t="shared" si="7"/>
        <v>1</v>
      </c>
      <c r="HS15" s="29">
        <f t="shared" si="43"/>
        <v>600</v>
      </c>
      <c r="HT15" s="29">
        <f>GetTransactionTotal(AggregateTable2024[], AggregateTable2024[Start], HS$1, AggregateTable2024[#Headers], $D15)</f>
        <v>-400.66</v>
      </c>
      <c r="HU15" s="29">
        <f>Buckets_4_24[[#This Row],[Start]]+Buckets_4_24[[#This Row],[Transactions]]</f>
        <v>199.33999999999997</v>
      </c>
      <c r="HV15" s="29">
        <f t="shared" si="44"/>
        <v>600</v>
      </c>
      <c r="HW15" s="29">
        <f>Buckets_4_24[[#This Row],[Capacity]]-Buckets_4_24[[#This Row],[After T]]</f>
        <v>400.66</v>
      </c>
      <c r="HX15" s="29">
        <f>MAX(-Buckets_4_24[[#This Row],[Cap Diff]], 0)</f>
        <v>0</v>
      </c>
      <c r="HY15" s="29">
        <f>Buckets_4_24[[#This Row],[After T]]-Buckets_4_24[[#This Row],[Slush]]</f>
        <v>199.33999999999997</v>
      </c>
      <c r="HZ15" s="29">
        <f>Buckets_4_24[[#This Row],[Capacity]]-Buckets_4_24[[#This Row],[Before Fill]]</f>
        <v>400.66</v>
      </c>
      <c r="IA15" t="b">
        <f>OR(HQ15, Buckets_4_24[[#This Row],[After T]]&lt;0)</f>
        <v>1</v>
      </c>
      <c r="IB15" s="29">
        <f>IF(Buckets_4_24[[#This Row],[Is Crit]], Buckets_4_24[[#This Row],[S Cap Diff]], 0)</f>
        <v>400.66</v>
      </c>
      <c r="IC15" s="29">
        <f>Buckets_4_24[[#This Row],[Before Fill]]+Buckets_4_24[[#This Row],[Crit To Fill]]</f>
        <v>600</v>
      </c>
      <c r="ID15" s="29">
        <f>IF(NOT(Buckets_4_24[[#This Row],[Is Crit]]), Buckets_4_24[[#This Row],[S Cap Diff]], 0)</f>
        <v>0</v>
      </c>
      <c r="IE15" s="29">
        <f>ROUND(IC$41/Buckets_4_24[[#Totals],[NC To Fill]]*Buckets_4_24[[#This Row],[NC To Fill]], 2)</f>
        <v>0</v>
      </c>
      <c r="IF15" s="31">
        <f>Buckets_4_24[[#This Row],[Pre Scale]] + IF($D15="Unexpected Fund", IC31-Buckets_4_24[[#Totals],[Pre Scale]], 0)</f>
        <v>0</v>
      </c>
      <c r="IG15" s="31">
        <f>Buckets_4_24[[#This Row],[Crit Filled]]+Buckets_4_24[[#This Row],[Scaled]]</f>
        <v>600</v>
      </c>
      <c r="IH15" s="31">
        <f>Buckets_4_24[[#This Row],[NC Filled]]</f>
        <v>600</v>
      </c>
      <c r="II15" s="31">
        <f>Buckets_4_24[[#This Row],[Capacity]]-Buckets_4_24[[#This Row],[Final]]</f>
        <v>0</v>
      </c>
      <c r="IJ15" s="33">
        <f>IF(Buckets_4_24[[#This Row],[Capacity]]=0, 1, Buckets_4_24[[#This Row],[Final]]/Buckets_4_24[[#This Row],[Capacity]])</f>
        <v>1</v>
      </c>
      <c r="IL15" s="40">
        <f>Buckets_4_24[[#This Row],[Final]]</f>
        <v>600</v>
      </c>
      <c r="IM15" s="40">
        <f>Buckets_4_24[[#This Row],[Capacity]]</f>
        <v>600</v>
      </c>
      <c r="IN15" s="41" t="b">
        <f t="shared" si="45"/>
        <v>1</v>
      </c>
      <c r="IO15" s="42"/>
      <c r="IP15" s="42"/>
      <c r="IQ15" s="42"/>
      <c r="IR15" s="42"/>
      <c r="IS15" s="43"/>
      <c r="IT15" s="40">
        <f t="shared" si="46"/>
        <v>600</v>
      </c>
      <c r="IU15" s="40">
        <f t="shared" si="47"/>
        <v>600</v>
      </c>
      <c r="IV15" s="41" t="b">
        <f t="shared" si="8"/>
        <v>1</v>
      </c>
    </row>
    <row r="16" spans="1:256" x14ac:dyDescent="0.25">
      <c r="A16" s="49"/>
      <c r="B16" t="s">
        <v>323</v>
      </c>
      <c r="C16" t="s">
        <v>329</v>
      </c>
      <c r="D16" t="s">
        <v>292</v>
      </c>
      <c r="F16" s="30">
        <v>200</v>
      </c>
      <c r="G16" s="38">
        <v>600</v>
      </c>
      <c r="H16" t="b">
        <v>0</v>
      </c>
      <c r="J16" s="50">
        <f t="shared" si="9"/>
        <v>200</v>
      </c>
      <c r="K16" s="50">
        <f>GetTransactionTotal(AggregateTable2023[], AggregateTable2023[Start], J$1, AggregateTable2023[#Headers], $D16)</f>
        <v>-116.61</v>
      </c>
      <c r="L16" s="50">
        <f>Buckets_9_23[[#This Row],[Start]]+Buckets_9_23[[#This Row],[Transactions]]</f>
        <v>83.39</v>
      </c>
      <c r="M16" s="50">
        <f t="shared" si="10"/>
        <v>600</v>
      </c>
      <c r="N16" s="50">
        <f>Buckets_9_23[[#This Row],[Capacity]]-Buckets_9_23[[#This Row],[After T]]</f>
        <v>516.61</v>
      </c>
      <c r="O16" s="50">
        <f>IF(Buckets_9_23[[#This Row],[After T]]&lt;0, Buckets_9_23[[#This Row],[After T]], IF(Buckets_9_23[[#This Row],[Cap Diff]]&lt;0, -Buckets_9_23[[#This Row],[Cap Diff]], 0))</f>
        <v>0</v>
      </c>
      <c r="P16" s="50">
        <f>Buckets_9_23[[#This Row],[After T]]-Buckets_9_23[[#This Row],[Slush]]</f>
        <v>83.39</v>
      </c>
      <c r="Q16" s="50">
        <f>Buckets_9_23[[#This Row],[Capacity]]-Buckets_9_23[[#This Row],[Before Fill]]</f>
        <v>516.61</v>
      </c>
      <c r="R16" s="31" t="b">
        <f t="shared" si="0"/>
        <v>0</v>
      </c>
      <c r="S16" s="50">
        <f>IF(Buckets_9_23[[#This Row],[Is Crit]], Buckets_9_23[[#This Row],[S Cap Diff]], 0)</f>
        <v>0</v>
      </c>
      <c r="T16" s="50">
        <f>Buckets_9_23[[#This Row],[Before Fill]]+Buckets_9_23[[#This Row],[Crit To Fill]]</f>
        <v>83.39</v>
      </c>
      <c r="U16" s="50">
        <f>IF(NOT(Buckets_9_23[[#This Row],[Is Crit]]), Buckets_9_23[[#This Row],[S Cap Diff]], 0)</f>
        <v>516.61</v>
      </c>
      <c r="V16" s="50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A16" s="51">
        <f>IF(Buckets_9_23[[#This Row],[Capacity]]=0, 1, Buckets_9_23[[#This Row],[Final]]/Buckets_9_23[[#This Row],[Capacity]])</f>
        <v>0.89050000000000007</v>
      </c>
      <c r="AC16" s="31">
        <f>Buckets_9_23[[#This Row],[Final]]</f>
        <v>534.30000000000007</v>
      </c>
      <c r="AD16" s="31">
        <f>Buckets_9_23[[#This Row],[Capacity]]</f>
        <v>600</v>
      </c>
      <c r="AE16" t="b">
        <f>H16</f>
        <v>0</v>
      </c>
      <c r="AF16" s="43"/>
      <c r="AG16" s="42"/>
      <c r="AH16" s="43"/>
      <c r="AI16" s="42"/>
      <c r="AJ16" s="43"/>
      <c r="AK16" s="40">
        <f t="shared" si="11"/>
        <v>534.30000000000007</v>
      </c>
      <c r="AL16" s="40">
        <f t="shared" si="12"/>
        <v>600</v>
      </c>
      <c r="AM16" s="41" t="b">
        <f t="shared" si="1"/>
        <v>0</v>
      </c>
      <c r="AO16" s="29">
        <f t="shared" si="13"/>
        <v>534.30000000000007</v>
      </c>
      <c r="AP16" s="29">
        <f>GetTransactionTotal(AggregateTable2023[], AggregateTable2023[Start], AO$1, AggregateTable2023[#Headers], $D16)</f>
        <v>-451.46999999999991</v>
      </c>
      <c r="AQ16" s="29">
        <f>Buckets_10_23[[#This Row],[Start]]+Buckets_10_23[[#This Row],[Transactions]]</f>
        <v>82.830000000000155</v>
      </c>
      <c r="AR16" s="29">
        <f t="shared" si="14"/>
        <v>600</v>
      </c>
      <c r="AS16" s="29">
        <f>Buckets_10_23[[#This Row],[Capacity]]-Buckets_10_23[[#This Row],[After T]]</f>
        <v>517.16999999999985</v>
      </c>
      <c r="AT16" s="29">
        <f>MAX(-Buckets_10_23[[#This Row],[Cap Diff]], 0)</f>
        <v>0</v>
      </c>
      <c r="AU16" s="29">
        <f>Buckets_10_23[[#This Row],[After T]]-Buckets_10_23[[#This Row],[Slush]]</f>
        <v>82.830000000000155</v>
      </c>
      <c r="AV16" s="29">
        <f>Buckets_10_23[[#This Row],[Capacity]]-Buckets_10_23[[#This Row],[Before Fill]]</f>
        <v>517.16999999999985</v>
      </c>
      <c r="AW16" t="b">
        <f>OR(AM16, Buckets_10_23[[#This Row],[After T]]&lt;0)</f>
        <v>0</v>
      </c>
      <c r="AX16" s="29">
        <f>IF(Buckets_10_23[[#This Row],[Is Crit]], Buckets_10_23[[#This Row],[S Cap Diff]], 0)</f>
        <v>0</v>
      </c>
      <c r="AY16" s="29">
        <f>Buckets_10_23[[#This Row],[Before Fill]]+Buckets_10_23[[#This Row],[Crit To Fill]]</f>
        <v>82.830000000000155</v>
      </c>
      <c r="AZ16" s="29">
        <f>IF(NOT(Buckets_10_23[[#This Row],[Is Crit]]), Buckets_10_23[[#This Row],[S Cap Diff]], 0)</f>
        <v>517.16999999999985</v>
      </c>
      <c r="BA16" s="29">
        <f>ROUND(AY$41/Buckets_10_23[[#Totals],[NC To Fill]]*Buckets_10_23[[#This Row],[NC To Fill]], 2)</f>
        <v>307.18</v>
      </c>
      <c r="BB16" s="31">
        <f>Buckets_10_23[[#This Row],[Pre Scale]] + IF($D16="Unexpected Fund", AY32-Buckets_10_23[[#Totals],[Pre Scale]], 0)</f>
        <v>307.18</v>
      </c>
      <c r="BC16" s="31">
        <f>Buckets_10_23[[#This Row],[Crit Filled]]+Buckets_10_23[[#This Row],[Scaled]]</f>
        <v>390.01000000000016</v>
      </c>
      <c r="BD16" s="31">
        <f>Buckets_10_23[[#This Row],[NC Filled]]</f>
        <v>390.01000000000016</v>
      </c>
      <c r="BE16" s="31">
        <f>Buckets_10_23[[#This Row],[Capacity]]-Buckets_10_23[[#This Row],[Final]]</f>
        <v>209.98999999999984</v>
      </c>
      <c r="BF16" s="33">
        <f>IF(Buckets_10_23[[#This Row],[Capacity]]=0, 1, Buckets_10_23[[#This Row],[Final]]/Buckets_10_23[[#This Row],[Capacity]])</f>
        <v>0.65001666666666691</v>
      </c>
      <c r="BH16" s="31">
        <f>Buckets_10_23[[#This Row],[Final]]</f>
        <v>390.01000000000016</v>
      </c>
      <c r="BI16" s="31">
        <f>Buckets_10_23[[#This Row],[Capacity]]</f>
        <v>600</v>
      </c>
      <c r="BJ16" t="b">
        <f t="shared" si="15"/>
        <v>0</v>
      </c>
      <c r="BK16" s="43"/>
      <c r="BL16" s="42"/>
      <c r="BM16" s="43"/>
      <c r="BN16" s="42"/>
      <c r="BO16" s="43"/>
      <c r="BP16" s="40">
        <f t="shared" si="16"/>
        <v>390.01000000000016</v>
      </c>
      <c r="BQ16" s="40">
        <f t="shared" si="17"/>
        <v>600</v>
      </c>
      <c r="BR16" s="41" t="b">
        <f t="shared" si="2"/>
        <v>0</v>
      </c>
      <c r="BT16" s="29">
        <f t="shared" si="18"/>
        <v>390.01000000000016</v>
      </c>
      <c r="BU16" s="29">
        <f>GetTransactionTotal(AggregateTable2023[], AggregateTable2023[Start], BT$1, AggregateTable2023[#Headers], $D16)</f>
        <v>-199.37000000000003</v>
      </c>
      <c r="BV16" s="29">
        <f>Buckets_11_23[[#This Row],[Start]]+Buckets_11_23[[#This Row],[Transactions]]</f>
        <v>190.64000000000013</v>
      </c>
      <c r="BW16" s="29">
        <f t="shared" si="19"/>
        <v>600</v>
      </c>
      <c r="BX16" s="29">
        <f>Buckets_11_23[[#This Row],[Capacity]]-Buckets_11_23[[#This Row],[After T]]</f>
        <v>409.3599999999999</v>
      </c>
      <c r="BY16" s="29">
        <f>MAX(-Buckets_11_23[[#This Row],[Cap Diff]], 0)</f>
        <v>0</v>
      </c>
      <c r="BZ16" s="29">
        <f>Buckets_11_23[[#This Row],[After T]]-Buckets_11_23[[#This Row],[Slush]]</f>
        <v>190.64000000000013</v>
      </c>
      <c r="CA16" s="29">
        <f>Buckets_11_23[[#This Row],[Capacity]]-Buckets_11_23[[#This Row],[Before Fill]]</f>
        <v>409.3599999999999</v>
      </c>
      <c r="CB16" t="b">
        <f>OR(BR16, Buckets_11_23[[#This Row],[After T]]&lt;0)</f>
        <v>0</v>
      </c>
      <c r="CC16" s="29">
        <f>IF(Buckets_11_23[[#This Row],[Is Crit]], Buckets_11_23[[#This Row],[S Cap Diff]], 0)</f>
        <v>0</v>
      </c>
      <c r="CD16" s="29">
        <f>Buckets_11_23[[#This Row],[Before Fill]]+Buckets_11_23[[#This Row],[Crit To Fill]]</f>
        <v>190.64000000000013</v>
      </c>
      <c r="CE16" s="29">
        <f>IF(NOT(Buckets_11_23[[#This Row],[Is Crit]]), Buckets_11_23[[#This Row],[S Cap Diff]], 0)</f>
        <v>409.3599999999999</v>
      </c>
      <c r="CF16" s="29">
        <f>ROUND(CD$41/Buckets_11_23[[#Totals],[NC To Fill]]*Buckets_11_23[[#This Row],[NC To Fill]], 2)</f>
        <v>403.71</v>
      </c>
      <c r="CG16" s="31">
        <f>Buckets_11_23[[#This Row],[Pre Scale]] + IF($D16="Unexpected Fund", CD32-Buckets_11_23[[#Totals],[Pre Scale]], 0)</f>
        <v>403.71</v>
      </c>
      <c r="CH16" s="31">
        <f>Buckets_11_23[[#This Row],[Crit Filled]]+Buckets_11_23[[#This Row],[Scaled]]</f>
        <v>594.35000000000014</v>
      </c>
      <c r="CI16" s="31">
        <f>Buckets_11_23[[#This Row],[NC Filled]]</f>
        <v>594.35000000000014</v>
      </c>
      <c r="CJ16" s="31">
        <f>Buckets_11_23[[#This Row],[Capacity]]-Buckets_11_23[[#This Row],[Final]]</f>
        <v>5.6499999999998636</v>
      </c>
      <c r="CK16" s="33">
        <f>IF(Buckets_11_23[[#This Row],[Capacity]]=0, 1, Buckets_11_23[[#This Row],[Final]]/Buckets_11_23[[#This Row],[Capacity]])</f>
        <v>0.99058333333333359</v>
      </c>
      <c r="CM16" s="40">
        <f>Buckets_11_23[[#This Row],[Final]]</f>
        <v>594.35000000000014</v>
      </c>
      <c r="CN16" s="40">
        <f>Buckets_11_23[[#This Row],[Capacity]]</f>
        <v>600</v>
      </c>
      <c r="CO16" s="41" t="b">
        <f t="shared" si="20"/>
        <v>0</v>
      </c>
      <c r="CP16" s="42">
        <v>-300</v>
      </c>
      <c r="CQ16" s="42"/>
      <c r="CR16" s="42"/>
      <c r="CS16" s="42"/>
      <c r="CT16" s="43"/>
      <c r="CU16" s="40">
        <f t="shared" si="21"/>
        <v>294.35000000000014</v>
      </c>
      <c r="CV16" s="40">
        <f t="shared" si="22"/>
        <v>600</v>
      </c>
      <c r="CW16" s="41" t="b">
        <f t="shared" si="3"/>
        <v>0</v>
      </c>
      <c r="CY16" s="29">
        <f t="shared" si="23"/>
        <v>294.35000000000014</v>
      </c>
      <c r="CZ16" s="29">
        <f>GetTransactionTotal(AggregateTable2023[], AggregateTable2023[Start], CY$1, AggregateTable2023[#Headers], $D16)</f>
        <v>-87.850000000000009</v>
      </c>
      <c r="DA16" s="29">
        <f>Buckets_12_23[[#This Row],[Start]]+Buckets_12_23[[#This Row],[Transactions]]</f>
        <v>206.50000000000011</v>
      </c>
      <c r="DB16" s="29">
        <f t="shared" si="24"/>
        <v>600</v>
      </c>
      <c r="DC16" s="29">
        <f>Buckets_12_23[[#This Row],[Capacity]]-Buckets_12_23[[#This Row],[After T]]</f>
        <v>393.49999999999989</v>
      </c>
      <c r="DD16" s="29">
        <f>MAX(-Buckets_12_23[[#This Row],[Cap Diff]], 0)</f>
        <v>0</v>
      </c>
      <c r="DE16" s="29">
        <f>Buckets_12_23[[#This Row],[After T]]-Buckets_12_23[[#This Row],[Slush]]</f>
        <v>206.50000000000011</v>
      </c>
      <c r="DF16" s="29">
        <f>Buckets_12_23[[#This Row],[Capacity]]-Buckets_12_23[[#This Row],[Before Fill]]</f>
        <v>393.49999999999989</v>
      </c>
      <c r="DG16" t="b">
        <f>OR(CW16, Buckets_12_23[[#This Row],[After T]]&lt;0)</f>
        <v>0</v>
      </c>
      <c r="DH16" s="29">
        <f>IF(Buckets_12_23[[#This Row],[Is Crit]], Buckets_12_23[[#This Row],[S Cap Diff]], 0)</f>
        <v>0</v>
      </c>
      <c r="DI16" s="29">
        <f>Buckets_12_23[[#This Row],[Before Fill]]+Buckets_12_23[[#This Row],[Crit To Fill]]</f>
        <v>206.50000000000011</v>
      </c>
      <c r="DJ16" s="29">
        <f>IF(NOT(Buckets_12_23[[#This Row],[Is Crit]]), Buckets_12_23[[#This Row],[S Cap Diff]], 0)</f>
        <v>393.49999999999989</v>
      </c>
      <c r="DK16" s="29">
        <f>ROUND(DI$41/Buckets_12_23[[#Totals],[NC To Fill]]*Buckets_12_23[[#This Row],[NC To Fill]], 2)</f>
        <v>179.92</v>
      </c>
      <c r="DL16" s="31">
        <f>Buckets_12_23[[#This Row],[Pre Scale]] + IF($D16="Unexpected Fund", DI32-Buckets_12_23[[#Totals],[Pre Scale]], 0)</f>
        <v>179.92</v>
      </c>
      <c r="DM16" s="31">
        <f>Buckets_12_23[[#This Row],[Crit Filled]]+Buckets_12_23[[#This Row],[Scaled]]</f>
        <v>386.42000000000007</v>
      </c>
      <c r="DN16" s="31">
        <f>Buckets_12_23[[#This Row],[NC Filled]]</f>
        <v>386.42000000000007</v>
      </c>
      <c r="DO16" s="31">
        <f>Buckets_12_23[[#This Row],[Capacity]]-Buckets_12_23[[#This Row],[Final]]</f>
        <v>213.57999999999993</v>
      </c>
      <c r="DP16" s="33">
        <f>IF(Buckets_12_23[[#This Row],[Capacity]]=0, 1, Buckets_12_23[[#This Row],[Final]]/Buckets_12_23[[#This Row],[Capacity]])</f>
        <v>0.64403333333333346</v>
      </c>
      <c r="DR16" s="40">
        <f>Buckets_12_23[[#This Row],[Final]]</f>
        <v>386.42000000000007</v>
      </c>
      <c r="DS16" s="40">
        <f>Buckets_12_23[[#This Row],[Capacity]]</f>
        <v>600</v>
      </c>
      <c r="DT16" s="41" t="b">
        <f t="shared" si="25"/>
        <v>0</v>
      </c>
      <c r="DU16" s="42"/>
      <c r="DV16" s="42"/>
      <c r="DW16" s="42"/>
      <c r="DX16" s="42"/>
      <c r="DY16" s="43"/>
      <c r="DZ16" s="40">
        <f t="shared" si="26"/>
        <v>386.42000000000007</v>
      </c>
      <c r="EA16" s="40">
        <f t="shared" si="27"/>
        <v>600</v>
      </c>
      <c r="EB16" s="41" t="b">
        <f t="shared" si="4"/>
        <v>0</v>
      </c>
      <c r="ED16" s="29">
        <f t="shared" si="28"/>
        <v>386.42000000000007</v>
      </c>
      <c r="EE16" s="29">
        <f>GetTransactionTotal(AggregateTable2024[], AggregateTable2024[Start], ED$1, AggregateTable2024[#Headers], $D16)</f>
        <v>-185.32999999999998</v>
      </c>
      <c r="EF16" s="29">
        <f>Buckets_1_24[[#This Row],[Start]]+Buckets_1_24[[#This Row],[Transactions]]</f>
        <v>201.09000000000009</v>
      </c>
      <c r="EG16" s="29">
        <f t="shared" si="29"/>
        <v>600</v>
      </c>
      <c r="EH16" s="29">
        <f>Buckets_1_24[[#This Row],[Capacity]]-Buckets_1_24[[#This Row],[After T]]</f>
        <v>398.90999999999991</v>
      </c>
      <c r="EI16" s="29">
        <f>MAX(-Buckets_1_24[[#This Row],[Cap Diff]], 0)</f>
        <v>0</v>
      </c>
      <c r="EJ16" s="29">
        <f>Buckets_1_24[[#This Row],[After T]]-Buckets_1_24[[#This Row],[Slush]]</f>
        <v>201.09000000000009</v>
      </c>
      <c r="EK16" s="29">
        <f>Buckets_1_24[[#This Row],[Capacity]]-Buckets_1_24[[#This Row],[Before Fill]]</f>
        <v>398.90999999999991</v>
      </c>
      <c r="EL16" t="b">
        <f>OR(EB16, Buckets_1_24[[#This Row],[After T]]&lt;0)</f>
        <v>0</v>
      </c>
      <c r="EM16" s="29">
        <f>IF(Buckets_1_24[[#This Row],[Is Crit]], Buckets_1_24[[#This Row],[S Cap Diff]], 0)</f>
        <v>0</v>
      </c>
      <c r="EN16" s="29">
        <f>Buckets_1_24[[#This Row],[Before Fill]]+Buckets_1_24[[#This Row],[Crit To Fill]]</f>
        <v>201.09000000000009</v>
      </c>
      <c r="EO16" s="29">
        <f>IF(NOT(Buckets_1_24[[#This Row],[Is Crit]]), Buckets_1_24[[#This Row],[S Cap Diff]], 0)</f>
        <v>398.90999999999991</v>
      </c>
      <c r="EP16" s="29">
        <f>ROUND(EN$41/Buckets_1_24[[#Totals],[NC To Fill]]*Buckets_1_24[[#This Row],[NC To Fill]], 2)</f>
        <v>244.93</v>
      </c>
      <c r="EQ16" s="31">
        <f>Buckets_1_24[[#This Row],[Pre Scale]] + IF($D16="Unexpected Fund", EN32-Buckets_1_24[[#Totals],[Pre Scale]], 0)</f>
        <v>244.93</v>
      </c>
      <c r="ER16" s="31">
        <f>Buckets_1_24[[#This Row],[Crit Filled]]+Buckets_1_24[[#This Row],[Scaled]]</f>
        <v>446.0200000000001</v>
      </c>
      <c r="ES16" s="31">
        <f>Buckets_1_24[[#This Row],[NC Filled]]</f>
        <v>446.0200000000001</v>
      </c>
      <c r="ET16" s="31">
        <f>Buckets_1_24[[#This Row],[Capacity]]-Buckets_1_24[[#This Row],[Final]]</f>
        <v>153.9799999999999</v>
      </c>
      <c r="EU16" s="33">
        <f>IF(Buckets_1_24[[#This Row],[Capacity]]=0, 1, Buckets_1_24[[#This Row],[Final]]/Buckets_1_24[[#This Row],[Capacity]])</f>
        <v>0.74336666666666684</v>
      </c>
      <c r="EW16" s="40">
        <f>Buckets_1_24[[#This Row],[Final]]</f>
        <v>446.0200000000001</v>
      </c>
      <c r="EX16" s="40">
        <f>Buckets_1_24[[#This Row],[Capacity]]</f>
        <v>600</v>
      </c>
      <c r="EY16" s="41" t="b">
        <f t="shared" si="30"/>
        <v>0</v>
      </c>
      <c r="EZ16" s="42"/>
      <c r="FA16" s="42"/>
      <c r="FB16" s="42"/>
      <c r="FC16" s="42"/>
      <c r="FD16" s="43"/>
      <c r="FE16" s="40">
        <f t="shared" si="31"/>
        <v>446.0200000000001</v>
      </c>
      <c r="FF16" s="40">
        <f t="shared" si="32"/>
        <v>600</v>
      </c>
      <c r="FG16" s="41" t="b">
        <f t="shared" si="5"/>
        <v>0</v>
      </c>
      <c r="FI16" s="29">
        <f t="shared" si="33"/>
        <v>446.0200000000001</v>
      </c>
      <c r="FJ16" s="29">
        <f>GetTransactionTotal(AggregateTable2024[], AggregateTable2024[Start], FI$1, AggregateTable2024[#Headers], $D16)</f>
        <v>-36.46</v>
      </c>
      <c r="FK16" s="29">
        <f>Buckets_2_24[[#This Row],[Start]]+Buckets_2_24[[#This Row],[Transactions]]</f>
        <v>409.56000000000012</v>
      </c>
      <c r="FL16" s="29">
        <f t="shared" si="34"/>
        <v>600</v>
      </c>
      <c r="FM16" s="29">
        <f>Buckets_2_24[[#This Row],[Capacity]]-Buckets_2_24[[#This Row],[After T]]</f>
        <v>190.43999999999988</v>
      </c>
      <c r="FN16" s="29">
        <f>MAX(-Buckets_2_24[[#This Row],[Cap Diff]], 0)</f>
        <v>0</v>
      </c>
      <c r="FO16" s="29">
        <f>Buckets_2_24[[#This Row],[After T]]-Buckets_2_24[[#This Row],[Slush]]</f>
        <v>409.56000000000012</v>
      </c>
      <c r="FP16" s="29">
        <f>Buckets_2_24[[#This Row],[Capacity]]-Buckets_2_24[[#This Row],[Before Fill]]</f>
        <v>190.43999999999988</v>
      </c>
      <c r="FQ16" t="b">
        <f>OR(FG16, Buckets_2_24[[#This Row],[After T]]&lt;0)</f>
        <v>0</v>
      </c>
      <c r="FR16" s="29">
        <f>IF(Buckets_2_24[[#This Row],[Is Crit]], Buckets_2_24[[#This Row],[S Cap Diff]], 0)</f>
        <v>0</v>
      </c>
      <c r="FS16" s="29">
        <f>Buckets_2_24[[#This Row],[Before Fill]]+Buckets_2_24[[#This Row],[Crit To Fill]]</f>
        <v>409.56000000000012</v>
      </c>
      <c r="FT16" s="29">
        <f>IF(NOT(Buckets_2_24[[#This Row],[Is Crit]]), Buckets_2_24[[#This Row],[S Cap Diff]], 0)</f>
        <v>190.43999999999988</v>
      </c>
      <c r="FU16" s="29">
        <f>ROUND(FS$41/Buckets_2_24[[#Totals],[NC To Fill]]*Buckets_2_24[[#This Row],[NC To Fill]], 2)</f>
        <v>183.46</v>
      </c>
      <c r="FV16" s="31">
        <f>Buckets_2_24[[#This Row],[Pre Scale]] + IF($D16="Unexpected Fund", FS32-Buckets_2_24[[#Totals],[Pre Scale]], 0)</f>
        <v>183.46</v>
      </c>
      <c r="FW16" s="31">
        <f>Buckets_2_24[[#This Row],[Crit Filled]]+Buckets_2_24[[#This Row],[Scaled]]</f>
        <v>593.0200000000001</v>
      </c>
      <c r="FX16" s="31">
        <f>Buckets_2_24[[#This Row],[NC Filled]]</f>
        <v>593.0200000000001</v>
      </c>
      <c r="FY16" s="31">
        <f>Buckets_2_24[[#This Row],[Capacity]]-Buckets_2_24[[#This Row],[Final]]</f>
        <v>6.9799999999999045</v>
      </c>
      <c r="FZ16" s="33">
        <f>IF(Buckets_2_24[[#This Row],[Capacity]]=0, 1, Buckets_2_24[[#This Row],[Final]]/Buckets_2_24[[#This Row],[Capacity]])</f>
        <v>0.98836666666666684</v>
      </c>
      <c r="GB16" s="40">
        <f>Buckets_2_24[[#This Row],[Final]]</f>
        <v>593.0200000000001</v>
      </c>
      <c r="GC16" s="40">
        <f>Buckets_2_24[[#This Row],[Capacity]]</f>
        <v>600</v>
      </c>
      <c r="GD16" s="41" t="b">
        <f t="shared" si="35"/>
        <v>0</v>
      </c>
      <c r="GE16" s="42"/>
      <c r="GF16" s="42"/>
      <c r="GG16" s="42"/>
      <c r="GH16" s="42"/>
      <c r="GI16" s="43"/>
      <c r="GJ16" s="40">
        <f t="shared" si="36"/>
        <v>593.0200000000001</v>
      </c>
      <c r="GK16" s="40">
        <f t="shared" si="37"/>
        <v>600</v>
      </c>
      <c r="GL16" s="41" t="b">
        <f t="shared" si="6"/>
        <v>0</v>
      </c>
      <c r="GN16" s="29">
        <f t="shared" si="38"/>
        <v>593.0200000000001</v>
      </c>
      <c r="GO16" s="29">
        <f>GetTransactionTotal(AggregateTable2024[], AggregateTable2024[Start], GN$1, AggregateTable2024[#Headers], $D16)</f>
        <v>-113.94</v>
      </c>
      <c r="GP16" s="29">
        <f>Buckets_3_24[[#This Row],[Start]]+Buckets_3_24[[#This Row],[Transactions]]</f>
        <v>479.0800000000001</v>
      </c>
      <c r="GQ16" s="29">
        <f t="shared" si="39"/>
        <v>600</v>
      </c>
      <c r="GR16" s="29">
        <f>Buckets_3_24[[#This Row],[Capacity]]-Buckets_3_24[[#This Row],[After T]]</f>
        <v>120.9199999999999</v>
      </c>
      <c r="GS16" s="29">
        <f>MAX(-Buckets_3_24[[#This Row],[Cap Diff]], 0)</f>
        <v>0</v>
      </c>
      <c r="GT16" s="29">
        <f>Buckets_3_24[[#This Row],[After T]]-Buckets_3_24[[#This Row],[Slush]]</f>
        <v>479.0800000000001</v>
      </c>
      <c r="GU16" s="29">
        <f>Buckets_3_24[[#This Row],[Capacity]]-Buckets_3_24[[#This Row],[Before Fill]]</f>
        <v>120.9199999999999</v>
      </c>
      <c r="GV16" t="b">
        <f>OR(GL16, Buckets_3_24[[#This Row],[After T]]&lt;0)</f>
        <v>0</v>
      </c>
      <c r="GW16" s="29">
        <f>IF(Buckets_3_24[[#This Row],[Is Crit]], Buckets_3_24[[#This Row],[S Cap Diff]], 0)</f>
        <v>0</v>
      </c>
      <c r="GX16" s="29">
        <f>Buckets_3_24[[#This Row],[Before Fill]]+Buckets_3_24[[#This Row],[Crit To Fill]]</f>
        <v>479.0800000000001</v>
      </c>
      <c r="GY16" s="29">
        <f>IF(NOT(Buckets_3_24[[#This Row],[Is Crit]]), Buckets_3_24[[#This Row],[S Cap Diff]], 0)</f>
        <v>120.9199999999999</v>
      </c>
      <c r="GZ16" s="29">
        <f>ROUND(GX$41/Buckets_3_24[[#Totals],[NC To Fill]]*Buckets_3_24[[#This Row],[NC To Fill]], 2)</f>
        <v>117.44</v>
      </c>
      <c r="HA16" s="31">
        <f>Buckets_3_24[[#This Row],[Pre Scale]] + IF($D16="Unexpected Fund", GX32-Buckets_3_24[[#Totals],[Pre Scale]], 0)</f>
        <v>117.44</v>
      </c>
      <c r="HB16" s="31">
        <f>Buckets_3_24[[#This Row],[Crit Filled]]+Buckets_3_24[[#This Row],[Scaled]]</f>
        <v>596.5200000000001</v>
      </c>
      <c r="HC16" s="31">
        <f>Buckets_3_24[[#This Row],[NC Filled]]</f>
        <v>596.5200000000001</v>
      </c>
      <c r="HD16" s="31">
        <f>Buckets_3_24[[#This Row],[Capacity]]-Buckets_3_24[[#This Row],[Final]]</f>
        <v>3.4799999999999045</v>
      </c>
      <c r="HE16" s="33">
        <f>IF(Buckets_3_24[[#This Row],[Capacity]]=0, 1, Buckets_3_24[[#This Row],[Final]]/Buckets_3_24[[#This Row],[Capacity]])</f>
        <v>0.99420000000000019</v>
      </c>
      <c r="HG16" s="40">
        <f>Buckets_3_24[[#This Row],[Final]]</f>
        <v>596.5200000000001</v>
      </c>
      <c r="HH16" s="40">
        <f>Buckets_3_24[[#This Row],[Capacity]]</f>
        <v>600</v>
      </c>
      <c r="HI16" s="41" t="b">
        <f t="shared" si="40"/>
        <v>0</v>
      </c>
      <c r="HJ16" s="42"/>
      <c r="HK16" s="42"/>
      <c r="HL16" s="42"/>
      <c r="HM16" s="42"/>
      <c r="HN16" s="43"/>
      <c r="HO16" s="40">
        <f t="shared" si="41"/>
        <v>596.5200000000001</v>
      </c>
      <c r="HP16" s="40">
        <f t="shared" si="42"/>
        <v>600</v>
      </c>
      <c r="HQ16" s="41" t="b">
        <f t="shared" si="7"/>
        <v>0</v>
      </c>
      <c r="HS16" s="29">
        <f t="shared" si="43"/>
        <v>596.5200000000001</v>
      </c>
      <c r="HT16" s="29">
        <f>GetTransactionTotal(AggregateTable2024[], AggregateTable2024[Start], HS$1, AggregateTable2024[#Headers], $D16)</f>
        <v>-162.13999999999999</v>
      </c>
      <c r="HU16" s="29">
        <f>Buckets_4_24[[#This Row],[Start]]+Buckets_4_24[[#This Row],[Transactions]]</f>
        <v>434.38000000000011</v>
      </c>
      <c r="HV16" s="29">
        <f t="shared" si="44"/>
        <v>600</v>
      </c>
      <c r="HW16" s="29">
        <f>Buckets_4_24[[#This Row],[Capacity]]-Buckets_4_24[[#This Row],[After T]]</f>
        <v>165.61999999999989</v>
      </c>
      <c r="HX16" s="29">
        <f>MAX(-Buckets_4_24[[#This Row],[Cap Diff]], 0)</f>
        <v>0</v>
      </c>
      <c r="HY16" s="29">
        <f>Buckets_4_24[[#This Row],[After T]]-Buckets_4_24[[#This Row],[Slush]]</f>
        <v>434.38000000000011</v>
      </c>
      <c r="HZ16" s="29">
        <f>Buckets_4_24[[#This Row],[Capacity]]-Buckets_4_24[[#This Row],[Before Fill]]</f>
        <v>165.61999999999989</v>
      </c>
      <c r="IA16" t="b">
        <f>OR(HQ16, Buckets_4_24[[#This Row],[After T]]&lt;0)</f>
        <v>0</v>
      </c>
      <c r="IB16" s="29">
        <f>IF(Buckets_4_24[[#This Row],[Is Crit]], Buckets_4_24[[#This Row],[S Cap Diff]], 0)</f>
        <v>0</v>
      </c>
      <c r="IC16" s="29">
        <f>Buckets_4_24[[#This Row],[Before Fill]]+Buckets_4_24[[#This Row],[Crit To Fill]]</f>
        <v>434.38000000000011</v>
      </c>
      <c r="ID16" s="29">
        <f>IF(NOT(Buckets_4_24[[#This Row],[Is Crit]]), Buckets_4_24[[#This Row],[S Cap Diff]], 0)</f>
        <v>165.61999999999989</v>
      </c>
      <c r="IE16" s="29">
        <f>ROUND(IC$41/Buckets_4_24[[#Totals],[NC To Fill]]*Buckets_4_24[[#This Row],[NC To Fill]], 2)</f>
        <v>108.08</v>
      </c>
      <c r="IF16" s="31">
        <f>Buckets_4_24[[#This Row],[Pre Scale]] + IF($D16="Unexpected Fund", IC32-Buckets_4_24[[#Totals],[Pre Scale]], 0)</f>
        <v>108.08</v>
      </c>
      <c r="IG16" s="31">
        <f>Buckets_4_24[[#This Row],[Crit Filled]]+Buckets_4_24[[#This Row],[Scaled]]</f>
        <v>542.46000000000015</v>
      </c>
      <c r="IH16" s="31">
        <f>Buckets_4_24[[#This Row],[NC Filled]]</f>
        <v>542.46000000000015</v>
      </c>
      <c r="II16" s="31">
        <f>Buckets_4_24[[#This Row],[Capacity]]-Buckets_4_24[[#This Row],[Final]]</f>
        <v>57.53999999999985</v>
      </c>
      <c r="IJ16" s="33">
        <f>IF(Buckets_4_24[[#This Row],[Capacity]]=0, 1, Buckets_4_24[[#This Row],[Final]]/Buckets_4_24[[#This Row],[Capacity]])</f>
        <v>0.90410000000000024</v>
      </c>
      <c r="IL16" s="40">
        <f>Buckets_4_24[[#This Row],[Final]]</f>
        <v>542.46000000000015</v>
      </c>
      <c r="IM16" s="40">
        <f>Buckets_4_24[[#This Row],[Capacity]]</f>
        <v>600</v>
      </c>
      <c r="IN16" s="41" t="b">
        <f t="shared" si="45"/>
        <v>0</v>
      </c>
      <c r="IO16" s="42"/>
      <c r="IP16" s="42"/>
      <c r="IQ16" s="42"/>
      <c r="IR16" s="42"/>
      <c r="IS16" s="43"/>
      <c r="IT16" s="40">
        <f t="shared" si="46"/>
        <v>542.46000000000015</v>
      </c>
      <c r="IU16" s="40">
        <f t="shared" si="47"/>
        <v>600</v>
      </c>
      <c r="IV16" s="41" t="b">
        <f t="shared" si="8"/>
        <v>0</v>
      </c>
    </row>
    <row r="17" spans="1:256" x14ac:dyDescent="0.25">
      <c r="A17" s="49"/>
      <c r="B17" t="s">
        <v>324</v>
      </c>
      <c r="C17" t="s">
        <v>293</v>
      </c>
      <c r="D17" t="s">
        <v>293</v>
      </c>
      <c r="F17" s="30">
        <v>1850</v>
      </c>
      <c r="G17" s="38">
        <v>2000</v>
      </c>
      <c r="H17" t="b">
        <v>1</v>
      </c>
      <c r="J17" s="50">
        <f t="shared" si="9"/>
        <v>1850</v>
      </c>
      <c r="K17" s="50">
        <f>GetTransactionTotal(AggregateTable2023[], AggregateTable2023[Start], J$1, AggregateTable2023[#Headers], $D17)</f>
        <v>-3383.67</v>
      </c>
      <c r="L17" s="50">
        <f>Buckets_9_23[[#This Row],[Start]]+Buckets_9_23[[#This Row],[Transactions]]</f>
        <v>-1533.67</v>
      </c>
      <c r="M17" s="50">
        <f t="shared" si="10"/>
        <v>2000</v>
      </c>
      <c r="N17" s="50">
        <f>Buckets_9_23[[#This Row],[Capacity]]-Buckets_9_23[[#This Row],[After T]]</f>
        <v>3533.67</v>
      </c>
      <c r="O17" s="50">
        <f>IF(Buckets_9_23[[#This Row],[After T]]&lt;0, Buckets_9_23[[#This Row],[After T]], IF(Buckets_9_23[[#This Row],[Cap Diff]]&lt;0, -Buckets_9_23[[#This Row],[Cap Diff]], 0))</f>
        <v>-1533.67</v>
      </c>
      <c r="P17" s="50">
        <f>Buckets_9_23[[#This Row],[After T]]-Buckets_9_23[[#This Row],[Slush]]</f>
        <v>0</v>
      </c>
      <c r="Q17" s="50">
        <f>Buckets_9_23[[#This Row],[Capacity]]-Buckets_9_23[[#This Row],[Before Fill]]</f>
        <v>2000</v>
      </c>
      <c r="R17" s="31" t="b">
        <f t="shared" si="0"/>
        <v>1</v>
      </c>
      <c r="S17" s="50">
        <f>IF(Buckets_9_23[[#This Row],[Is Crit]], Buckets_9_23[[#This Row],[S Cap Diff]], 0)</f>
        <v>2000</v>
      </c>
      <c r="T17" s="50">
        <f>Buckets_9_23[[#This Row],[Before Fill]]+Buckets_9_23[[#This Row],[Crit To Fill]]</f>
        <v>2000</v>
      </c>
      <c r="U17" s="50">
        <f>IF(NOT(Buckets_9_23[[#This Row],[Is Crit]]), Buckets_9_23[[#This Row],[S Cap Diff]], 0)</f>
        <v>0</v>
      </c>
      <c r="V17" s="50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A17" s="51">
        <f>IF(Buckets_9_23[[#This Row],[Capacity]]=0, 1, Buckets_9_23[[#This Row],[Final]]/Buckets_9_23[[#This Row],[Capacity]])</f>
        <v>1</v>
      </c>
      <c r="AC17" s="31">
        <f>Buckets_9_23[[#This Row],[Final]]</f>
        <v>2000</v>
      </c>
      <c r="AD17" s="31">
        <f>Buckets_9_23[[#This Row],[Capacity]]</f>
        <v>2000</v>
      </c>
      <c r="AE17" t="b">
        <f>H17</f>
        <v>1</v>
      </c>
      <c r="AF17" s="43"/>
      <c r="AG17" s="42"/>
      <c r="AH17" s="43"/>
      <c r="AI17" s="42"/>
      <c r="AJ17" s="43"/>
      <c r="AK17" s="40">
        <f t="shared" si="11"/>
        <v>2000</v>
      </c>
      <c r="AL17" s="40">
        <f t="shared" si="12"/>
        <v>2000</v>
      </c>
      <c r="AM17" s="41" t="b">
        <f t="shared" si="1"/>
        <v>1</v>
      </c>
      <c r="AO17" s="29">
        <f t="shared" si="13"/>
        <v>2000</v>
      </c>
      <c r="AP17" s="29">
        <f>GetTransactionTotal(AggregateTable2023[], AggregateTable2023[Start], AO$1, AggregateTable2023[#Headers], $D17)</f>
        <v>-1945</v>
      </c>
      <c r="AQ17" s="29">
        <f>Buckets_10_23[[#This Row],[Start]]+Buckets_10_23[[#This Row],[Transactions]]</f>
        <v>55</v>
      </c>
      <c r="AR17" s="29">
        <f t="shared" si="14"/>
        <v>2000</v>
      </c>
      <c r="AS17" s="29">
        <f>Buckets_10_23[[#This Row],[Capacity]]-Buckets_10_23[[#This Row],[After T]]</f>
        <v>1945</v>
      </c>
      <c r="AT17" s="29">
        <f>MAX(-Buckets_10_23[[#This Row],[Cap Diff]], 0)</f>
        <v>0</v>
      </c>
      <c r="AU17" s="29">
        <f>Buckets_10_23[[#This Row],[After T]]-Buckets_10_23[[#This Row],[Slush]]</f>
        <v>55</v>
      </c>
      <c r="AV17" s="29">
        <f>Buckets_10_23[[#This Row],[Capacity]]-Buckets_10_23[[#This Row],[Before Fill]]</f>
        <v>1945</v>
      </c>
      <c r="AW17" t="b">
        <f>OR(AM17, Buckets_10_23[[#This Row],[After T]]&lt;0)</f>
        <v>1</v>
      </c>
      <c r="AX17" s="29">
        <f>IF(Buckets_10_23[[#This Row],[Is Crit]], Buckets_10_23[[#This Row],[S Cap Diff]], 0)</f>
        <v>1945</v>
      </c>
      <c r="AY17" s="29">
        <f>Buckets_10_23[[#This Row],[Before Fill]]+Buckets_10_23[[#This Row],[Crit To Fill]]</f>
        <v>2000</v>
      </c>
      <c r="AZ17" s="29">
        <f>IF(NOT(Buckets_10_23[[#This Row],[Is Crit]]), Buckets_10_23[[#This Row],[S Cap Diff]], 0)</f>
        <v>0</v>
      </c>
      <c r="BA17" s="29">
        <f>ROUND(AY$41/Buckets_10_23[[#Totals],[NC To Fill]]*Buckets_10_23[[#This Row],[NC To Fill]], 2)</f>
        <v>0</v>
      </c>
      <c r="BB17" s="31">
        <f>Buckets_10_23[[#This Row],[Pre Scale]] + IF($D17="Unexpected Fund", AY33-Buckets_10_23[[#Totals],[Pre Scale]], 0)</f>
        <v>0</v>
      </c>
      <c r="BC17" s="31">
        <f>Buckets_10_23[[#This Row],[Crit Filled]]+Buckets_10_23[[#This Row],[Scaled]]</f>
        <v>2000</v>
      </c>
      <c r="BD17" s="31">
        <f>Buckets_10_23[[#This Row],[NC Filled]]</f>
        <v>2000</v>
      </c>
      <c r="BE17" s="31">
        <f>Buckets_10_23[[#This Row],[Capacity]]-Buckets_10_23[[#This Row],[Final]]</f>
        <v>0</v>
      </c>
      <c r="BF17" s="33">
        <f>IF(Buckets_10_23[[#This Row],[Capacity]]=0, 1, Buckets_10_23[[#This Row],[Final]]/Buckets_10_23[[#This Row],[Capacity]])</f>
        <v>1</v>
      </c>
      <c r="BH17" s="31">
        <f>Buckets_10_23[[#This Row],[Final]]</f>
        <v>2000</v>
      </c>
      <c r="BI17" s="31">
        <f>Buckets_10_23[[#This Row],[Capacity]]</f>
        <v>2000</v>
      </c>
      <c r="BJ17" t="b">
        <f t="shared" si="15"/>
        <v>1</v>
      </c>
      <c r="BK17" s="43"/>
      <c r="BL17" s="42"/>
      <c r="BM17" s="43"/>
      <c r="BN17" s="42"/>
      <c r="BO17" s="43"/>
      <c r="BP17" s="40">
        <f t="shared" si="16"/>
        <v>2000</v>
      </c>
      <c r="BQ17" s="40">
        <f t="shared" si="17"/>
        <v>2000</v>
      </c>
      <c r="BR17" s="41" t="b">
        <f t="shared" si="2"/>
        <v>1</v>
      </c>
      <c r="BT17" s="29">
        <f t="shared" si="18"/>
        <v>2000</v>
      </c>
      <c r="BU17" s="29">
        <f>GetTransactionTotal(AggregateTable2023[], AggregateTable2023[Start], BT$1, AggregateTable2023[#Headers], $D17)</f>
        <v>-784.84999999999991</v>
      </c>
      <c r="BV17" s="29">
        <f>Buckets_11_23[[#This Row],[Start]]+Buckets_11_23[[#This Row],[Transactions]]</f>
        <v>1215.1500000000001</v>
      </c>
      <c r="BW17" s="29">
        <f t="shared" si="19"/>
        <v>2000</v>
      </c>
      <c r="BX17" s="29">
        <f>Buckets_11_23[[#This Row],[Capacity]]-Buckets_11_23[[#This Row],[After T]]</f>
        <v>784.84999999999991</v>
      </c>
      <c r="BY17" s="29">
        <f>MAX(-Buckets_11_23[[#This Row],[Cap Diff]], 0)</f>
        <v>0</v>
      </c>
      <c r="BZ17" s="29">
        <f>Buckets_11_23[[#This Row],[After T]]-Buckets_11_23[[#This Row],[Slush]]</f>
        <v>1215.1500000000001</v>
      </c>
      <c r="CA17" s="29">
        <f>Buckets_11_23[[#This Row],[Capacity]]-Buckets_11_23[[#This Row],[Before Fill]]</f>
        <v>784.84999999999991</v>
      </c>
      <c r="CB17" t="b">
        <f>OR(BR17, Buckets_11_23[[#This Row],[After T]]&lt;0)</f>
        <v>1</v>
      </c>
      <c r="CC17" s="29">
        <f>IF(Buckets_11_23[[#This Row],[Is Crit]], Buckets_11_23[[#This Row],[S Cap Diff]], 0)</f>
        <v>784.84999999999991</v>
      </c>
      <c r="CD17" s="29">
        <f>Buckets_11_23[[#This Row],[Before Fill]]+Buckets_11_23[[#This Row],[Crit To Fill]]</f>
        <v>2000</v>
      </c>
      <c r="CE17" s="29">
        <f>IF(NOT(Buckets_11_23[[#This Row],[Is Crit]]), Buckets_11_23[[#This Row],[S Cap Diff]], 0)</f>
        <v>0</v>
      </c>
      <c r="CF17" s="29">
        <f>ROUND(CD$41/Buckets_11_23[[#Totals],[NC To Fill]]*Buckets_11_23[[#This Row],[NC To Fill]], 2)</f>
        <v>0</v>
      </c>
      <c r="CG17" s="31">
        <f>Buckets_11_23[[#This Row],[Pre Scale]] + IF($D17="Unexpected Fund", CD33-Buckets_11_23[[#Totals],[Pre Scale]], 0)</f>
        <v>0</v>
      </c>
      <c r="CH17" s="31">
        <f>Buckets_11_23[[#This Row],[Crit Filled]]+Buckets_11_23[[#This Row],[Scaled]]</f>
        <v>2000</v>
      </c>
      <c r="CI17" s="31">
        <f>Buckets_11_23[[#This Row],[NC Filled]]</f>
        <v>2000</v>
      </c>
      <c r="CJ17" s="31">
        <f>Buckets_11_23[[#This Row],[Capacity]]-Buckets_11_23[[#This Row],[Final]]</f>
        <v>0</v>
      </c>
      <c r="CK17" s="33">
        <f>IF(Buckets_11_23[[#This Row],[Capacity]]=0, 1, Buckets_11_23[[#This Row],[Final]]/Buckets_11_23[[#This Row],[Capacity]])</f>
        <v>1</v>
      </c>
      <c r="CM17" s="40">
        <f>Buckets_11_23[[#This Row],[Final]]</f>
        <v>2000</v>
      </c>
      <c r="CN17" s="40">
        <f>Buckets_11_23[[#This Row],[Capacity]]</f>
        <v>2000</v>
      </c>
      <c r="CO17" s="41" t="b">
        <f t="shared" si="20"/>
        <v>1</v>
      </c>
      <c r="CP17" s="42"/>
      <c r="CQ17" s="42"/>
      <c r="CR17" s="42"/>
      <c r="CS17" s="42">
        <v>2500</v>
      </c>
      <c r="CT17" s="43"/>
      <c r="CU17" s="40">
        <f t="shared" si="21"/>
        <v>2000</v>
      </c>
      <c r="CV17" s="40">
        <f t="shared" si="22"/>
        <v>2500</v>
      </c>
      <c r="CW17" s="41" t="b">
        <f t="shared" si="3"/>
        <v>1</v>
      </c>
      <c r="CY17" s="29">
        <f t="shared" si="23"/>
        <v>2000</v>
      </c>
      <c r="CZ17" s="29">
        <f>GetTransactionTotal(AggregateTable2023[], AggregateTable2023[Start], CY$1, AggregateTable2023[#Headers], $D17)</f>
        <v>-2036.25</v>
      </c>
      <c r="DA17" s="29">
        <f>Buckets_12_23[[#This Row],[Start]]+Buckets_12_23[[#This Row],[Transactions]]</f>
        <v>-36.25</v>
      </c>
      <c r="DB17" s="29">
        <f t="shared" si="24"/>
        <v>2500</v>
      </c>
      <c r="DC17" s="29">
        <f>Buckets_12_23[[#This Row],[Capacity]]-Buckets_12_23[[#This Row],[After T]]</f>
        <v>2536.25</v>
      </c>
      <c r="DD17" s="29">
        <f>MAX(-Buckets_12_23[[#This Row],[Cap Diff]], 0)</f>
        <v>0</v>
      </c>
      <c r="DE17" s="29">
        <f>Buckets_12_23[[#This Row],[After T]]-Buckets_12_23[[#This Row],[Slush]]</f>
        <v>-36.25</v>
      </c>
      <c r="DF17" s="29">
        <f>Buckets_12_23[[#This Row],[Capacity]]-Buckets_12_23[[#This Row],[Before Fill]]</f>
        <v>2536.25</v>
      </c>
      <c r="DG17" t="b">
        <f>OR(CW17, Buckets_12_23[[#This Row],[After T]]&lt;0)</f>
        <v>1</v>
      </c>
      <c r="DH17" s="29">
        <f>IF(Buckets_12_23[[#This Row],[Is Crit]], Buckets_12_23[[#This Row],[S Cap Diff]], 0)</f>
        <v>2536.25</v>
      </c>
      <c r="DI17" s="29">
        <f>Buckets_12_23[[#This Row],[Before Fill]]+Buckets_12_23[[#This Row],[Crit To Fill]]</f>
        <v>2500</v>
      </c>
      <c r="DJ17" s="29">
        <f>IF(NOT(Buckets_12_23[[#This Row],[Is Crit]]), Buckets_12_23[[#This Row],[S Cap Diff]], 0)</f>
        <v>0</v>
      </c>
      <c r="DK17" s="29">
        <f>ROUND(DI$41/Buckets_12_23[[#Totals],[NC To Fill]]*Buckets_12_23[[#This Row],[NC To Fill]], 2)</f>
        <v>0</v>
      </c>
      <c r="DL17" s="31">
        <f>Buckets_12_23[[#This Row],[Pre Scale]] + IF($D17="Unexpected Fund", DI33-Buckets_12_23[[#Totals],[Pre Scale]], 0)</f>
        <v>0</v>
      </c>
      <c r="DM17" s="31">
        <f>Buckets_12_23[[#This Row],[Crit Filled]]+Buckets_12_23[[#This Row],[Scaled]]</f>
        <v>2500</v>
      </c>
      <c r="DN17" s="31">
        <f>Buckets_12_23[[#This Row],[NC Filled]]</f>
        <v>2500</v>
      </c>
      <c r="DO17" s="31">
        <f>Buckets_12_23[[#This Row],[Capacity]]-Buckets_12_23[[#This Row],[Final]]</f>
        <v>0</v>
      </c>
      <c r="DP17" s="33">
        <f>IF(Buckets_12_23[[#This Row],[Capacity]]=0, 1, Buckets_12_23[[#This Row],[Final]]/Buckets_12_23[[#This Row],[Capacity]])</f>
        <v>1</v>
      </c>
      <c r="DR17" s="40">
        <f>Buckets_12_23[[#This Row],[Final]]</f>
        <v>2500</v>
      </c>
      <c r="DS17" s="40">
        <f>Buckets_12_23[[#This Row],[Capacity]]</f>
        <v>2500</v>
      </c>
      <c r="DT17" s="41" t="b">
        <f t="shared" si="25"/>
        <v>1</v>
      </c>
      <c r="DU17" s="42"/>
      <c r="DV17" s="42"/>
      <c r="DW17" s="42"/>
      <c r="DX17" s="42"/>
      <c r="DY17" s="43"/>
      <c r="DZ17" s="40">
        <f t="shared" si="26"/>
        <v>2500</v>
      </c>
      <c r="EA17" s="40">
        <f t="shared" si="27"/>
        <v>2500</v>
      </c>
      <c r="EB17" s="41" t="b">
        <f t="shared" si="4"/>
        <v>1</v>
      </c>
      <c r="ED17" s="29">
        <f t="shared" si="28"/>
        <v>2500</v>
      </c>
      <c r="EE17" s="29">
        <f>GetTransactionTotal(AggregateTable2024[], AggregateTable2024[Start], ED$1, AggregateTable2024[#Headers], $D17)</f>
        <v>-2046.8100000000002</v>
      </c>
      <c r="EF17" s="29">
        <f>Buckets_1_24[[#This Row],[Start]]+Buckets_1_24[[#This Row],[Transactions]]</f>
        <v>453.18999999999983</v>
      </c>
      <c r="EG17" s="29">
        <f t="shared" si="29"/>
        <v>2500</v>
      </c>
      <c r="EH17" s="29">
        <f>Buckets_1_24[[#This Row],[Capacity]]-Buckets_1_24[[#This Row],[After T]]</f>
        <v>2046.8100000000002</v>
      </c>
      <c r="EI17" s="29">
        <f>MAX(-Buckets_1_24[[#This Row],[Cap Diff]], 0)</f>
        <v>0</v>
      </c>
      <c r="EJ17" s="29">
        <f>Buckets_1_24[[#This Row],[After T]]-Buckets_1_24[[#This Row],[Slush]]</f>
        <v>453.18999999999983</v>
      </c>
      <c r="EK17" s="29">
        <f>Buckets_1_24[[#This Row],[Capacity]]-Buckets_1_24[[#This Row],[Before Fill]]</f>
        <v>2046.8100000000002</v>
      </c>
      <c r="EL17" t="b">
        <f>OR(EB17, Buckets_1_24[[#This Row],[After T]]&lt;0)</f>
        <v>1</v>
      </c>
      <c r="EM17" s="29">
        <f>IF(Buckets_1_24[[#This Row],[Is Crit]], Buckets_1_24[[#This Row],[S Cap Diff]], 0)</f>
        <v>2046.8100000000002</v>
      </c>
      <c r="EN17" s="29">
        <f>Buckets_1_24[[#This Row],[Before Fill]]+Buckets_1_24[[#This Row],[Crit To Fill]]</f>
        <v>2500</v>
      </c>
      <c r="EO17" s="29">
        <f>IF(NOT(Buckets_1_24[[#This Row],[Is Crit]]), Buckets_1_24[[#This Row],[S Cap Diff]], 0)</f>
        <v>0</v>
      </c>
      <c r="EP17" s="29">
        <f>ROUND(EN$41/Buckets_1_24[[#Totals],[NC To Fill]]*Buckets_1_24[[#This Row],[NC To Fill]], 2)</f>
        <v>0</v>
      </c>
      <c r="EQ17" s="31">
        <f>Buckets_1_24[[#This Row],[Pre Scale]] + IF($D17="Unexpected Fund", EN33-Buckets_1_24[[#Totals],[Pre Scale]], 0)</f>
        <v>0</v>
      </c>
      <c r="ER17" s="31">
        <f>Buckets_1_24[[#This Row],[Crit Filled]]+Buckets_1_24[[#This Row],[Scaled]]</f>
        <v>2500</v>
      </c>
      <c r="ES17" s="31">
        <f>Buckets_1_24[[#This Row],[NC Filled]]</f>
        <v>2500</v>
      </c>
      <c r="ET17" s="31">
        <f>Buckets_1_24[[#This Row],[Capacity]]-Buckets_1_24[[#This Row],[Final]]</f>
        <v>0</v>
      </c>
      <c r="EU17" s="33">
        <f>IF(Buckets_1_24[[#This Row],[Capacity]]=0, 1, Buckets_1_24[[#This Row],[Final]]/Buckets_1_24[[#This Row],[Capacity]])</f>
        <v>1</v>
      </c>
      <c r="EW17" s="40">
        <f>Buckets_1_24[[#This Row],[Final]]</f>
        <v>2500</v>
      </c>
      <c r="EX17" s="40">
        <f>Buckets_1_24[[#This Row],[Capacity]]</f>
        <v>2500</v>
      </c>
      <c r="EY17" s="41" t="b">
        <f t="shared" si="30"/>
        <v>1</v>
      </c>
      <c r="EZ17" s="42"/>
      <c r="FA17" s="42"/>
      <c r="FB17" s="42"/>
      <c r="FC17" s="42"/>
      <c r="FD17" s="43"/>
      <c r="FE17" s="40">
        <f t="shared" si="31"/>
        <v>2500</v>
      </c>
      <c r="FF17" s="40">
        <f t="shared" si="32"/>
        <v>2500</v>
      </c>
      <c r="FG17" s="41" t="b">
        <f t="shared" si="5"/>
        <v>1</v>
      </c>
      <c r="FI17" s="29">
        <f t="shared" si="33"/>
        <v>2500</v>
      </c>
      <c r="FJ17" s="29">
        <f>GetTransactionTotal(AggregateTable2024[], AggregateTable2024[Start], FI$1, AggregateTable2024[#Headers], $D17)</f>
        <v>-2055.33</v>
      </c>
      <c r="FK17" s="29">
        <f>Buckets_2_24[[#This Row],[Start]]+Buckets_2_24[[#This Row],[Transactions]]</f>
        <v>444.67000000000007</v>
      </c>
      <c r="FL17" s="29">
        <f t="shared" si="34"/>
        <v>2500</v>
      </c>
      <c r="FM17" s="29">
        <f>Buckets_2_24[[#This Row],[Capacity]]-Buckets_2_24[[#This Row],[After T]]</f>
        <v>2055.33</v>
      </c>
      <c r="FN17" s="29">
        <f>MAX(-Buckets_2_24[[#This Row],[Cap Diff]], 0)</f>
        <v>0</v>
      </c>
      <c r="FO17" s="29">
        <f>Buckets_2_24[[#This Row],[After T]]-Buckets_2_24[[#This Row],[Slush]]</f>
        <v>444.67000000000007</v>
      </c>
      <c r="FP17" s="29">
        <f>Buckets_2_24[[#This Row],[Capacity]]-Buckets_2_24[[#This Row],[Before Fill]]</f>
        <v>2055.33</v>
      </c>
      <c r="FQ17" t="b">
        <f>OR(FG17, Buckets_2_24[[#This Row],[After T]]&lt;0)</f>
        <v>1</v>
      </c>
      <c r="FR17" s="29">
        <f>IF(Buckets_2_24[[#This Row],[Is Crit]], Buckets_2_24[[#This Row],[S Cap Diff]], 0)</f>
        <v>2055.33</v>
      </c>
      <c r="FS17" s="29">
        <f>Buckets_2_24[[#This Row],[Before Fill]]+Buckets_2_24[[#This Row],[Crit To Fill]]</f>
        <v>2500</v>
      </c>
      <c r="FT17" s="29">
        <f>IF(NOT(Buckets_2_24[[#This Row],[Is Crit]]), Buckets_2_24[[#This Row],[S Cap Diff]], 0)</f>
        <v>0</v>
      </c>
      <c r="FU17" s="29">
        <f>ROUND(FS$41/Buckets_2_24[[#Totals],[NC To Fill]]*Buckets_2_24[[#This Row],[NC To Fill]], 2)</f>
        <v>0</v>
      </c>
      <c r="FV17" s="31">
        <f>Buckets_2_24[[#This Row],[Pre Scale]] + IF($D17="Unexpected Fund", FS33-Buckets_2_24[[#Totals],[Pre Scale]], 0)</f>
        <v>0</v>
      </c>
      <c r="FW17" s="31">
        <f>Buckets_2_24[[#This Row],[Crit Filled]]+Buckets_2_24[[#This Row],[Scaled]]</f>
        <v>2500</v>
      </c>
      <c r="FX17" s="31">
        <f>Buckets_2_24[[#This Row],[NC Filled]]</f>
        <v>2500</v>
      </c>
      <c r="FY17" s="31">
        <f>Buckets_2_24[[#This Row],[Capacity]]-Buckets_2_24[[#This Row],[Final]]</f>
        <v>0</v>
      </c>
      <c r="FZ17" s="33">
        <f>IF(Buckets_2_24[[#This Row],[Capacity]]=0, 1, Buckets_2_24[[#This Row],[Final]]/Buckets_2_24[[#This Row],[Capacity]])</f>
        <v>1</v>
      </c>
      <c r="GB17" s="40">
        <f>Buckets_2_24[[#This Row],[Final]]</f>
        <v>2500</v>
      </c>
      <c r="GC17" s="40">
        <f>Buckets_2_24[[#This Row],[Capacity]]</f>
        <v>2500</v>
      </c>
      <c r="GD17" s="41" t="b">
        <f t="shared" si="35"/>
        <v>1</v>
      </c>
      <c r="GE17" s="42"/>
      <c r="GF17" s="42"/>
      <c r="GG17" s="42"/>
      <c r="GH17" s="42"/>
      <c r="GI17" s="43"/>
      <c r="GJ17" s="40">
        <f t="shared" si="36"/>
        <v>2500</v>
      </c>
      <c r="GK17" s="40">
        <f t="shared" si="37"/>
        <v>2500</v>
      </c>
      <c r="GL17" s="41" t="b">
        <f t="shared" si="6"/>
        <v>1</v>
      </c>
      <c r="GN17" s="29">
        <f t="shared" si="38"/>
        <v>2500</v>
      </c>
      <c r="GO17" s="29">
        <f>GetTransactionTotal(AggregateTable2024[], AggregateTable2024[Start], GN$1, AggregateTable2024[#Headers], $D17)</f>
        <v>-2174.83</v>
      </c>
      <c r="GP17" s="29">
        <f>Buckets_3_24[[#This Row],[Start]]+Buckets_3_24[[#This Row],[Transactions]]</f>
        <v>325.17000000000007</v>
      </c>
      <c r="GQ17" s="29">
        <f t="shared" si="39"/>
        <v>2500</v>
      </c>
      <c r="GR17" s="29">
        <f>Buckets_3_24[[#This Row],[Capacity]]-Buckets_3_24[[#This Row],[After T]]</f>
        <v>2174.83</v>
      </c>
      <c r="GS17" s="29">
        <f>MAX(-Buckets_3_24[[#This Row],[Cap Diff]], 0)</f>
        <v>0</v>
      </c>
      <c r="GT17" s="29">
        <f>Buckets_3_24[[#This Row],[After T]]-Buckets_3_24[[#This Row],[Slush]]</f>
        <v>325.17000000000007</v>
      </c>
      <c r="GU17" s="29">
        <f>Buckets_3_24[[#This Row],[Capacity]]-Buckets_3_24[[#This Row],[Before Fill]]</f>
        <v>2174.83</v>
      </c>
      <c r="GV17" t="b">
        <f>OR(GL17, Buckets_3_24[[#This Row],[After T]]&lt;0)</f>
        <v>1</v>
      </c>
      <c r="GW17" s="29">
        <f>IF(Buckets_3_24[[#This Row],[Is Crit]], Buckets_3_24[[#This Row],[S Cap Diff]], 0)</f>
        <v>2174.83</v>
      </c>
      <c r="GX17" s="29">
        <f>Buckets_3_24[[#This Row],[Before Fill]]+Buckets_3_24[[#This Row],[Crit To Fill]]</f>
        <v>2500</v>
      </c>
      <c r="GY17" s="29">
        <f>IF(NOT(Buckets_3_24[[#This Row],[Is Crit]]), Buckets_3_24[[#This Row],[S Cap Diff]], 0)</f>
        <v>0</v>
      </c>
      <c r="GZ17" s="29">
        <f>ROUND(GX$41/Buckets_3_24[[#Totals],[NC To Fill]]*Buckets_3_24[[#This Row],[NC To Fill]], 2)</f>
        <v>0</v>
      </c>
      <c r="HA17" s="31">
        <f>Buckets_3_24[[#This Row],[Pre Scale]] + IF($D17="Unexpected Fund", GX33-Buckets_3_24[[#Totals],[Pre Scale]], 0)</f>
        <v>0</v>
      </c>
      <c r="HB17" s="31">
        <f>Buckets_3_24[[#This Row],[Crit Filled]]+Buckets_3_24[[#This Row],[Scaled]]</f>
        <v>2500</v>
      </c>
      <c r="HC17" s="31">
        <f>Buckets_3_24[[#This Row],[NC Filled]]</f>
        <v>2500</v>
      </c>
      <c r="HD17" s="31">
        <f>Buckets_3_24[[#This Row],[Capacity]]-Buckets_3_24[[#This Row],[Final]]</f>
        <v>0</v>
      </c>
      <c r="HE17" s="33">
        <f>IF(Buckets_3_24[[#This Row],[Capacity]]=0, 1, Buckets_3_24[[#This Row],[Final]]/Buckets_3_24[[#This Row],[Capacity]])</f>
        <v>1</v>
      </c>
      <c r="HG17" s="40">
        <f>Buckets_3_24[[#This Row],[Final]]</f>
        <v>2500</v>
      </c>
      <c r="HH17" s="40">
        <f>Buckets_3_24[[#This Row],[Capacity]]</f>
        <v>2500</v>
      </c>
      <c r="HI17" s="41" t="b">
        <f t="shared" si="40"/>
        <v>1</v>
      </c>
      <c r="HJ17" s="42"/>
      <c r="HK17" s="42"/>
      <c r="HL17" s="42"/>
      <c r="HM17" s="42"/>
      <c r="HN17" s="43"/>
      <c r="HO17" s="40">
        <f t="shared" si="41"/>
        <v>2500</v>
      </c>
      <c r="HP17" s="40">
        <f t="shared" si="42"/>
        <v>2500</v>
      </c>
      <c r="HQ17" s="41" t="b">
        <f t="shared" si="7"/>
        <v>1</v>
      </c>
      <c r="HS17" s="29">
        <f t="shared" si="43"/>
        <v>2500</v>
      </c>
      <c r="HT17" s="29">
        <f>GetTransactionTotal(AggregateTable2024[], AggregateTable2024[Start], HS$1, AggregateTable2024[#Headers], $D17)</f>
        <v>-2060.04</v>
      </c>
      <c r="HU17" s="29">
        <f>Buckets_4_24[[#This Row],[Start]]+Buckets_4_24[[#This Row],[Transactions]]</f>
        <v>439.96000000000004</v>
      </c>
      <c r="HV17" s="29">
        <f t="shared" si="44"/>
        <v>2500</v>
      </c>
      <c r="HW17" s="29">
        <f>Buckets_4_24[[#This Row],[Capacity]]-Buckets_4_24[[#This Row],[After T]]</f>
        <v>2060.04</v>
      </c>
      <c r="HX17" s="29">
        <f>MAX(-Buckets_4_24[[#This Row],[Cap Diff]], 0)</f>
        <v>0</v>
      </c>
      <c r="HY17" s="29">
        <f>Buckets_4_24[[#This Row],[After T]]-Buckets_4_24[[#This Row],[Slush]]</f>
        <v>439.96000000000004</v>
      </c>
      <c r="HZ17" s="29">
        <f>Buckets_4_24[[#This Row],[Capacity]]-Buckets_4_24[[#This Row],[Before Fill]]</f>
        <v>2060.04</v>
      </c>
      <c r="IA17" t="b">
        <f>OR(HQ17, Buckets_4_24[[#This Row],[After T]]&lt;0)</f>
        <v>1</v>
      </c>
      <c r="IB17" s="29">
        <f>IF(Buckets_4_24[[#This Row],[Is Crit]], Buckets_4_24[[#This Row],[S Cap Diff]], 0)</f>
        <v>2060.04</v>
      </c>
      <c r="IC17" s="29">
        <f>Buckets_4_24[[#This Row],[Before Fill]]+Buckets_4_24[[#This Row],[Crit To Fill]]</f>
        <v>2500</v>
      </c>
      <c r="ID17" s="29">
        <f>IF(NOT(Buckets_4_24[[#This Row],[Is Crit]]), Buckets_4_24[[#This Row],[S Cap Diff]], 0)</f>
        <v>0</v>
      </c>
      <c r="IE17" s="29">
        <f>ROUND(IC$41/Buckets_4_24[[#Totals],[NC To Fill]]*Buckets_4_24[[#This Row],[NC To Fill]], 2)</f>
        <v>0</v>
      </c>
      <c r="IF17" s="31">
        <f>Buckets_4_24[[#This Row],[Pre Scale]] + IF($D17="Unexpected Fund", IC33-Buckets_4_24[[#Totals],[Pre Scale]], 0)</f>
        <v>0</v>
      </c>
      <c r="IG17" s="31">
        <f>Buckets_4_24[[#This Row],[Crit Filled]]+Buckets_4_24[[#This Row],[Scaled]]</f>
        <v>2500</v>
      </c>
      <c r="IH17" s="31">
        <f>Buckets_4_24[[#This Row],[NC Filled]]</f>
        <v>2500</v>
      </c>
      <c r="II17" s="31">
        <f>Buckets_4_24[[#This Row],[Capacity]]-Buckets_4_24[[#This Row],[Final]]</f>
        <v>0</v>
      </c>
      <c r="IJ17" s="33">
        <f>IF(Buckets_4_24[[#This Row],[Capacity]]=0, 1, Buckets_4_24[[#This Row],[Final]]/Buckets_4_24[[#This Row],[Capacity]])</f>
        <v>1</v>
      </c>
      <c r="IL17" s="40">
        <f>Buckets_4_24[[#This Row],[Final]]</f>
        <v>2500</v>
      </c>
      <c r="IM17" s="40">
        <f>Buckets_4_24[[#This Row],[Capacity]]</f>
        <v>2500</v>
      </c>
      <c r="IN17" s="41" t="b">
        <f t="shared" si="45"/>
        <v>1</v>
      </c>
      <c r="IO17" s="42"/>
      <c r="IP17" s="42"/>
      <c r="IQ17" s="42"/>
      <c r="IR17" s="42"/>
      <c r="IS17" s="43"/>
      <c r="IT17" s="40">
        <f t="shared" si="46"/>
        <v>2500</v>
      </c>
      <c r="IU17" s="40">
        <f t="shared" si="47"/>
        <v>2500</v>
      </c>
      <c r="IV17" s="41" t="b">
        <f t="shared" si="8"/>
        <v>1</v>
      </c>
    </row>
    <row r="18" spans="1:256" x14ac:dyDescent="0.25">
      <c r="A18" s="49"/>
      <c r="B18" t="s">
        <v>324</v>
      </c>
      <c r="C18" t="s">
        <v>215</v>
      </c>
      <c r="D18" t="s">
        <v>215</v>
      </c>
      <c r="F18" s="30">
        <v>100</v>
      </c>
      <c r="G18" s="38">
        <v>200</v>
      </c>
      <c r="H18" t="b">
        <v>1</v>
      </c>
      <c r="J18" s="50">
        <f t="shared" si="9"/>
        <v>100</v>
      </c>
      <c r="K18" s="50">
        <f>GetTransactionTotal(AggregateTable2023[], AggregateTable2023[Start], J$1, AggregateTable2023[#Headers], $D18)</f>
        <v>-76.97999999999999</v>
      </c>
      <c r="L18" s="50">
        <f>Buckets_9_23[[#This Row],[Start]]+Buckets_9_23[[#This Row],[Transactions]]</f>
        <v>23.02000000000001</v>
      </c>
      <c r="M18" s="50">
        <f t="shared" si="10"/>
        <v>200</v>
      </c>
      <c r="N18" s="50">
        <f>Buckets_9_23[[#This Row],[Capacity]]-Buckets_9_23[[#This Row],[After T]]</f>
        <v>176.98</v>
      </c>
      <c r="O18" s="50">
        <f>IF(Buckets_9_23[[#This Row],[After T]]&lt;0, Buckets_9_23[[#This Row],[After T]], IF(Buckets_9_23[[#This Row],[Cap Diff]]&lt;0, -Buckets_9_23[[#This Row],[Cap Diff]], 0))</f>
        <v>0</v>
      </c>
      <c r="P18" s="50">
        <f>Buckets_9_23[[#This Row],[After T]]-Buckets_9_23[[#This Row],[Slush]]</f>
        <v>23.02000000000001</v>
      </c>
      <c r="Q18" s="50">
        <f>Buckets_9_23[[#This Row],[Capacity]]-Buckets_9_23[[#This Row],[Before Fill]]</f>
        <v>176.98</v>
      </c>
      <c r="R18" s="31" t="b">
        <f t="shared" si="0"/>
        <v>1</v>
      </c>
      <c r="S18" s="50">
        <f>IF(Buckets_9_23[[#This Row],[Is Crit]], Buckets_9_23[[#This Row],[S Cap Diff]], 0)</f>
        <v>176.98</v>
      </c>
      <c r="T18" s="50">
        <f>Buckets_9_23[[#This Row],[Before Fill]]+Buckets_9_23[[#This Row],[Crit To Fill]]</f>
        <v>200</v>
      </c>
      <c r="U18" s="50">
        <f>IF(NOT(Buckets_9_23[[#This Row],[Is Crit]]), Buckets_9_23[[#This Row],[S Cap Diff]], 0)</f>
        <v>0</v>
      </c>
      <c r="V18" s="50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A18" s="51">
        <f>IF(Buckets_9_23[[#This Row],[Capacity]]=0, 1, Buckets_9_23[[#This Row],[Final]]/Buckets_9_23[[#This Row],[Capacity]])</f>
        <v>1</v>
      </c>
      <c r="AC18" s="31">
        <f>Buckets_9_23[[#This Row],[Final]]</f>
        <v>200</v>
      </c>
      <c r="AD18" s="31">
        <f>Buckets_9_23[[#This Row],[Capacity]]</f>
        <v>200</v>
      </c>
      <c r="AE18" t="b">
        <f>H18</f>
        <v>1</v>
      </c>
      <c r="AF18" s="43"/>
      <c r="AG18" s="42"/>
      <c r="AH18" s="43"/>
      <c r="AI18" s="42"/>
      <c r="AJ18" s="43"/>
      <c r="AK18" s="40">
        <f t="shared" si="11"/>
        <v>200</v>
      </c>
      <c r="AL18" s="40">
        <f t="shared" si="12"/>
        <v>200</v>
      </c>
      <c r="AM18" s="41" t="b">
        <f t="shared" si="1"/>
        <v>1</v>
      </c>
      <c r="AO18" s="29">
        <f t="shared" si="13"/>
        <v>200</v>
      </c>
      <c r="AP18" s="29">
        <f>GetTransactionTotal(AggregateTable2023[], AggregateTable2023[Start], AO$1, AggregateTable2023[#Headers], $D18)</f>
        <v>-101.07000000000001</v>
      </c>
      <c r="AQ18" s="29">
        <f>Buckets_10_23[[#This Row],[Start]]+Buckets_10_23[[#This Row],[Transactions]]</f>
        <v>98.929999999999993</v>
      </c>
      <c r="AR18" s="29">
        <f t="shared" si="14"/>
        <v>200</v>
      </c>
      <c r="AS18" s="29">
        <f>Buckets_10_23[[#This Row],[Capacity]]-Buckets_10_23[[#This Row],[After T]]</f>
        <v>101.07000000000001</v>
      </c>
      <c r="AT18" s="29">
        <f>MAX(-Buckets_10_23[[#This Row],[Cap Diff]], 0)</f>
        <v>0</v>
      </c>
      <c r="AU18" s="29">
        <f>Buckets_10_23[[#This Row],[After T]]-Buckets_10_23[[#This Row],[Slush]]</f>
        <v>98.929999999999993</v>
      </c>
      <c r="AV18" s="29">
        <f>Buckets_10_23[[#This Row],[Capacity]]-Buckets_10_23[[#This Row],[Before Fill]]</f>
        <v>101.07000000000001</v>
      </c>
      <c r="AW18" t="b">
        <f>OR(AM18, Buckets_10_23[[#This Row],[After T]]&lt;0)</f>
        <v>1</v>
      </c>
      <c r="AX18" s="29">
        <f>IF(Buckets_10_23[[#This Row],[Is Crit]], Buckets_10_23[[#This Row],[S Cap Diff]], 0)</f>
        <v>101.07000000000001</v>
      </c>
      <c r="AY18" s="29">
        <f>Buckets_10_23[[#This Row],[Before Fill]]+Buckets_10_23[[#This Row],[Crit To Fill]]</f>
        <v>200</v>
      </c>
      <c r="AZ18" s="29">
        <f>IF(NOT(Buckets_10_23[[#This Row],[Is Crit]]), Buckets_10_23[[#This Row],[S Cap Diff]], 0)</f>
        <v>0</v>
      </c>
      <c r="BA18" s="29">
        <f>ROUND(AY$41/Buckets_10_23[[#Totals],[NC To Fill]]*Buckets_10_23[[#This Row],[NC To Fill]], 2)</f>
        <v>0</v>
      </c>
      <c r="BB18" s="31">
        <f>Buckets_10_23[[#This Row],[Pre Scale]] + IF($D18="Unexpected Fund", AY34-Buckets_10_23[[#Totals],[Pre Scale]], 0)</f>
        <v>0</v>
      </c>
      <c r="BC18" s="31">
        <f>Buckets_10_23[[#This Row],[Crit Filled]]+Buckets_10_23[[#This Row],[Scaled]]</f>
        <v>200</v>
      </c>
      <c r="BD18" s="31">
        <f>Buckets_10_23[[#This Row],[NC Filled]]</f>
        <v>200</v>
      </c>
      <c r="BE18" s="31">
        <f>Buckets_10_23[[#This Row],[Capacity]]-Buckets_10_23[[#This Row],[Final]]</f>
        <v>0</v>
      </c>
      <c r="BF18" s="33">
        <f>IF(Buckets_10_23[[#This Row],[Capacity]]=0, 1, Buckets_10_23[[#This Row],[Final]]/Buckets_10_23[[#This Row],[Capacity]])</f>
        <v>1</v>
      </c>
      <c r="BH18" s="31">
        <f>Buckets_10_23[[#This Row],[Final]]</f>
        <v>200</v>
      </c>
      <c r="BI18" s="31">
        <f>Buckets_10_23[[#This Row],[Capacity]]</f>
        <v>200</v>
      </c>
      <c r="BJ18" t="b">
        <f t="shared" si="15"/>
        <v>1</v>
      </c>
      <c r="BK18" s="43"/>
      <c r="BL18" s="42"/>
      <c r="BM18" s="43"/>
      <c r="BN18" s="42"/>
      <c r="BO18" s="43"/>
      <c r="BP18" s="40">
        <f t="shared" si="16"/>
        <v>200</v>
      </c>
      <c r="BQ18" s="40">
        <f t="shared" si="17"/>
        <v>200</v>
      </c>
      <c r="BR18" s="41" t="b">
        <f t="shared" si="2"/>
        <v>1</v>
      </c>
      <c r="BT18" s="29">
        <f t="shared" si="18"/>
        <v>200</v>
      </c>
      <c r="BU18" s="29">
        <f>GetTransactionTotal(AggregateTable2023[], AggregateTable2023[Start], BT$1, AggregateTable2023[#Headers], $D18)</f>
        <v>-43.63</v>
      </c>
      <c r="BV18" s="29">
        <f>Buckets_11_23[[#This Row],[Start]]+Buckets_11_23[[#This Row],[Transactions]]</f>
        <v>156.37</v>
      </c>
      <c r="BW18" s="29">
        <f t="shared" si="19"/>
        <v>200</v>
      </c>
      <c r="BX18" s="29">
        <f>Buckets_11_23[[#This Row],[Capacity]]-Buckets_11_23[[#This Row],[After T]]</f>
        <v>43.629999999999995</v>
      </c>
      <c r="BY18" s="29">
        <f>MAX(-Buckets_11_23[[#This Row],[Cap Diff]], 0)</f>
        <v>0</v>
      </c>
      <c r="BZ18" s="29">
        <f>Buckets_11_23[[#This Row],[After T]]-Buckets_11_23[[#This Row],[Slush]]</f>
        <v>156.37</v>
      </c>
      <c r="CA18" s="29">
        <f>Buckets_11_23[[#This Row],[Capacity]]-Buckets_11_23[[#This Row],[Before Fill]]</f>
        <v>43.629999999999995</v>
      </c>
      <c r="CB18" t="b">
        <f>OR(BR18, Buckets_11_23[[#This Row],[After T]]&lt;0)</f>
        <v>1</v>
      </c>
      <c r="CC18" s="29">
        <f>IF(Buckets_11_23[[#This Row],[Is Crit]], Buckets_11_23[[#This Row],[S Cap Diff]], 0)</f>
        <v>43.629999999999995</v>
      </c>
      <c r="CD18" s="29">
        <f>Buckets_11_23[[#This Row],[Before Fill]]+Buckets_11_23[[#This Row],[Crit To Fill]]</f>
        <v>200</v>
      </c>
      <c r="CE18" s="29">
        <f>IF(NOT(Buckets_11_23[[#This Row],[Is Crit]]), Buckets_11_23[[#This Row],[S Cap Diff]], 0)</f>
        <v>0</v>
      </c>
      <c r="CF18" s="29">
        <f>ROUND(CD$41/Buckets_11_23[[#Totals],[NC To Fill]]*Buckets_11_23[[#This Row],[NC To Fill]], 2)</f>
        <v>0</v>
      </c>
      <c r="CG18" s="31">
        <f>Buckets_11_23[[#This Row],[Pre Scale]] + IF($D18="Unexpected Fund", CD34-Buckets_11_23[[#Totals],[Pre Scale]], 0)</f>
        <v>0</v>
      </c>
      <c r="CH18" s="31">
        <f>Buckets_11_23[[#This Row],[Crit Filled]]+Buckets_11_23[[#This Row],[Scaled]]</f>
        <v>200</v>
      </c>
      <c r="CI18" s="31">
        <f>Buckets_11_23[[#This Row],[NC Filled]]</f>
        <v>200</v>
      </c>
      <c r="CJ18" s="31">
        <f>Buckets_11_23[[#This Row],[Capacity]]-Buckets_11_23[[#This Row],[Final]]</f>
        <v>0</v>
      </c>
      <c r="CK18" s="33">
        <f>IF(Buckets_11_23[[#This Row],[Capacity]]=0, 1, Buckets_11_23[[#This Row],[Final]]/Buckets_11_23[[#This Row],[Capacity]])</f>
        <v>1</v>
      </c>
      <c r="CM18" s="40">
        <f>Buckets_11_23[[#This Row],[Final]]</f>
        <v>200</v>
      </c>
      <c r="CN18" s="40">
        <f>Buckets_11_23[[#This Row],[Capacity]]</f>
        <v>200</v>
      </c>
      <c r="CO18" s="41" t="b">
        <f t="shared" si="20"/>
        <v>1</v>
      </c>
      <c r="CP18" s="42"/>
      <c r="CQ18" s="42"/>
      <c r="CR18" s="42"/>
      <c r="CS18" s="42">
        <v>300</v>
      </c>
      <c r="CT18" s="43"/>
      <c r="CU18" s="40">
        <f t="shared" si="21"/>
        <v>200</v>
      </c>
      <c r="CV18" s="40">
        <f t="shared" si="22"/>
        <v>300</v>
      </c>
      <c r="CW18" s="41" t="b">
        <f t="shared" si="3"/>
        <v>1</v>
      </c>
      <c r="CY18" s="29">
        <f t="shared" si="23"/>
        <v>200</v>
      </c>
      <c r="CZ18" s="29">
        <f>GetTransactionTotal(AggregateTable2023[], AggregateTable2023[Start], CY$1, AggregateTable2023[#Headers], $D18)</f>
        <v>-35</v>
      </c>
      <c r="DA18" s="29">
        <f>Buckets_12_23[[#This Row],[Start]]+Buckets_12_23[[#This Row],[Transactions]]</f>
        <v>165</v>
      </c>
      <c r="DB18" s="29">
        <f t="shared" si="24"/>
        <v>300</v>
      </c>
      <c r="DC18" s="29">
        <f>Buckets_12_23[[#This Row],[Capacity]]-Buckets_12_23[[#This Row],[After T]]</f>
        <v>135</v>
      </c>
      <c r="DD18" s="29">
        <f>MAX(-Buckets_12_23[[#This Row],[Cap Diff]], 0)</f>
        <v>0</v>
      </c>
      <c r="DE18" s="29">
        <f>Buckets_12_23[[#This Row],[After T]]-Buckets_12_23[[#This Row],[Slush]]</f>
        <v>165</v>
      </c>
      <c r="DF18" s="29">
        <f>Buckets_12_23[[#This Row],[Capacity]]-Buckets_12_23[[#This Row],[Before Fill]]</f>
        <v>135</v>
      </c>
      <c r="DG18" t="b">
        <f>OR(CW18, Buckets_12_23[[#This Row],[After T]]&lt;0)</f>
        <v>1</v>
      </c>
      <c r="DH18" s="29">
        <f>IF(Buckets_12_23[[#This Row],[Is Crit]], Buckets_12_23[[#This Row],[S Cap Diff]], 0)</f>
        <v>135</v>
      </c>
      <c r="DI18" s="29">
        <f>Buckets_12_23[[#This Row],[Before Fill]]+Buckets_12_23[[#This Row],[Crit To Fill]]</f>
        <v>300</v>
      </c>
      <c r="DJ18" s="29">
        <f>IF(NOT(Buckets_12_23[[#This Row],[Is Crit]]), Buckets_12_23[[#This Row],[S Cap Diff]], 0)</f>
        <v>0</v>
      </c>
      <c r="DK18" s="29">
        <f>ROUND(DI$41/Buckets_12_23[[#Totals],[NC To Fill]]*Buckets_12_23[[#This Row],[NC To Fill]], 2)</f>
        <v>0</v>
      </c>
      <c r="DL18" s="31">
        <f>Buckets_12_23[[#This Row],[Pre Scale]] + IF($D18="Unexpected Fund", DI34-Buckets_12_23[[#Totals],[Pre Scale]], 0)</f>
        <v>0</v>
      </c>
      <c r="DM18" s="31">
        <f>Buckets_12_23[[#This Row],[Crit Filled]]+Buckets_12_23[[#This Row],[Scaled]]</f>
        <v>300</v>
      </c>
      <c r="DN18" s="31">
        <f>Buckets_12_23[[#This Row],[NC Filled]]</f>
        <v>300</v>
      </c>
      <c r="DO18" s="31">
        <f>Buckets_12_23[[#This Row],[Capacity]]-Buckets_12_23[[#This Row],[Final]]</f>
        <v>0</v>
      </c>
      <c r="DP18" s="33">
        <f>IF(Buckets_12_23[[#This Row],[Capacity]]=0, 1, Buckets_12_23[[#This Row],[Final]]/Buckets_12_23[[#This Row],[Capacity]])</f>
        <v>1</v>
      </c>
      <c r="DR18" s="40">
        <f>Buckets_12_23[[#This Row],[Final]]</f>
        <v>300</v>
      </c>
      <c r="DS18" s="40">
        <f>Buckets_12_23[[#This Row],[Capacity]]</f>
        <v>300</v>
      </c>
      <c r="DT18" s="41" t="b">
        <f t="shared" si="25"/>
        <v>1</v>
      </c>
      <c r="DU18" s="42"/>
      <c r="DV18" s="42"/>
      <c r="DW18" s="42"/>
      <c r="DX18" s="42"/>
      <c r="DY18" s="43"/>
      <c r="DZ18" s="40">
        <f t="shared" si="26"/>
        <v>300</v>
      </c>
      <c r="EA18" s="40">
        <f t="shared" si="27"/>
        <v>300</v>
      </c>
      <c r="EB18" s="41" t="b">
        <f t="shared" si="4"/>
        <v>1</v>
      </c>
      <c r="ED18" s="29">
        <f t="shared" si="28"/>
        <v>300</v>
      </c>
      <c r="EE18" s="29">
        <f>GetTransactionTotal(AggregateTable2024[], AggregateTable2024[Start], ED$1, AggregateTable2024[#Headers], $D18)</f>
        <v>-35</v>
      </c>
      <c r="EF18" s="29">
        <f>Buckets_1_24[[#This Row],[Start]]+Buckets_1_24[[#This Row],[Transactions]]</f>
        <v>265</v>
      </c>
      <c r="EG18" s="29">
        <f t="shared" si="29"/>
        <v>300</v>
      </c>
      <c r="EH18" s="29">
        <f>Buckets_1_24[[#This Row],[Capacity]]-Buckets_1_24[[#This Row],[After T]]</f>
        <v>35</v>
      </c>
      <c r="EI18" s="29">
        <f>MAX(-Buckets_1_24[[#This Row],[Cap Diff]], 0)</f>
        <v>0</v>
      </c>
      <c r="EJ18" s="29">
        <f>Buckets_1_24[[#This Row],[After T]]-Buckets_1_24[[#This Row],[Slush]]</f>
        <v>265</v>
      </c>
      <c r="EK18" s="29">
        <f>Buckets_1_24[[#This Row],[Capacity]]-Buckets_1_24[[#This Row],[Before Fill]]</f>
        <v>35</v>
      </c>
      <c r="EL18" t="b">
        <f>OR(EB18, Buckets_1_24[[#This Row],[After T]]&lt;0)</f>
        <v>1</v>
      </c>
      <c r="EM18" s="29">
        <f>IF(Buckets_1_24[[#This Row],[Is Crit]], Buckets_1_24[[#This Row],[S Cap Diff]], 0)</f>
        <v>35</v>
      </c>
      <c r="EN18" s="29">
        <f>Buckets_1_24[[#This Row],[Before Fill]]+Buckets_1_24[[#This Row],[Crit To Fill]]</f>
        <v>300</v>
      </c>
      <c r="EO18" s="29">
        <f>IF(NOT(Buckets_1_24[[#This Row],[Is Crit]]), Buckets_1_24[[#This Row],[S Cap Diff]], 0)</f>
        <v>0</v>
      </c>
      <c r="EP18" s="29">
        <f>ROUND(EN$41/Buckets_1_24[[#Totals],[NC To Fill]]*Buckets_1_24[[#This Row],[NC To Fill]], 2)</f>
        <v>0</v>
      </c>
      <c r="EQ18" s="31">
        <f>Buckets_1_24[[#This Row],[Pre Scale]] + IF($D18="Unexpected Fund", EN34-Buckets_1_24[[#Totals],[Pre Scale]], 0)</f>
        <v>0</v>
      </c>
      <c r="ER18" s="31">
        <f>Buckets_1_24[[#This Row],[Crit Filled]]+Buckets_1_24[[#This Row],[Scaled]]</f>
        <v>300</v>
      </c>
      <c r="ES18" s="31">
        <f>Buckets_1_24[[#This Row],[NC Filled]]</f>
        <v>300</v>
      </c>
      <c r="ET18" s="31">
        <f>Buckets_1_24[[#This Row],[Capacity]]-Buckets_1_24[[#This Row],[Final]]</f>
        <v>0</v>
      </c>
      <c r="EU18" s="33">
        <f>IF(Buckets_1_24[[#This Row],[Capacity]]=0, 1, Buckets_1_24[[#This Row],[Final]]/Buckets_1_24[[#This Row],[Capacity]])</f>
        <v>1</v>
      </c>
      <c r="EW18" s="40">
        <f>Buckets_1_24[[#This Row],[Final]]</f>
        <v>300</v>
      </c>
      <c r="EX18" s="40">
        <f>Buckets_1_24[[#This Row],[Capacity]]</f>
        <v>300</v>
      </c>
      <c r="EY18" s="41" t="b">
        <f t="shared" si="30"/>
        <v>1</v>
      </c>
      <c r="EZ18" s="42"/>
      <c r="FA18" s="42"/>
      <c r="FB18" s="42"/>
      <c r="FC18" s="42"/>
      <c r="FD18" s="43"/>
      <c r="FE18" s="40">
        <f t="shared" si="31"/>
        <v>300</v>
      </c>
      <c r="FF18" s="40">
        <f t="shared" si="32"/>
        <v>300</v>
      </c>
      <c r="FG18" s="41" t="b">
        <f t="shared" si="5"/>
        <v>1</v>
      </c>
      <c r="FI18" s="29">
        <f t="shared" si="33"/>
        <v>300</v>
      </c>
      <c r="FJ18" s="29">
        <f>GetTransactionTotal(AggregateTable2024[], AggregateTable2024[Start], FI$1, AggregateTable2024[#Headers], $D18)</f>
        <v>-35</v>
      </c>
      <c r="FK18" s="29">
        <f>Buckets_2_24[[#This Row],[Start]]+Buckets_2_24[[#This Row],[Transactions]]</f>
        <v>265</v>
      </c>
      <c r="FL18" s="29">
        <f t="shared" si="34"/>
        <v>300</v>
      </c>
      <c r="FM18" s="29">
        <f>Buckets_2_24[[#This Row],[Capacity]]-Buckets_2_24[[#This Row],[After T]]</f>
        <v>35</v>
      </c>
      <c r="FN18" s="29">
        <f>MAX(-Buckets_2_24[[#This Row],[Cap Diff]], 0)</f>
        <v>0</v>
      </c>
      <c r="FO18" s="29">
        <f>Buckets_2_24[[#This Row],[After T]]-Buckets_2_24[[#This Row],[Slush]]</f>
        <v>265</v>
      </c>
      <c r="FP18" s="29">
        <f>Buckets_2_24[[#This Row],[Capacity]]-Buckets_2_24[[#This Row],[Before Fill]]</f>
        <v>35</v>
      </c>
      <c r="FQ18" t="b">
        <f>OR(FG18, Buckets_2_24[[#This Row],[After T]]&lt;0)</f>
        <v>1</v>
      </c>
      <c r="FR18" s="29">
        <f>IF(Buckets_2_24[[#This Row],[Is Crit]], Buckets_2_24[[#This Row],[S Cap Diff]], 0)</f>
        <v>35</v>
      </c>
      <c r="FS18" s="29">
        <f>Buckets_2_24[[#This Row],[Before Fill]]+Buckets_2_24[[#This Row],[Crit To Fill]]</f>
        <v>300</v>
      </c>
      <c r="FT18" s="29">
        <f>IF(NOT(Buckets_2_24[[#This Row],[Is Crit]]), Buckets_2_24[[#This Row],[S Cap Diff]], 0)</f>
        <v>0</v>
      </c>
      <c r="FU18" s="29">
        <f>ROUND(FS$41/Buckets_2_24[[#Totals],[NC To Fill]]*Buckets_2_24[[#This Row],[NC To Fill]], 2)</f>
        <v>0</v>
      </c>
      <c r="FV18" s="31">
        <f>Buckets_2_24[[#This Row],[Pre Scale]] + IF($D18="Unexpected Fund", FS34-Buckets_2_24[[#Totals],[Pre Scale]], 0)</f>
        <v>0</v>
      </c>
      <c r="FW18" s="31">
        <f>Buckets_2_24[[#This Row],[Crit Filled]]+Buckets_2_24[[#This Row],[Scaled]]</f>
        <v>300</v>
      </c>
      <c r="FX18" s="31">
        <f>Buckets_2_24[[#This Row],[NC Filled]]</f>
        <v>300</v>
      </c>
      <c r="FY18" s="31">
        <f>Buckets_2_24[[#This Row],[Capacity]]-Buckets_2_24[[#This Row],[Final]]</f>
        <v>0</v>
      </c>
      <c r="FZ18" s="33">
        <f>IF(Buckets_2_24[[#This Row],[Capacity]]=0, 1, Buckets_2_24[[#This Row],[Final]]/Buckets_2_24[[#This Row],[Capacity]])</f>
        <v>1</v>
      </c>
      <c r="GB18" s="40">
        <f>Buckets_2_24[[#This Row],[Final]]</f>
        <v>300</v>
      </c>
      <c r="GC18" s="40">
        <f>Buckets_2_24[[#This Row],[Capacity]]</f>
        <v>300</v>
      </c>
      <c r="GD18" s="41" t="b">
        <f t="shared" si="35"/>
        <v>1</v>
      </c>
      <c r="GE18" s="42"/>
      <c r="GF18" s="42"/>
      <c r="GG18" s="42"/>
      <c r="GH18" s="42"/>
      <c r="GI18" s="43"/>
      <c r="GJ18" s="40">
        <f t="shared" si="36"/>
        <v>300</v>
      </c>
      <c r="GK18" s="40">
        <f t="shared" si="37"/>
        <v>300</v>
      </c>
      <c r="GL18" s="41" t="b">
        <f t="shared" si="6"/>
        <v>1</v>
      </c>
      <c r="GN18" s="29">
        <f t="shared" si="38"/>
        <v>300</v>
      </c>
      <c r="GO18" s="29">
        <f>GetTransactionTotal(AggregateTable2024[], AggregateTable2024[Start], GN$1, AggregateTable2024[#Headers], $D18)</f>
        <v>-35</v>
      </c>
      <c r="GP18" s="29">
        <f>Buckets_3_24[[#This Row],[Start]]+Buckets_3_24[[#This Row],[Transactions]]</f>
        <v>265</v>
      </c>
      <c r="GQ18" s="29">
        <f t="shared" si="39"/>
        <v>300</v>
      </c>
      <c r="GR18" s="29">
        <f>Buckets_3_24[[#This Row],[Capacity]]-Buckets_3_24[[#This Row],[After T]]</f>
        <v>35</v>
      </c>
      <c r="GS18" s="29">
        <f>MAX(-Buckets_3_24[[#This Row],[Cap Diff]], 0)</f>
        <v>0</v>
      </c>
      <c r="GT18" s="29">
        <f>Buckets_3_24[[#This Row],[After T]]-Buckets_3_24[[#This Row],[Slush]]</f>
        <v>265</v>
      </c>
      <c r="GU18" s="29">
        <f>Buckets_3_24[[#This Row],[Capacity]]-Buckets_3_24[[#This Row],[Before Fill]]</f>
        <v>35</v>
      </c>
      <c r="GV18" t="b">
        <f>OR(GL18, Buckets_3_24[[#This Row],[After T]]&lt;0)</f>
        <v>1</v>
      </c>
      <c r="GW18" s="29">
        <f>IF(Buckets_3_24[[#This Row],[Is Crit]], Buckets_3_24[[#This Row],[S Cap Diff]], 0)</f>
        <v>35</v>
      </c>
      <c r="GX18" s="29">
        <f>Buckets_3_24[[#This Row],[Before Fill]]+Buckets_3_24[[#This Row],[Crit To Fill]]</f>
        <v>300</v>
      </c>
      <c r="GY18" s="29">
        <f>IF(NOT(Buckets_3_24[[#This Row],[Is Crit]]), Buckets_3_24[[#This Row],[S Cap Diff]], 0)</f>
        <v>0</v>
      </c>
      <c r="GZ18" s="29">
        <f>ROUND(GX$41/Buckets_3_24[[#Totals],[NC To Fill]]*Buckets_3_24[[#This Row],[NC To Fill]], 2)</f>
        <v>0</v>
      </c>
      <c r="HA18" s="31">
        <f>Buckets_3_24[[#This Row],[Pre Scale]] + IF($D18="Unexpected Fund", GX34-Buckets_3_24[[#Totals],[Pre Scale]], 0)</f>
        <v>0</v>
      </c>
      <c r="HB18" s="31">
        <f>Buckets_3_24[[#This Row],[Crit Filled]]+Buckets_3_24[[#This Row],[Scaled]]</f>
        <v>300</v>
      </c>
      <c r="HC18" s="31">
        <f>Buckets_3_24[[#This Row],[NC Filled]]</f>
        <v>300</v>
      </c>
      <c r="HD18" s="31">
        <f>Buckets_3_24[[#This Row],[Capacity]]-Buckets_3_24[[#This Row],[Final]]</f>
        <v>0</v>
      </c>
      <c r="HE18" s="33">
        <f>IF(Buckets_3_24[[#This Row],[Capacity]]=0, 1, Buckets_3_24[[#This Row],[Final]]/Buckets_3_24[[#This Row],[Capacity]])</f>
        <v>1</v>
      </c>
      <c r="HG18" s="40">
        <f>Buckets_3_24[[#This Row],[Final]]</f>
        <v>300</v>
      </c>
      <c r="HH18" s="40">
        <f>Buckets_3_24[[#This Row],[Capacity]]</f>
        <v>300</v>
      </c>
      <c r="HI18" s="41" t="b">
        <f t="shared" si="40"/>
        <v>1</v>
      </c>
      <c r="HJ18" s="42"/>
      <c r="HK18" s="42"/>
      <c r="HL18" s="42"/>
      <c r="HM18" s="42"/>
      <c r="HN18" s="43"/>
      <c r="HO18" s="40">
        <f t="shared" si="41"/>
        <v>300</v>
      </c>
      <c r="HP18" s="40">
        <f t="shared" si="42"/>
        <v>300</v>
      </c>
      <c r="HQ18" s="41" t="b">
        <f t="shared" si="7"/>
        <v>1</v>
      </c>
      <c r="HS18" s="29">
        <f t="shared" si="43"/>
        <v>300</v>
      </c>
      <c r="HT18" s="29">
        <f>GetTransactionTotal(AggregateTable2024[], AggregateTable2024[Start], HS$1, AggregateTable2024[#Headers], $D18)</f>
        <v>-68.89</v>
      </c>
      <c r="HU18" s="29">
        <f>Buckets_4_24[[#This Row],[Start]]+Buckets_4_24[[#This Row],[Transactions]]</f>
        <v>231.11</v>
      </c>
      <c r="HV18" s="29">
        <f t="shared" si="44"/>
        <v>300</v>
      </c>
      <c r="HW18" s="29">
        <f>Buckets_4_24[[#This Row],[Capacity]]-Buckets_4_24[[#This Row],[After T]]</f>
        <v>68.889999999999986</v>
      </c>
      <c r="HX18" s="29">
        <f>MAX(-Buckets_4_24[[#This Row],[Cap Diff]], 0)</f>
        <v>0</v>
      </c>
      <c r="HY18" s="29">
        <f>Buckets_4_24[[#This Row],[After T]]-Buckets_4_24[[#This Row],[Slush]]</f>
        <v>231.11</v>
      </c>
      <c r="HZ18" s="29">
        <f>Buckets_4_24[[#This Row],[Capacity]]-Buckets_4_24[[#This Row],[Before Fill]]</f>
        <v>68.889999999999986</v>
      </c>
      <c r="IA18" t="b">
        <f>OR(HQ18, Buckets_4_24[[#This Row],[After T]]&lt;0)</f>
        <v>1</v>
      </c>
      <c r="IB18" s="29">
        <f>IF(Buckets_4_24[[#This Row],[Is Crit]], Buckets_4_24[[#This Row],[S Cap Diff]], 0)</f>
        <v>68.889999999999986</v>
      </c>
      <c r="IC18" s="29">
        <f>Buckets_4_24[[#This Row],[Before Fill]]+Buckets_4_24[[#This Row],[Crit To Fill]]</f>
        <v>300</v>
      </c>
      <c r="ID18" s="29">
        <f>IF(NOT(Buckets_4_24[[#This Row],[Is Crit]]), Buckets_4_24[[#This Row],[S Cap Diff]], 0)</f>
        <v>0</v>
      </c>
      <c r="IE18" s="29">
        <f>ROUND(IC$41/Buckets_4_24[[#Totals],[NC To Fill]]*Buckets_4_24[[#This Row],[NC To Fill]], 2)</f>
        <v>0</v>
      </c>
      <c r="IF18" s="31">
        <f>Buckets_4_24[[#This Row],[Pre Scale]] + IF($D18="Unexpected Fund", IC34-Buckets_4_24[[#Totals],[Pre Scale]], 0)</f>
        <v>0</v>
      </c>
      <c r="IG18" s="31">
        <f>Buckets_4_24[[#This Row],[Crit Filled]]+Buckets_4_24[[#This Row],[Scaled]]</f>
        <v>300</v>
      </c>
      <c r="IH18" s="31">
        <f>Buckets_4_24[[#This Row],[NC Filled]]</f>
        <v>300</v>
      </c>
      <c r="II18" s="31">
        <f>Buckets_4_24[[#This Row],[Capacity]]-Buckets_4_24[[#This Row],[Final]]</f>
        <v>0</v>
      </c>
      <c r="IJ18" s="33">
        <f>IF(Buckets_4_24[[#This Row],[Capacity]]=0, 1, Buckets_4_24[[#This Row],[Final]]/Buckets_4_24[[#This Row],[Capacity]])</f>
        <v>1</v>
      </c>
      <c r="IL18" s="40">
        <f>Buckets_4_24[[#This Row],[Final]]</f>
        <v>300</v>
      </c>
      <c r="IM18" s="40">
        <f>Buckets_4_24[[#This Row],[Capacity]]</f>
        <v>300</v>
      </c>
      <c r="IN18" s="41" t="b">
        <f t="shared" si="45"/>
        <v>1</v>
      </c>
      <c r="IO18" s="42"/>
      <c r="IP18" s="42"/>
      <c r="IQ18" s="42"/>
      <c r="IR18" s="42"/>
      <c r="IS18" s="43"/>
      <c r="IT18" s="40">
        <f t="shared" si="46"/>
        <v>300</v>
      </c>
      <c r="IU18" s="40">
        <f t="shared" si="47"/>
        <v>300</v>
      </c>
      <c r="IV18" s="41" t="b">
        <f t="shared" si="8"/>
        <v>1</v>
      </c>
    </row>
    <row r="19" spans="1:256" x14ac:dyDescent="0.25">
      <c r="A19" s="49"/>
      <c r="B19" t="s">
        <v>324</v>
      </c>
      <c r="C19" t="s">
        <v>294</v>
      </c>
      <c r="D19" t="s">
        <v>294</v>
      </c>
      <c r="F19" s="30">
        <v>100</v>
      </c>
      <c r="G19" s="38">
        <v>200</v>
      </c>
      <c r="H19" t="b">
        <v>1</v>
      </c>
      <c r="J19" s="50">
        <f t="shared" si="9"/>
        <v>100</v>
      </c>
      <c r="K19" s="50">
        <f>GetTransactionTotal(AggregateTable2023[], AggregateTable2023[Start], J$1, AggregateTable2023[#Headers], $D19)</f>
        <v>-60.74</v>
      </c>
      <c r="L19" s="50">
        <f>Buckets_9_23[[#This Row],[Start]]+Buckets_9_23[[#This Row],[Transactions]]</f>
        <v>39.26</v>
      </c>
      <c r="M19" s="50">
        <f t="shared" si="10"/>
        <v>200</v>
      </c>
      <c r="N19" s="50">
        <f>Buckets_9_23[[#This Row],[Capacity]]-Buckets_9_23[[#This Row],[After T]]</f>
        <v>160.74</v>
      </c>
      <c r="O19" s="50">
        <f>IF(Buckets_9_23[[#This Row],[After T]]&lt;0, Buckets_9_23[[#This Row],[After T]], IF(Buckets_9_23[[#This Row],[Cap Diff]]&lt;0, -Buckets_9_23[[#This Row],[Cap Diff]], 0))</f>
        <v>0</v>
      </c>
      <c r="P19" s="50">
        <f>Buckets_9_23[[#This Row],[After T]]-Buckets_9_23[[#This Row],[Slush]]</f>
        <v>39.26</v>
      </c>
      <c r="Q19" s="50">
        <f>Buckets_9_23[[#This Row],[Capacity]]-Buckets_9_23[[#This Row],[Before Fill]]</f>
        <v>160.74</v>
      </c>
      <c r="R19" s="31" t="b">
        <f t="shared" si="0"/>
        <v>1</v>
      </c>
      <c r="S19" s="50">
        <f>IF(Buckets_9_23[[#This Row],[Is Crit]], Buckets_9_23[[#This Row],[S Cap Diff]], 0)</f>
        <v>160.74</v>
      </c>
      <c r="T19" s="50">
        <f>Buckets_9_23[[#This Row],[Before Fill]]+Buckets_9_23[[#This Row],[Crit To Fill]]</f>
        <v>200</v>
      </c>
      <c r="U19" s="50">
        <f>IF(NOT(Buckets_9_23[[#This Row],[Is Crit]]), Buckets_9_23[[#This Row],[S Cap Diff]], 0)</f>
        <v>0</v>
      </c>
      <c r="V19" s="50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A19" s="51">
        <f>IF(Buckets_9_23[[#This Row],[Capacity]]=0, 1, Buckets_9_23[[#This Row],[Final]]/Buckets_9_23[[#This Row],[Capacity]])</f>
        <v>1</v>
      </c>
      <c r="AC19" s="31">
        <f>Buckets_9_23[[#This Row],[Final]]</f>
        <v>200</v>
      </c>
      <c r="AD19" s="31">
        <f>Buckets_9_23[[#This Row],[Capacity]]</f>
        <v>200</v>
      </c>
      <c r="AE19" t="b">
        <f>H19</f>
        <v>1</v>
      </c>
      <c r="AF19" s="43"/>
      <c r="AG19" s="42"/>
      <c r="AH19" s="43"/>
      <c r="AI19" s="42"/>
      <c r="AJ19" s="43"/>
      <c r="AK19" s="40">
        <f t="shared" si="11"/>
        <v>200</v>
      </c>
      <c r="AL19" s="40">
        <f t="shared" si="12"/>
        <v>200</v>
      </c>
      <c r="AM19" s="41" t="b">
        <f t="shared" si="1"/>
        <v>1</v>
      </c>
      <c r="AO19" s="29">
        <f t="shared" si="13"/>
        <v>200</v>
      </c>
      <c r="AP19" s="29">
        <f>GetTransactionTotal(AggregateTable2023[], AggregateTable2023[Start], AO$1, AggregateTable2023[#Headers], $D19)</f>
        <v>-60.74</v>
      </c>
      <c r="AQ19" s="29">
        <f>Buckets_10_23[[#This Row],[Start]]+Buckets_10_23[[#This Row],[Transactions]]</f>
        <v>139.26</v>
      </c>
      <c r="AR19" s="29">
        <f t="shared" si="14"/>
        <v>200</v>
      </c>
      <c r="AS19" s="29">
        <f>Buckets_10_23[[#This Row],[Capacity]]-Buckets_10_23[[#This Row],[After T]]</f>
        <v>60.740000000000009</v>
      </c>
      <c r="AT19" s="29">
        <f>MAX(-Buckets_10_23[[#This Row],[Cap Diff]], 0)</f>
        <v>0</v>
      </c>
      <c r="AU19" s="29">
        <f>Buckets_10_23[[#This Row],[After T]]-Buckets_10_23[[#This Row],[Slush]]</f>
        <v>139.26</v>
      </c>
      <c r="AV19" s="29">
        <f>Buckets_10_23[[#This Row],[Capacity]]-Buckets_10_23[[#This Row],[Before Fill]]</f>
        <v>60.740000000000009</v>
      </c>
      <c r="AW19" t="b">
        <f>OR(AM19, Buckets_10_23[[#This Row],[After T]]&lt;0)</f>
        <v>1</v>
      </c>
      <c r="AX19" s="29">
        <f>IF(Buckets_10_23[[#This Row],[Is Crit]], Buckets_10_23[[#This Row],[S Cap Diff]], 0)</f>
        <v>60.740000000000009</v>
      </c>
      <c r="AY19" s="29">
        <f>Buckets_10_23[[#This Row],[Before Fill]]+Buckets_10_23[[#This Row],[Crit To Fill]]</f>
        <v>200</v>
      </c>
      <c r="AZ19" s="29">
        <f>IF(NOT(Buckets_10_23[[#This Row],[Is Crit]]), Buckets_10_23[[#This Row],[S Cap Diff]], 0)</f>
        <v>0</v>
      </c>
      <c r="BA19" s="29">
        <f>ROUND(AY$41/Buckets_10_23[[#Totals],[NC To Fill]]*Buckets_10_23[[#This Row],[NC To Fill]], 2)</f>
        <v>0</v>
      </c>
      <c r="BB19" s="31">
        <f>Buckets_10_23[[#This Row],[Pre Scale]] + IF($D19="Unexpected Fund", AY35-Buckets_10_23[[#Totals],[Pre Scale]], 0)</f>
        <v>0</v>
      </c>
      <c r="BC19" s="31">
        <f>Buckets_10_23[[#This Row],[Crit Filled]]+Buckets_10_23[[#This Row],[Scaled]]</f>
        <v>200</v>
      </c>
      <c r="BD19" s="31">
        <f>Buckets_10_23[[#This Row],[NC Filled]]</f>
        <v>200</v>
      </c>
      <c r="BE19" s="31">
        <f>Buckets_10_23[[#This Row],[Capacity]]-Buckets_10_23[[#This Row],[Final]]</f>
        <v>0</v>
      </c>
      <c r="BF19" s="33">
        <f>IF(Buckets_10_23[[#This Row],[Capacity]]=0, 1, Buckets_10_23[[#This Row],[Final]]/Buckets_10_23[[#This Row],[Capacity]])</f>
        <v>1</v>
      </c>
      <c r="BH19" s="31">
        <f>Buckets_10_23[[#This Row],[Final]]</f>
        <v>200</v>
      </c>
      <c r="BI19" s="31">
        <f>Buckets_10_23[[#This Row],[Capacity]]</f>
        <v>200</v>
      </c>
      <c r="BJ19" t="b">
        <f t="shared" si="15"/>
        <v>1</v>
      </c>
      <c r="BK19" s="43"/>
      <c r="BL19" s="42"/>
      <c r="BM19" s="43"/>
      <c r="BN19" s="42"/>
      <c r="BO19" s="43"/>
      <c r="BP19" s="40">
        <f t="shared" si="16"/>
        <v>200</v>
      </c>
      <c r="BQ19" s="40">
        <f t="shared" si="17"/>
        <v>200</v>
      </c>
      <c r="BR19" s="41" t="b">
        <f t="shared" si="2"/>
        <v>1</v>
      </c>
      <c r="BT19" s="29">
        <f t="shared" si="18"/>
        <v>200</v>
      </c>
      <c r="BU19" s="29">
        <f>GetTransactionTotal(AggregateTable2023[], AggregateTable2023[Start], BT$1, AggregateTable2023[#Headers], $D19)</f>
        <v>56.69</v>
      </c>
      <c r="BV19" s="29">
        <f>Buckets_11_23[[#This Row],[Start]]+Buckets_11_23[[#This Row],[Transactions]]</f>
        <v>256.69</v>
      </c>
      <c r="BW19" s="29">
        <f t="shared" si="19"/>
        <v>200</v>
      </c>
      <c r="BX19" s="29">
        <f>Buckets_11_23[[#This Row],[Capacity]]-Buckets_11_23[[#This Row],[After T]]</f>
        <v>-56.69</v>
      </c>
      <c r="BY19" s="29">
        <f>MAX(-Buckets_11_23[[#This Row],[Cap Diff]], 0)</f>
        <v>56.69</v>
      </c>
      <c r="BZ19" s="29">
        <f>Buckets_11_23[[#This Row],[After T]]-Buckets_11_23[[#This Row],[Slush]]</f>
        <v>200</v>
      </c>
      <c r="CA19" s="29">
        <f>Buckets_11_23[[#This Row],[Capacity]]-Buckets_11_23[[#This Row],[Before Fill]]</f>
        <v>0</v>
      </c>
      <c r="CB19" t="b">
        <f>OR(BR19, Buckets_11_23[[#This Row],[After T]]&lt;0)</f>
        <v>1</v>
      </c>
      <c r="CC19" s="29">
        <f>IF(Buckets_11_23[[#This Row],[Is Crit]], Buckets_11_23[[#This Row],[S Cap Diff]], 0)</f>
        <v>0</v>
      </c>
      <c r="CD19" s="29">
        <f>Buckets_11_23[[#This Row],[Before Fill]]+Buckets_11_23[[#This Row],[Crit To Fill]]</f>
        <v>200</v>
      </c>
      <c r="CE19" s="29">
        <f>IF(NOT(Buckets_11_23[[#This Row],[Is Crit]]), Buckets_11_23[[#This Row],[S Cap Diff]], 0)</f>
        <v>0</v>
      </c>
      <c r="CF19" s="29">
        <f>ROUND(CD$41/Buckets_11_23[[#Totals],[NC To Fill]]*Buckets_11_23[[#This Row],[NC To Fill]], 2)</f>
        <v>0</v>
      </c>
      <c r="CG19" s="31">
        <f>Buckets_11_23[[#This Row],[Pre Scale]] + IF($D19="Unexpected Fund", CD35-Buckets_11_23[[#Totals],[Pre Scale]], 0)</f>
        <v>0</v>
      </c>
      <c r="CH19" s="31">
        <f>Buckets_11_23[[#This Row],[Crit Filled]]+Buckets_11_23[[#This Row],[Scaled]]</f>
        <v>200</v>
      </c>
      <c r="CI19" s="31">
        <f>Buckets_11_23[[#This Row],[NC Filled]]</f>
        <v>200</v>
      </c>
      <c r="CJ19" s="31">
        <f>Buckets_11_23[[#This Row],[Capacity]]-Buckets_11_23[[#This Row],[Final]]</f>
        <v>0</v>
      </c>
      <c r="CK19" s="33">
        <f>IF(Buckets_11_23[[#This Row],[Capacity]]=0, 1, Buckets_11_23[[#This Row],[Final]]/Buckets_11_23[[#This Row],[Capacity]])</f>
        <v>1</v>
      </c>
      <c r="CM19" s="40">
        <f>Buckets_11_23[[#This Row],[Final]]</f>
        <v>200</v>
      </c>
      <c r="CN19" s="40">
        <f>Buckets_11_23[[#This Row],[Capacity]]</f>
        <v>200</v>
      </c>
      <c r="CO19" s="41" t="b">
        <f t="shared" si="20"/>
        <v>1</v>
      </c>
      <c r="CP19" s="42"/>
      <c r="CQ19" s="42"/>
      <c r="CR19" s="42"/>
      <c r="CS19" s="42"/>
      <c r="CT19" s="43"/>
      <c r="CU19" s="40">
        <f t="shared" si="21"/>
        <v>200</v>
      </c>
      <c r="CV19" s="40">
        <f t="shared" si="22"/>
        <v>200</v>
      </c>
      <c r="CW19" s="41" t="b">
        <f t="shared" si="3"/>
        <v>1</v>
      </c>
      <c r="CY19" s="29">
        <f t="shared" si="23"/>
        <v>200</v>
      </c>
      <c r="CZ19" s="29">
        <f>GetTransactionTotal(AggregateTable2023[], AggregateTable2023[Start], CY$1, AggregateTable2023[#Headers], $D19)</f>
        <v>0</v>
      </c>
      <c r="DA19" s="29">
        <f>Buckets_12_23[[#This Row],[Start]]+Buckets_12_23[[#This Row],[Transactions]]</f>
        <v>200</v>
      </c>
      <c r="DB19" s="29">
        <f t="shared" si="24"/>
        <v>200</v>
      </c>
      <c r="DC19" s="29">
        <f>Buckets_12_23[[#This Row],[Capacity]]-Buckets_12_23[[#This Row],[After T]]</f>
        <v>0</v>
      </c>
      <c r="DD19" s="29">
        <f>MAX(-Buckets_12_23[[#This Row],[Cap Diff]], 0)</f>
        <v>0</v>
      </c>
      <c r="DE19" s="29">
        <f>Buckets_12_23[[#This Row],[After T]]-Buckets_12_23[[#This Row],[Slush]]</f>
        <v>200</v>
      </c>
      <c r="DF19" s="29">
        <f>Buckets_12_23[[#This Row],[Capacity]]-Buckets_12_23[[#This Row],[Before Fill]]</f>
        <v>0</v>
      </c>
      <c r="DG19" t="b">
        <f>OR(CW19, Buckets_12_23[[#This Row],[After T]]&lt;0)</f>
        <v>1</v>
      </c>
      <c r="DH19" s="29">
        <f>IF(Buckets_12_23[[#This Row],[Is Crit]], Buckets_12_23[[#This Row],[S Cap Diff]], 0)</f>
        <v>0</v>
      </c>
      <c r="DI19" s="29">
        <f>Buckets_12_23[[#This Row],[Before Fill]]+Buckets_12_23[[#This Row],[Crit To Fill]]</f>
        <v>200</v>
      </c>
      <c r="DJ19" s="29">
        <f>IF(NOT(Buckets_12_23[[#This Row],[Is Crit]]), Buckets_12_23[[#This Row],[S Cap Diff]], 0)</f>
        <v>0</v>
      </c>
      <c r="DK19" s="29">
        <f>ROUND(DI$41/Buckets_12_23[[#Totals],[NC To Fill]]*Buckets_12_23[[#This Row],[NC To Fill]], 2)</f>
        <v>0</v>
      </c>
      <c r="DL19" s="31">
        <f>Buckets_12_23[[#This Row],[Pre Scale]] + IF($D19="Unexpected Fund", DI35-Buckets_12_23[[#Totals],[Pre Scale]], 0)</f>
        <v>0</v>
      </c>
      <c r="DM19" s="31">
        <f>Buckets_12_23[[#This Row],[Crit Filled]]+Buckets_12_23[[#This Row],[Scaled]]</f>
        <v>200</v>
      </c>
      <c r="DN19" s="31">
        <f>Buckets_12_23[[#This Row],[NC Filled]]</f>
        <v>200</v>
      </c>
      <c r="DO19" s="31">
        <f>Buckets_12_23[[#This Row],[Capacity]]-Buckets_12_23[[#This Row],[Final]]</f>
        <v>0</v>
      </c>
      <c r="DP19" s="33">
        <f>IF(Buckets_12_23[[#This Row],[Capacity]]=0, 1, Buckets_12_23[[#This Row],[Final]]/Buckets_12_23[[#This Row],[Capacity]])</f>
        <v>1</v>
      </c>
      <c r="DR19" s="40">
        <f>Buckets_12_23[[#This Row],[Final]]</f>
        <v>200</v>
      </c>
      <c r="DS19" s="40">
        <f>Buckets_12_23[[#This Row],[Capacity]]</f>
        <v>200</v>
      </c>
      <c r="DT19" s="41" t="b">
        <f t="shared" si="25"/>
        <v>1</v>
      </c>
      <c r="DU19" s="42"/>
      <c r="DV19" s="42"/>
      <c r="DW19" s="42"/>
      <c r="DX19" s="42"/>
      <c r="DY19" s="43"/>
      <c r="DZ19" s="40">
        <f t="shared" si="26"/>
        <v>200</v>
      </c>
      <c r="EA19" s="40">
        <f t="shared" si="27"/>
        <v>200</v>
      </c>
      <c r="EB19" s="41" t="b">
        <f t="shared" si="4"/>
        <v>1</v>
      </c>
      <c r="ED19" s="29">
        <f t="shared" si="28"/>
        <v>200</v>
      </c>
      <c r="EE19" s="29">
        <f>GetTransactionTotal(AggregateTable2024[], AggregateTable2024[Start], ED$1, AggregateTable2024[#Headers], $D19)</f>
        <v>0</v>
      </c>
      <c r="EF19" s="29">
        <f>Buckets_1_24[[#This Row],[Start]]+Buckets_1_24[[#This Row],[Transactions]]</f>
        <v>200</v>
      </c>
      <c r="EG19" s="29">
        <f t="shared" si="29"/>
        <v>200</v>
      </c>
      <c r="EH19" s="29">
        <f>Buckets_1_24[[#This Row],[Capacity]]-Buckets_1_24[[#This Row],[After T]]</f>
        <v>0</v>
      </c>
      <c r="EI19" s="29">
        <f>MAX(-Buckets_1_24[[#This Row],[Cap Diff]], 0)</f>
        <v>0</v>
      </c>
      <c r="EJ19" s="29">
        <f>Buckets_1_24[[#This Row],[After T]]-Buckets_1_24[[#This Row],[Slush]]</f>
        <v>200</v>
      </c>
      <c r="EK19" s="29">
        <f>Buckets_1_24[[#This Row],[Capacity]]-Buckets_1_24[[#This Row],[Before Fill]]</f>
        <v>0</v>
      </c>
      <c r="EL19" t="b">
        <f>OR(EB19, Buckets_1_24[[#This Row],[After T]]&lt;0)</f>
        <v>1</v>
      </c>
      <c r="EM19" s="29">
        <f>IF(Buckets_1_24[[#This Row],[Is Crit]], Buckets_1_24[[#This Row],[S Cap Diff]], 0)</f>
        <v>0</v>
      </c>
      <c r="EN19" s="29">
        <f>Buckets_1_24[[#This Row],[Before Fill]]+Buckets_1_24[[#This Row],[Crit To Fill]]</f>
        <v>200</v>
      </c>
      <c r="EO19" s="29">
        <f>IF(NOT(Buckets_1_24[[#This Row],[Is Crit]]), Buckets_1_24[[#This Row],[S Cap Diff]], 0)</f>
        <v>0</v>
      </c>
      <c r="EP19" s="29">
        <f>ROUND(EN$41/Buckets_1_24[[#Totals],[NC To Fill]]*Buckets_1_24[[#This Row],[NC To Fill]], 2)</f>
        <v>0</v>
      </c>
      <c r="EQ19" s="31">
        <f>Buckets_1_24[[#This Row],[Pre Scale]] + IF($D19="Unexpected Fund", EN35-Buckets_1_24[[#Totals],[Pre Scale]], 0)</f>
        <v>0</v>
      </c>
      <c r="ER19" s="31">
        <f>Buckets_1_24[[#This Row],[Crit Filled]]+Buckets_1_24[[#This Row],[Scaled]]</f>
        <v>200</v>
      </c>
      <c r="ES19" s="31">
        <f>Buckets_1_24[[#This Row],[NC Filled]]</f>
        <v>200</v>
      </c>
      <c r="ET19" s="31">
        <f>Buckets_1_24[[#This Row],[Capacity]]-Buckets_1_24[[#This Row],[Final]]</f>
        <v>0</v>
      </c>
      <c r="EU19" s="33">
        <f>IF(Buckets_1_24[[#This Row],[Capacity]]=0, 1, Buckets_1_24[[#This Row],[Final]]/Buckets_1_24[[#This Row],[Capacity]])</f>
        <v>1</v>
      </c>
      <c r="EW19" s="40">
        <f>Buckets_1_24[[#This Row],[Final]]</f>
        <v>200</v>
      </c>
      <c r="EX19" s="40">
        <f>Buckets_1_24[[#This Row],[Capacity]]</f>
        <v>200</v>
      </c>
      <c r="EY19" s="41" t="b">
        <f t="shared" si="30"/>
        <v>1</v>
      </c>
      <c r="EZ19" s="42"/>
      <c r="FA19" s="42"/>
      <c r="FB19" s="42"/>
      <c r="FC19" s="42"/>
      <c r="FD19" s="43"/>
      <c r="FE19" s="40">
        <f t="shared" si="31"/>
        <v>200</v>
      </c>
      <c r="FF19" s="40">
        <f t="shared" si="32"/>
        <v>200</v>
      </c>
      <c r="FG19" s="41" t="b">
        <f t="shared" si="5"/>
        <v>1</v>
      </c>
      <c r="FI19" s="29">
        <f t="shared" si="33"/>
        <v>200</v>
      </c>
      <c r="FJ19" s="29">
        <f>GetTransactionTotal(AggregateTable2024[], AggregateTable2024[Start], FI$1, AggregateTable2024[#Headers], $D19)</f>
        <v>0</v>
      </c>
      <c r="FK19" s="29">
        <f>Buckets_2_24[[#This Row],[Start]]+Buckets_2_24[[#This Row],[Transactions]]</f>
        <v>200</v>
      </c>
      <c r="FL19" s="29">
        <f t="shared" si="34"/>
        <v>200</v>
      </c>
      <c r="FM19" s="29">
        <f>Buckets_2_24[[#This Row],[Capacity]]-Buckets_2_24[[#This Row],[After T]]</f>
        <v>0</v>
      </c>
      <c r="FN19" s="29">
        <f>MAX(-Buckets_2_24[[#This Row],[Cap Diff]], 0)</f>
        <v>0</v>
      </c>
      <c r="FO19" s="29">
        <f>Buckets_2_24[[#This Row],[After T]]-Buckets_2_24[[#This Row],[Slush]]</f>
        <v>200</v>
      </c>
      <c r="FP19" s="29">
        <f>Buckets_2_24[[#This Row],[Capacity]]-Buckets_2_24[[#This Row],[Before Fill]]</f>
        <v>0</v>
      </c>
      <c r="FQ19" t="b">
        <f>OR(FG19, Buckets_2_24[[#This Row],[After T]]&lt;0)</f>
        <v>1</v>
      </c>
      <c r="FR19" s="29">
        <f>IF(Buckets_2_24[[#This Row],[Is Crit]], Buckets_2_24[[#This Row],[S Cap Diff]], 0)</f>
        <v>0</v>
      </c>
      <c r="FS19" s="29">
        <f>Buckets_2_24[[#This Row],[Before Fill]]+Buckets_2_24[[#This Row],[Crit To Fill]]</f>
        <v>200</v>
      </c>
      <c r="FT19" s="29">
        <f>IF(NOT(Buckets_2_24[[#This Row],[Is Crit]]), Buckets_2_24[[#This Row],[S Cap Diff]], 0)</f>
        <v>0</v>
      </c>
      <c r="FU19" s="29">
        <f>ROUND(FS$41/Buckets_2_24[[#Totals],[NC To Fill]]*Buckets_2_24[[#This Row],[NC To Fill]], 2)</f>
        <v>0</v>
      </c>
      <c r="FV19" s="31">
        <f>Buckets_2_24[[#This Row],[Pre Scale]] + IF($D19="Unexpected Fund", FS35-Buckets_2_24[[#Totals],[Pre Scale]], 0)</f>
        <v>0</v>
      </c>
      <c r="FW19" s="31">
        <f>Buckets_2_24[[#This Row],[Crit Filled]]+Buckets_2_24[[#This Row],[Scaled]]</f>
        <v>200</v>
      </c>
      <c r="FX19" s="31">
        <f>Buckets_2_24[[#This Row],[NC Filled]]</f>
        <v>200</v>
      </c>
      <c r="FY19" s="31">
        <f>Buckets_2_24[[#This Row],[Capacity]]-Buckets_2_24[[#This Row],[Final]]</f>
        <v>0</v>
      </c>
      <c r="FZ19" s="33">
        <f>IF(Buckets_2_24[[#This Row],[Capacity]]=0, 1, Buckets_2_24[[#This Row],[Final]]/Buckets_2_24[[#This Row],[Capacity]])</f>
        <v>1</v>
      </c>
      <c r="GB19" s="40">
        <f>Buckets_2_24[[#This Row],[Final]]</f>
        <v>200</v>
      </c>
      <c r="GC19" s="40">
        <f>Buckets_2_24[[#This Row],[Capacity]]</f>
        <v>200</v>
      </c>
      <c r="GD19" s="41" t="b">
        <f t="shared" si="35"/>
        <v>1</v>
      </c>
      <c r="GE19" s="42"/>
      <c r="GF19" s="42"/>
      <c r="GG19" s="42"/>
      <c r="GH19" s="42"/>
      <c r="GI19" s="43"/>
      <c r="GJ19" s="40">
        <f t="shared" si="36"/>
        <v>200</v>
      </c>
      <c r="GK19" s="40">
        <f t="shared" si="37"/>
        <v>200</v>
      </c>
      <c r="GL19" s="41" t="b">
        <f t="shared" si="6"/>
        <v>1</v>
      </c>
      <c r="GN19" s="29">
        <f t="shared" si="38"/>
        <v>200</v>
      </c>
      <c r="GO19" s="29">
        <f>GetTransactionTotal(AggregateTable2024[], AggregateTable2024[Start], GN$1, AggregateTable2024[#Headers], $D19)</f>
        <v>0</v>
      </c>
      <c r="GP19" s="29">
        <f>Buckets_3_24[[#This Row],[Start]]+Buckets_3_24[[#This Row],[Transactions]]</f>
        <v>200</v>
      </c>
      <c r="GQ19" s="29">
        <f t="shared" si="39"/>
        <v>200</v>
      </c>
      <c r="GR19" s="29">
        <f>Buckets_3_24[[#This Row],[Capacity]]-Buckets_3_24[[#This Row],[After T]]</f>
        <v>0</v>
      </c>
      <c r="GS19" s="29">
        <f>MAX(-Buckets_3_24[[#This Row],[Cap Diff]], 0)</f>
        <v>0</v>
      </c>
      <c r="GT19" s="29">
        <f>Buckets_3_24[[#This Row],[After T]]-Buckets_3_24[[#This Row],[Slush]]</f>
        <v>200</v>
      </c>
      <c r="GU19" s="29">
        <f>Buckets_3_24[[#This Row],[Capacity]]-Buckets_3_24[[#This Row],[Before Fill]]</f>
        <v>0</v>
      </c>
      <c r="GV19" t="b">
        <f>OR(GL19, Buckets_3_24[[#This Row],[After T]]&lt;0)</f>
        <v>1</v>
      </c>
      <c r="GW19" s="29">
        <f>IF(Buckets_3_24[[#This Row],[Is Crit]], Buckets_3_24[[#This Row],[S Cap Diff]], 0)</f>
        <v>0</v>
      </c>
      <c r="GX19" s="29">
        <f>Buckets_3_24[[#This Row],[Before Fill]]+Buckets_3_24[[#This Row],[Crit To Fill]]</f>
        <v>200</v>
      </c>
      <c r="GY19" s="29">
        <f>IF(NOT(Buckets_3_24[[#This Row],[Is Crit]]), Buckets_3_24[[#This Row],[S Cap Diff]], 0)</f>
        <v>0</v>
      </c>
      <c r="GZ19" s="29">
        <f>ROUND(GX$41/Buckets_3_24[[#Totals],[NC To Fill]]*Buckets_3_24[[#This Row],[NC To Fill]], 2)</f>
        <v>0</v>
      </c>
      <c r="HA19" s="31">
        <f>Buckets_3_24[[#This Row],[Pre Scale]] + IF($D19="Unexpected Fund", GX35-Buckets_3_24[[#Totals],[Pre Scale]], 0)</f>
        <v>0</v>
      </c>
      <c r="HB19" s="31">
        <f>Buckets_3_24[[#This Row],[Crit Filled]]+Buckets_3_24[[#This Row],[Scaled]]</f>
        <v>200</v>
      </c>
      <c r="HC19" s="31">
        <f>Buckets_3_24[[#This Row],[NC Filled]]</f>
        <v>200</v>
      </c>
      <c r="HD19" s="31">
        <f>Buckets_3_24[[#This Row],[Capacity]]-Buckets_3_24[[#This Row],[Final]]</f>
        <v>0</v>
      </c>
      <c r="HE19" s="33">
        <f>IF(Buckets_3_24[[#This Row],[Capacity]]=0, 1, Buckets_3_24[[#This Row],[Final]]/Buckets_3_24[[#This Row],[Capacity]])</f>
        <v>1</v>
      </c>
      <c r="HG19" s="40">
        <f>Buckets_3_24[[#This Row],[Final]]</f>
        <v>200</v>
      </c>
      <c r="HH19" s="40">
        <f>Buckets_3_24[[#This Row],[Capacity]]</f>
        <v>200</v>
      </c>
      <c r="HI19" s="41" t="b">
        <f t="shared" si="40"/>
        <v>1</v>
      </c>
      <c r="HJ19" s="42"/>
      <c r="HK19" s="42"/>
      <c r="HL19" s="42"/>
      <c r="HM19" s="42"/>
      <c r="HN19" s="43"/>
      <c r="HO19" s="40">
        <f t="shared" si="41"/>
        <v>200</v>
      </c>
      <c r="HP19" s="40">
        <f t="shared" si="42"/>
        <v>200</v>
      </c>
      <c r="HQ19" s="41" t="b">
        <f t="shared" si="7"/>
        <v>1</v>
      </c>
      <c r="HS19" s="29">
        <f t="shared" si="43"/>
        <v>200</v>
      </c>
      <c r="HT19" s="29">
        <f>GetTransactionTotal(AggregateTable2024[], AggregateTable2024[Start], HS$1, AggregateTable2024[#Headers], $D19)</f>
        <v>0</v>
      </c>
      <c r="HU19" s="29">
        <f>Buckets_4_24[[#This Row],[Start]]+Buckets_4_24[[#This Row],[Transactions]]</f>
        <v>200</v>
      </c>
      <c r="HV19" s="29">
        <f t="shared" si="44"/>
        <v>200</v>
      </c>
      <c r="HW19" s="29">
        <f>Buckets_4_24[[#This Row],[Capacity]]-Buckets_4_24[[#This Row],[After T]]</f>
        <v>0</v>
      </c>
      <c r="HX19" s="29">
        <f>MAX(-Buckets_4_24[[#This Row],[Cap Diff]], 0)</f>
        <v>0</v>
      </c>
      <c r="HY19" s="29">
        <f>Buckets_4_24[[#This Row],[After T]]-Buckets_4_24[[#This Row],[Slush]]</f>
        <v>200</v>
      </c>
      <c r="HZ19" s="29">
        <f>Buckets_4_24[[#This Row],[Capacity]]-Buckets_4_24[[#This Row],[Before Fill]]</f>
        <v>0</v>
      </c>
      <c r="IA19" t="b">
        <f>OR(HQ19, Buckets_4_24[[#This Row],[After T]]&lt;0)</f>
        <v>1</v>
      </c>
      <c r="IB19" s="29">
        <f>IF(Buckets_4_24[[#This Row],[Is Crit]], Buckets_4_24[[#This Row],[S Cap Diff]], 0)</f>
        <v>0</v>
      </c>
      <c r="IC19" s="29">
        <f>Buckets_4_24[[#This Row],[Before Fill]]+Buckets_4_24[[#This Row],[Crit To Fill]]</f>
        <v>200</v>
      </c>
      <c r="ID19" s="29">
        <f>IF(NOT(Buckets_4_24[[#This Row],[Is Crit]]), Buckets_4_24[[#This Row],[S Cap Diff]], 0)</f>
        <v>0</v>
      </c>
      <c r="IE19" s="29">
        <f>ROUND(IC$41/Buckets_4_24[[#Totals],[NC To Fill]]*Buckets_4_24[[#This Row],[NC To Fill]], 2)</f>
        <v>0</v>
      </c>
      <c r="IF19" s="31">
        <f>Buckets_4_24[[#This Row],[Pre Scale]] + IF($D19="Unexpected Fund", IC35-Buckets_4_24[[#Totals],[Pre Scale]], 0)</f>
        <v>0</v>
      </c>
      <c r="IG19" s="31">
        <f>Buckets_4_24[[#This Row],[Crit Filled]]+Buckets_4_24[[#This Row],[Scaled]]</f>
        <v>200</v>
      </c>
      <c r="IH19" s="31">
        <f>Buckets_4_24[[#This Row],[NC Filled]]</f>
        <v>200</v>
      </c>
      <c r="II19" s="31">
        <f>Buckets_4_24[[#This Row],[Capacity]]-Buckets_4_24[[#This Row],[Final]]</f>
        <v>0</v>
      </c>
      <c r="IJ19" s="33">
        <f>IF(Buckets_4_24[[#This Row],[Capacity]]=0, 1, Buckets_4_24[[#This Row],[Final]]/Buckets_4_24[[#This Row],[Capacity]])</f>
        <v>1</v>
      </c>
      <c r="IL19" s="40">
        <f>Buckets_4_24[[#This Row],[Final]]</f>
        <v>200</v>
      </c>
      <c r="IM19" s="40">
        <f>Buckets_4_24[[#This Row],[Capacity]]</f>
        <v>200</v>
      </c>
      <c r="IN19" s="41" t="b">
        <f t="shared" si="45"/>
        <v>1</v>
      </c>
      <c r="IO19" s="42"/>
      <c r="IP19" s="42"/>
      <c r="IQ19" s="42"/>
      <c r="IR19" s="42"/>
      <c r="IS19" s="43"/>
      <c r="IT19" s="40">
        <f t="shared" si="46"/>
        <v>200</v>
      </c>
      <c r="IU19" s="40">
        <f t="shared" si="47"/>
        <v>200</v>
      </c>
      <c r="IV19" s="41" t="b">
        <f t="shared" si="8"/>
        <v>1</v>
      </c>
    </row>
    <row r="20" spans="1:256" x14ac:dyDescent="0.25">
      <c r="A20" s="49"/>
      <c r="B20" t="s">
        <v>324</v>
      </c>
      <c r="C20" t="s">
        <v>321</v>
      </c>
      <c r="D20" t="s">
        <v>295</v>
      </c>
      <c r="F20" s="30">
        <v>0</v>
      </c>
      <c r="G20" s="38">
        <v>1000</v>
      </c>
      <c r="H20" t="b">
        <v>0</v>
      </c>
      <c r="J20" s="50">
        <f t="shared" si="9"/>
        <v>0</v>
      </c>
      <c r="K20" s="50">
        <f>GetTransactionTotal(AggregateTable2023[], AggregateTable2023[Start], J$1, AggregateTable2023[#Headers], $D20)</f>
        <v>-1085.93</v>
      </c>
      <c r="L20" s="50">
        <f>Buckets_9_23[[#This Row],[Start]]+Buckets_9_23[[#This Row],[Transactions]]</f>
        <v>-1085.93</v>
      </c>
      <c r="M20" s="50">
        <f t="shared" si="10"/>
        <v>1000</v>
      </c>
      <c r="N20" s="50">
        <f>Buckets_9_23[[#This Row],[Capacity]]-Buckets_9_23[[#This Row],[After T]]</f>
        <v>2085.9300000000003</v>
      </c>
      <c r="O20" s="50">
        <f>IF(Buckets_9_23[[#This Row],[After T]]&lt;0, Buckets_9_23[[#This Row],[After T]], IF(Buckets_9_23[[#This Row],[Cap Diff]]&lt;0, -Buckets_9_23[[#This Row],[Cap Diff]], 0))</f>
        <v>-1085.93</v>
      </c>
      <c r="P20" s="50">
        <f>Buckets_9_23[[#This Row],[After T]]-Buckets_9_23[[#This Row],[Slush]]</f>
        <v>0</v>
      </c>
      <c r="Q20" s="50">
        <f>Buckets_9_23[[#This Row],[Capacity]]-Buckets_9_23[[#This Row],[Before Fill]]</f>
        <v>1000</v>
      </c>
      <c r="R20" s="31" t="b">
        <f t="shared" si="0"/>
        <v>0</v>
      </c>
      <c r="S20" s="50">
        <f>IF(Buckets_9_23[[#This Row],[Is Crit]], Buckets_9_23[[#This Row],[S Cap Diff]], 0)</f>
        <v>0</v>
      </c>
      <c r="T20" s="50">
        <f>Buckets_9_23[[#This Row],[Before Fill]]+Buckets_9_23[[#This Row],[Crit To Fill]]</f>
        <v>0</v>
      </c>
      <c r="U20" s="50">
        <f>IF(NOT(Buckets_9_23[[#This Row],[Is Crit]]), Buckets_9_23[[#This Row],[S Cap Diff]], 0)</f>
        <v>1000</v>
      </c>
      <c r="V20" s="50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A20" s="51">
        <f>IF(Buckets_9_23[[#This Row],[Capacity]]=0, 1, Buckets_9_23[[#This Row],[Final]]/Buckets_9_23[[#This Row],[Capacity]])</f>
        <v>0.87282000000000004</v>
      </c>
      <c r="AC20" s="31">
        <f>Buckets_9_23[[#This Row],[Final]]</f>
        <v>872.82</v>
      </c>
      <c r="AD20" s="31">
        <f>Buckets_9_23[[#This Row],[Capacity]]</f>
        <v>1000</v>
      </c>
      <c r="AE20" t="b">
        <f>H20</f>
        <v>0</v>
      </c>
      <c r="AF20" s="43"/>
      <c r="AG20" s="42"/>
      <c r="AH20" s="43"/>
      <c r="AI20" s="42"/>
      <c r="AJ20" s="43"/>
      <c r="AK20" s="40">
        <f t="shared" si="11"/>
        <v>872.82</v>
      </c>
      <c r="AL20" s="40">
        <f t="shared" si="12"/>
        <v>1000</v>
      </c>
      <c r="AM20" s="41" t="b">
        <f t="shared" si="1"/>
        <v>0</v>
      </c>
      <c r="AO20" s="29">
        <f t="shared" si="13"/>
        <v>872.82</v>
      </c>
      <c r="AP20" s="29">
        <f>GetTransactionTotal(AggregateTable2023[], AggregateTable2023[Start], AO$1, AggregateTable2023[#Headers], $D20)</f>
        <v>-35.380000000000003</v>
      </c>
      <c r="AQ20" s="29">
        <f>Buckets_10_23[[#This Row],[Start]]+Buckets_10_23[[#This Row],[Transactions]]</f>
        <v>837.44</v>
      </c>
      <c r="AR20" s="29">
        <f t="shared" si="14"/>
        <v>1000</v>
      </c>
      <c r="AS20" s="29">
        <f>Buckets_10_23[[#This Row],[Capacity]]-Buckets_10_23[[#This Row],[After T]]</f>
        <v>162.55999999999995</v>
      </c>
      <c r="AT20" s="29">
        <f>MAX(-Buckets_10_23[[#This Row],[Cap Diff]], 0)</f>
        <v>0</v>
      </c>
      <c r="AU20" s="29">
        <f>Buckets_10_23[[#This Row],[After T]]-Buckets_10_23[[#This Row],[Slush]]</f>
        <v>837.44</v>
      </c>
      <c r="AV20" s="29">
        <f>Buckets_10_23[[#This Row],[Capacity]]-Buckets_10_23[[#This Row],[Before Fill]]</f>
        <v>162.55999999999995</v>
      </c>
      <c r="AW20" t="b">
        <f>OR(AM20, Buckets_10_23[[#This Row],[After T]]&lt;0)</f>
        <v>0</v>
      </c>
      <c r="AX20" s="29">
        <f>IF(Buckets_10_23[[#This Row],[Is Crit]], Buckets_10_23[[#This Row],[S Cap Diff]], 0)</f>
        <v>0</v>
      </c>
      <c r="AY20" s="29">
        <f>Buckets_10_23[[#This Row],[Before Fill]]+Buckets_10_23[[#This Row],[Crit To Fill]]</f>
        <v>837.44</v>
      </c>
      <c r="AZ20" s="29">
        <f>IF(NOT(Buckets_10_23[[#This Row],[Is Crit]]), Buckets_10_23[[#This Row],[S Cap Diff]], 0)</f>
        <v>162.55999999999995</v>
      </c>
      <c r="BA20" s="29">
        <f>ROUND(AY$41/Buckets_10_23[[#Totals],[NC To Fill]]*Buckets_10_23[[#This Row],[NC To Fill]], 2)</f>
        <v>96.56</v>
      </c>
      <c r="BB20" s="31">
        <f>Buckets_10_23[[#This Row],[Pre Scale]] + IF($D20="Unexpected Fund", AY36-Buckets_10_23[[#Totals],[Pre Scale]], 0)</f>
        <v>96.56</v>
      </c>
      <c r="BC20" s="31">
        <f>Buckets_10_23[[#This Row],[Crit Filled]]+Buckets_10_23[[#This Row],[Scaled]]</f>
        <v>934</v>
      </c>
      <c r="BD20" s="31">
        <f>Buckets_10_23[[#This Row],[NC Filled]]</f>
        <v>934</v>
      </c>
      <c r="BE20" s="31">
        <f>Buckets_10_23[[#This Row],[Capacity]]-Buckets_10_23[[#This Row],[Final]]</f>
        <v>66</v>
      </c>
      <c r="BF20" s="33">
        <f>IF(Buckets_10_23[[#This Row],[Capacity]]=0, 1, Buckets_10_23[[#This Row],[Final]]/Buckets_10_23[[#This Row],[Capacity]])</f>
        <v>0.93400000000000005</v>
      </c>
      <c r="BH20" s="31">
        <f>Buckets_10_23[[#This Row],[Final]]</f>
        <v>934</v>
      </c>
      <c r="BI20" s="31">
        <f>Buckets_10_23[[#This Row],[Capacity]]</f>
        <v>1000</v>
      </c>
      <c r="BJ20" t="b">
        <f t="shared" si="15"/>
        <v>0</v>
      </c>
      <c r="BK20" s="43"/>
      <c r="BL20" s="42"/>
      <c r="BM20" s="43"/>
      <c r="BN20" s="42"/>
      <c r="BO20" s="43"/>
      <c r="BP20" s="40">
        <f t="shared" si="16"/>
        <v>934</v>
      </c>
      <c r="BQ20" s="40">
        <f t="shared" si="17"/>
        <v>1000</v>
      </c>
      <c r="BR20" s="41" t="b">
        <f t="shared" si="2"/>
        <v>0</v>
      </c>
      <c r="BT20" s="29">
        <f t="shared" si="18"/>
        <v>934</v>
      </c>
      <c r="BU20" s="29">
        <f>GetTransactionTotal(AggregateTable2023[], AggregateTable2023[Start], BT$1, AggregateTable2023[#Headers], $D20)</f>
        <v>-757.69</v>
      </c>
      <c r="BV20" s="29">
        <f>Buckets_11_23[[#This Row],[Start]]+Buckets_11_23[[#This Row],[Transactions]]</f>
        <v>176.30999999999995</v>
      </c>
      <c r="BW20" s="29">
        <f t="shared" si="19"/>
        <v>1000</v>
      </c>
      <c r="BX20" s="29">
        <f>Buckets_11_23[[#This Row],[Capacity]]-Buckets_11_23[[#This Row],[After T]]</f>
        <v>823.69</v>
      </c>
      <c r="BY20" s="29">
        <f>MAX(-Buckets_11_23[[#This Row],[Cap Diff]], 0)</f>
        <v>0</v>
      </c>
      <c r="BZ20" s="29">
        <f>Buckets_11_23[[#This Row],[After T]]-Buckets_11_23[[#This Row],[Slush]]</f>
        <v>176.30999999999995</v>
      </c>
      <c r="CA20" s="29">
        <f>Buckets_11_23[[#This Row],[Capacity]]-Buckets_11_23[[#This Row],[Before Fill]]</f>
        <v>823.69</v>
      </c>
      <c r="CB20" t="b">
        <f>OR(BR20, Buckets_11_23[[#This Row],[After T]]&lt;0)</f>
        <v>0</v>
      </c>
      <c r="CC20" s="29">
        <f>IF(Buckets_11_23[[#This Row],[Is Crit]], Buckets_11_23[[#This Row],[S Cap Diff]], 0)</f>
        <v>0</v>
      </c>
      <c r="CD20" s="29">
        <f>Buckets_11_23[[#This Row],[Before Fill]]+Buckets_11_23[[#This Row],[Crit To Fill]]</f>
        <v>176.30999999999995</v>
      </c>
      <c r="CE20" s="29">
        <f>IF(NOT(Buckets_11_23[[#This Row],[Is Crit]]), Buckets_11_23[[#This Row],[S Cap Diff]], 0)</f>
        <v>823.69</v>
      </c>
      <c r="CF20" s="29">
        <f>ROUND(CD$41/Buckets_11_23[[#Totals],[NC To Fill]]*Buckets_11_23[[#This Row],[NC To Fill]], 2)</f>
        <v>812.33</v>
      </c>
      <c r="CG20" s="31">
        <f>Buckets_11_23[[#This Row],[Pre Scale]] + IF($D20="Unexpected Fund", CD36-Buckets_11_23[[#Totals],[Pre Scale]], 0)</f>
        <v>812.33</v>
      </c>
      <c r="CH20" s="31">
        <f>Buckets_11_23[[#This Row],[Crit Filled]]+Buckets_11_23[[#This Row],[Scaled]]</f>
        <v>988.64</v>
      </c>
      <c r="CI20" s="31">
        <f>Buckets_11_23[[#This Row],[NC Filled]]</f>
        <v>988.64</v>
      </c>
      <c r="CJ20" s="31">
        <f>Buckets_11_23[[#This Row],[Capacity]]-Buckets_11_23[[#This Row],[Final]]</f>
        <v>11.360000000000014</v>
      </c>
      <c r="CK20" s="33">
        <f>IF(Buckets_11_23[[#This Row],[Capacity]]=0, 1, Buckets_11_23[[#This Row],[Final]]/Buckets_11_23[[#This Row],[Capacity]])</f>
        <v>0.98863999999999996</v>
      </c>
      <c r="CM20" s="40">
        <f>Buckets_11_23[[#This Row],[Final]]</f>
        <v>988.64</v>
      </c>
      <c r="CN20" s="40">
        <f>Buckets_11_23[[#This Row],[Capacity]]</f>
        <v>1000</v>
      </c>
      <c r="CO20" s="41" t="b">
        <f t="shared" si="20"/>
        <v>0</v>
      </c>
      <c r="CP20" s="42">
        <v>-500</v>
      </c>
      <c r="CQ20" s="42"/>
      <c r="CR20" s="42"/>
      <c r="CS20" s="42">
        <v>500</v>
      </c>
      <c r="CT20" s="43"/>
      <c r="CU20" s="40">
        <f t="shared" si="21"/>
        <v>488.64</v>
      </c>
      <c r="CV20" s="40">
        <f t="shared" si="22"/>
        <v>500</v>
      </c>
      <c r="CW20" s="41" t="b">
        <f t="shared" si="3"/>
        <v>0</v>
      </c>
      <c r="CY20" s="29">
        <f t="shared" si="23"/>
        <v>488.64</v>
      </c>
      <c r="CZ20" s="29">
        <f>GetTransactionTotal(AggregateTable2023[], AggregateTable2023[Start], CY$1, AggregateTable2023[#Headers], $D20)</f>
        <v>0</v>
      </c>
      <c r="DA20" s="29">
        <f>Buckets_12_23[[#This Row],[Start]]+Buckets_12_23[[#This Row],[Transactions]]</f>
        <v>488.64</v>
      </c>
      <c r="DB20" s="29">
        <f t="shared" si="24"/>
        <v>500</v>
      </c>
      <c r="DC20" s="29">
        <f>Buckets_12_23[[#This Row],[Capacity]]-Buckets_12_23[[#This Row],[After T]]</f>
        <v>11.360000000000014</v>
      </c>
      <c r="DD20" s="29">
        <f>MAX(-Buckets_12_23[[#This Row],[Cap Diff]], 0)</f>
        <v>0</v>
      </c>
      <c r="DE20" s="29">
        <f>Buckets_12_23[[#This Row],[After T]]-Buckets_12_23[[#This Row],[Slush]]</f>
        <v>488.64</v>
      </c>
      <c r="DF20" s="29">
        <f>Buckets_12_23[[#This Row],[Capacity]]-Buckets_12_23[[#This Row],[Before Fill]]</f>
        <v>11.360000000000014</v>
      </c>
      <c r="DG20" t="b">
        <f>OR(CW20, Buckets_12_23[[#This Row],[After T]]&lt;0)</f>
        <v>0</v>
      </c>
      <c r="DH20" s="29">
        <f>IF(Buckets_12_23[[#This Row],[Is Crit]], Buckets_12_23[[#This Row],[S Cap Diff]], 0)</f>
        <v>0</v>
      </c>
      <c r="DI20" s="29">
        <f>Buckets_12_23[[#This Row],[Before Fill]]+Buckets_12_23[[#This Row],[Crit To Fill]]</f>
        <v>488.64</v>
      </c>
      <c r="DJ20" s="29">
        <f>IF(NOT(Buckets_12_23[[#This Row],[Is Crit]]), Buckets_12_23[[#This Row],[S Cap Diff]], 0)</f>
        <v>11.360000000000014</v>
      </c>
      <c r="DK20" s="29">
        <f>ROUND(DI$41/Buckets_12_23[[#Totals],[NC To Fill]]*Buckets_12_23[[#This Row],[NC To Fill]], 2)</f>
        <v>5.19</v>
      </c>
      <c r="DL20" s="31">
        <f>Buckets_12_23[[#This Row],[Pre Scale]] + IF($D20="Unexpected Fund", DI36-Buckets_12_23[[#Totals],[Pre Scale]], 0)</f>
        <v>5.19</v>
      </c>
      <c r="DM20" s="31">
        <f>Buckets_12_23[[#This Row],[Crit Filled]]+Buckets_12_23[[#This Row],[Scaled]]</f>
        <v>493.83</v>
      </c>
      <c r="DN20" s="31">
        <f>Buckets_12_23[[#This Row],[NC Filled]]</f>
        <v>493.83</v>
      </c>
      <c r="DO20" s="31">
        <f>Buckets_12_23[[#This Row],[Capacity]]-Buckets_12_23[[#This Row],[Final]]</f>
        <v>6.1700000000000159</v>
      </c>
      <c r="DP20" s="33">
        <f>IF(Buckets_12_23[[#This Row],[Capacity]]=0, 1, Buckets_12_23[[#This Row],[Final]]/Buckets_12_23[[#This Row],[Capacity]])</f>
        <v>0.98765999999999998</v>
      </c>
      <c r="DR20" s="40">
        <f>Buckets_12_23[[#This Row],[Final]]</f>
        <v>493.83</v>
      </c>
      <c r="DS20" s="40">
        <f>Buckets_12_23[[#This Row],[Capacity]]</f>
        <v>500</v>
      </c>
      <c r="DT20" s="41" t="b">
        <f t="shared" si="25"/>
        <v>0</v>
      </c>
      <c r="DU20" s="42"/>
      <c r="DV20" s="42"/>
      <c r="DW20" s="42"/>
      <c r="DX20" s="42"/>
      <c r="DY20" s="43"/>
      <c r="DZ20" s="40">
        <f t="shared" si="26"/>
        <v>493.83</v>
      </c>
      <c r="EA20" s="40">
        <f t="shared" si="27"/>
        <v>500</v>
      </c>
      <c r="EB20" s="41" t="b">
        <f t="shared" si="4"/>
        <v>0</v>
      </c>
      <c r="ED20" s="29">
        <f t="shared" si="28"/>
        <v>493.83</v>
      </c>
      <c r="EE20" s="29">
        <f>GetTransactionTotal(AggregateTable2024[], AggregateTable2024[Start], ED$1, AggregateTable2024[#Headers], $D20)</f>
        <v>0</v>
      </c>
      <c r="EF20" s="29">
        <f>Buckets_1_24[[#This Row],[Start]]+Buckets_1_24[[#This Row],[Transactions]]</f>
        <v>493.83</v>
      </c>
      <c r="EG20" s="29">
        <f t="shared" si="29"/>
        <v>500</v>
      </c>
      <c r="EH20" s="29">
        <f>Buckets_1_24[[#This Row],[Capacity]]-Buckets_1_24[[#This Row],[After T]]</f>
        <v>6.1700000000000159</v>
      </c>
      <c r="EI20" s="29">
        <f>MAX(-Buckets_1_24[[#This Row],[Cap Diff]], 0)</f>
        <v>0</v>
      </c>
      <c r="EJ20" s="29">
        <f>Buckets_1_24[[#This Row],[After T]]-Buckets_1_24[[#This Row],[Slush]]</f>
        <v>493.83</v>
      </c>
      <c r="EK20" s="29">
        <f>Buckets_1_24[[#This Row],[Capacity]]-Buckets_1_24[[#This Row],[Before Fill]]</f>
        <v>6.1700000000000159</v>
      </c>
      <c r="EL20" t="b">
        <f>OR(EB20, Buckets_1_24[[#This Row],[After T]]&lt;0)</f>
        <v>0</v>
      </c>
      <c r="EM20" s="29">
        <f>IF(Buckets_1_24[[#This Row],[Is Crit]], Buckets_1_24[[#This Row],[S Cap Diff]], 0)</f>
        <v>0</v>
      </c>
      <c r="EN20" s="29">
        <f>Buckets_1_24[[#This Row],[Before Fill]]+Buckets_1_24[[#This Row],[Crit To Fill]]</f>
        <v>493.83</v>
      </c>
      <c r="EO20" s="29">
        <f>IF(NOT(Buckets_1_24[[#This Row],[Is Crit]]), Buckets_1_24[[#This Row],[S Cap Diff]], 0)</f>
        <v>6.1700000000000159</v>
      </c>
      <c r="EP20" s="29">
        <f>ROUND(EN$41/Buckets_1_24[[#Totals],[NC To Fill]]*Buckets_1_24[[#This Row],[NC To Fill]], 2)</f>
        <v>3.79</v>
      </c>
      <c r="EQ20" s="31">
        <f>Buckets_1_24[[#This Row],[Pre Scale]] + IF($D20="Unexpected Fund", EN36-Buckets_1_24[[#Totals],[Pre Scale]], 0)</f>
        <v>3.79</v>
      </c>
      <c r="ER20" s="31">
        <f>Buckets_1_24[[#This Row],[Crit Filled]]+Buckets_1_24[[#This Row],[Scaled]]</f>
        <v>497.62</v>
      </c>
      <c r="ES20" s="31">
        <f>Buckets_1_24[[#This Row],[NC Filled]]</f>
        <v>497.62</v>
      </c>
      <c r="ET20" s="31">
        <f>Buckets_1_24[[#This Row],[Capacity]]-Buckets_1_24[[#This Row],[Final]]</f>
        <v>2.3799999999999955</v>
      </c>
      <c r="EU20" s="33">
        <f>IF(Buckets_1_24[[#This Row],[Capacity]]=0, 1, Buckets_1_24[[#This Row],[Final]]/Buckets_1_24[[#This Row],[Capacity]])</f>
        <v>0.99524000000000001</v>
      </c>
      <c r="EW20" s="40">
        <f>Buckets_1_24[[#This Row],[Final]]</f>
        <v>497.62</v>
      </c>
      <c r="EX20" s="40">
        <f>Buckets_1_24[[#This Row],[Capacity]]</f>
        <v>500</v>
      </c>
      <c r="EY20" s="41" t="b">
        <f t="shared" si="30"/>
        <v>0</v>
      </c>
      <c r="EZ20" s="42"/>
      <c r="FA20" s="42"/>
      <c r="FB20" s="42"/>
      <c r="FC20" s="42"/>
      <c r="FD20" s="43"/>
      <c r="FE20" s="40">
        <f t="shared" si="31"/>
        <v>497.62</v>
      </c>
      <c r="FF20" s="40">
        <f t="shared" si="32"/>
        <v>500</v>
      </c>
      <c r="FG20" s="41" t="b">
        <f t="shared" si="5"/>
        <v>0</v>
      </c>
      <c r="FI20" s="29">
        <f t="shared" si="33"/>
        <v>497.62</v>
      </c>
      <c r="FJ20" s="29">
        <f>GetTransactionTotal(AggregateTable2024[], AggregateTable2024[Start], FI$1, AggregateTable2024[#Headers], $D20)</f>
        <v>0</v>
      </c>
      <c r="FK20" s="29">
        <f>Buckets_2_24[[#This Row],[Start]]+Buckets_2_24[[#This Row],[Transactions]]</f>
        <v>497.62</v>
      </c>
      <c r="FL20" s="29">
        <f t="shared" si="34"/>
        <v>500</v>
      </c>
      <c r="FM20" s="29">
        <f>Buckets_2_24[[#This Row],[Capacity]]-Buckets_2_24[[#This Row],[After T]]</f>
        <v>2.3799999999999955</v>
      </c>
      <c r="FN20" s="29">
        <f>MAX(-Buckets_2_24[[#This Row],[Cap Diff]], 0)</f>
        <v>0</v>
      </c>
      <c r="FO20" s="29">
        <f>Buckets_2_24[[#This Row],[After T]]-Buckets_2_24[[#This Row],[Slush]]</f>
        <v>497.62</v>
      </c>
      <c r="FP20" s="29">
        <f>Buckets_2_24[[#This Row],[Capacity]]-Buckets_2_24[[#This Row],[Before Fill]]</f>
        <v>2.3799999999999955</v>
      </c>
      <c r="FQ20" t="b">
        <f>OR(FG20, Buckets_2_24[[#This Row],[After T]]&lt;0)</f>
        <v>0</v>
      </c>
      <c r="FR20" s="29">
        <f>IF(Buckets_2_24[[#This Row],[Is Crit]], Buckets_2_24[[#This Row],[S Cap Diff]], 0)</f>
        <v>0</v>
      </c>
      <c r="FS20" s="29">
        <f>Buckets_2_24[[#This Row],[Before Fill]]+Buckets_2_24[[#This Row],[Crit To Fill]]</f>
        <v>497.62</v>
      </c>
      <c r="FT20" s="29">
        <f>IF(NOT(Buckets_2_24[[#This Row],[Is Crit]]), Buckets_2_24[[#This Row],[S Cap Diff]], 0)</f>
        <v>2.3799999999999955</v>
      </c>
      <c r="FU20" s="29">
        <f>ROUND(FS$41/Buckets_2_24[[#Totals],[NC To Fill]]*Buckets_2_24[[#This Row],[NC To Fill]], 2)</f>
        <v>2.29</v>
      </c>
      <c r="FV20" s="31">
        <f>Buckets_2_24[[#This Row],[Pre Scale]] + IF($D20="Unexpected Fund", FS36-Buckets_2_24[[#Totals],[Pre Scale]], 0)</f>
        <v>2.29</v>
      </c>
      <c r="FW20" s="31">
        <f>Buckets_2_24[[#This Row],[Crit Filled]]+Buckets_2_24[[#This Row],[Scaled]]</f>
        <v>499.91</v>
      </c>
      <c r="FX20" s="31">
        <f>Buckets_2_24[[#This Row],[NC Filled]]</f>
        <v>499.91</v>
      </c>
      <c r="FY20" s="31">
        <f>Buckets_2_24[[#This Row],[Capacity]]-Buckets_2_24[[#This Row],[Final]]</f>
        <v>8.9999999999974989E-2</v>
      </c>
      <c r="FZ20" s="33">
        <f>IF(Buckets_2_24[[#This Row],[Capacity]]=0, 1, Buckets_2_24[[#This Row],[Final]]/Buckets_2_24[[#This Row],[Capacity]])</f>
        <v>0.99982000000000004</v>
      </c>
      <c r="GB20" s="40">
        <f>Buckets_2_24[[#This Row],[Final]]</f>
        <v>499.91</v>
      </c>
      <c r="GC20" s="40">
        <f>Buckets_2_24[[#This Row],[Capacity]]</f>
        <v>500</v>
      </c>
      <c r="GD20" s="41" t="b">
        <f t="shared" si="35"/>
        <v>0</v>
      </c>
      <c r="GE20" s="42"/>
      <c r="GF20" s="42"/>
      <c r="GG20" s="42"/>
      <c r="GH20" s="42">
        <v>1000</v>
      </c>
      <c r="GI20" s="43"/>
      <c r="GJ20" s="40">
        <f t="shared" si="36"/>
        <v>499.91</v>
      </c>
      <c r="GK20" s="40">
        <f t="shared" si="37"/>
        <v>1000</v>
      </c>
      <c r="GL20" s="41" t="b">
        <f t="shared" si="6"/>
        <v>0</v>
      </c>
      <c r="GN20" s="29">
        <f t="shared" si="38"/>
        <v>499.91</v>
      </c>
      <c r="GO20" s="29">
        <f>GetTransactionTotal(AggregateTable2024[], AggregateTable2024[Start], GN$1, AggregateTable2024[#Headers], $D20)</f>
        <v>0</v>
      </c>
      <c r="GP20" s="29">
        <f>Buckets_3_24[[#This Row],[Start]]+Buckets_3_24[[#This Row],[Transactions]]</f>
        <v>499.91</v>
      </c>
      <c r="GQ20" s="29">
        <f t="shared" si="39"/>
        <v>1000</v>
      </c>
      <c r="GR20" s="29">
        <f>Buckets_3_24[[#This Row],[Capacity]]-Buckets_3_24[[#This Row],[After T]]</f>
        <v>500.09</v>
      </c>
      <c r="GS20" s="29">
        <f>MAX(-Buckets_3_24[[#This Row],[Cap Diff]], 0)</f>
        <v>0</v>
      </c>
      <c r="GT20" s="29">
        <f>Buckets_3_24[[#This Row],[After T]]-Buckets_3_24[[#This Row],[Slush]]</f>
        <v>499.91</v>
      </c>
      <c r="GU20" s="29">
        <f>Buckets_3_24[[#This Row],[Capacity]]-Buckets_3_24[[#This Row],[Before Fill]]</f>
        <v>500.09</v>
      </c>
      <c r="GV20" t="b">
        <f>OR(GL20, Buckets_3_24[[#This Row],[After T]]&lt;0)</f>
        <v>0</v>
      </c>
      <c r="GW20" s="29">
        <f>IF(Buckets_3_24[[#This Row],[Is Crit]], Buckets_3_24[[#This Row],[S Cap Diff]], 0)</f>
        <v>0</v>
      </c>
      <c r="GX20" s="29">
        <f>Buckets_3_24[[#This Row],[Before Fill]]+Buckets_3_24[[#This Row],[Crit To Fill]]</f>
        <v>499.91</v>
      </c>
      <c r="GY20" s="29">
        <f>IF(NOT(Buckets_3_24[[#This Row],[Is Crit]]), Buckets_3_24[[#This Row],[S Cap Diff]], 0)</f>
        <v>500.09</v>
      </c>
      <c r="GZ20" s="29">
        <f>ROUND(GX$41/Buckets_3_24[[#Totals],[NC To Fill]]*Buckets_3_24[[#This Row],[NC To Fill]], 2)</f>
        <v>485.71</v>
      </c>
      <c r="HA20" s="31">
        <f>Buckets_3_24[[#This Row],[Pre Scale]] + IF($D20="Unexpected Fund", GX36-Buckets_3_24[[#Totals],[Pre Scale]], 0)</f>
        <v>485.71</v>
      </c>
      <c r="HB20" s="31">
        <f>Buckets_3_24[[#This Row],[Crit Filled]]+Buckets_3_24[[#This Row],[Scaled]]</f>
        <v>985.62</v>
      </c>
      <c r="HC20" s="31">
        <f>Buckets_3_24[[#This Row],[NC Filled]]</f>
        <v>985.62</v>
      </c>
      <c r="HD20" s="31">
        <f>Buckets_3_24[[#This Row],[Capacity]]-Buckets_3_24[[#This Row],[Final]]</f>
        <v>14.379999999999995</v>
      </c>
      <c r="HE20" s="33">
        <f>IF(Buckets_3_24[[#This Row],[Capacity]]=0, 1, Buckets_3_24[[#This Row],[Final]]/Buckets_3_24[[#This Row],[Capacity]])</f>
        <v>0.98562000000000005</v>
      </c>
      <c r="HG20" s="40">
        <f>Buckets_3_24[[#This Row],[Final]]</f>
        <v>985.62</v>
      </c>
      <c r="HH20" s="40">
        <f>Buckets_3_24[[#This Row],[Capacity]]</f>
        <v>1000</v>
      </c>
      <c r="HI20" s="41" t="b">
        <f t="shared" si="40"/>
        <v>0</v>
      </c>
      <c r="HJ20" s="42"/>
      <c r="HK20" s="42"/>
      <c r="HL20" s="42"/>
      <c r="HM20" s="42"/>
      <c r="HN20" s="43"/>
      <c r="HO20" s="40">
        <f t="shared" si="41"/>
        <v>985.62</v>
      </c>
      <c r="HP20" s="40">
        <f t="shared" si="42"/>
        <v>1000</v>
      </c>
      <c r="HQ20" s="41" t="b">
        <f t="shared" si="7"/>
        <v>0</v>
      </c>
      <c r="HS20" s="29">
        <f t="shared" si="43"/>
        <v>985.62</v>
      </c>
      <c r="HT20" s="29">
        <f>GetTransactionTotal(AggregateTable2024[], AggregateTable2024[Start], HS$1, AggregateTable2024[#Headers], $D20)</f>
        <v>0</v>
      </c>
      <c r="HU20" s="29">
        <f>Buckets_4_24[[#This Row],[Start]]+Buckets_4_24[[#This Row],[Transactions]]</f>
        <v>985.62</v>
      </c>
      <c r="HV20" s="29">
        <f t="shared" si="44"/>
        <v>1000</v>
      </c>
      <c r="HW20" s="29">
        <f>Buckets_4_24[[#This Row],[Capacity]]-Buckets_4_24[[#This Row],[After T]]</f>
        <v>14.379999999999995</v>
      </c>
      <c r="HX20" s="29">
        <f>MAX(-Buckets_4_24[[#This Row],[Cap Diff]], 0)</f>
        <v>0</v>
      </c>
      <c r="HY20" s="29">
        <f>Buckets_4_24[[#This Row],[After T]]-Buckets_4_24[[#This Row],[Slush]]</f>
        <v>985.62</v>
      </c>
      <c r="HZ20" s="29">
        <f>Buckets_4_24[[#This Row],[Capacity]]-Buckets_4_24[[#This Row],[Before Fill]]</f>
        <v>14.379999999999995</v>
      </c>
      <c r="IA20" t="b">
        <f>OR(HQ20, Buckets_4_24[[#This Row],[After T]]&lt;0)</f>
        <v>0</v>
      </c>
      <c r="IB20" s="29">
        <f>IF(Buckets_4_24[[#This Row],[Is Crit]], Buckets_4_24[[#This Row],[S Cap Diff]], 0)</f>
        <v>0</v>
      </c>
      <c r="IC20" s="29">
        <f>Buckets_4_24[[#This Row],[Before Fill]]+Buckets_4_24[[#This Row],[Crit To Fill]]</f>
        <v>985.62</v>
      </c>
      <c r="ID20" s="29">
        <f>IF(NOT(Buckets_4_24[[#This Row],[Is Crit]]), Buckets_4_24[[#This Row],[S Cap Diff]], 0)</f>
        <v>14.379999999999995</v>
      </c>
      <c r="IE20" s="29">
        <f>ROUND(IC$41/Buckets_4_24[[#Totals],[NC To Fill]]*Buckets_4_24[[#This Row],[NC To Fill]], 2)</f>
        <v>9.3800000000000008</v>
      </c>
      <c r="IF20" s="31">
        <f>Buckets_4_24[[#This Row],[Pre Scale]] + IF($D20="Unexpected Fund", IC36-Buckets_4_24[[#Totals],[Pre Scale]], 0)</f>
        <v>9.3800000000000008</v>
      </c>
      <c r="IG20" s="31">
        <f>Buckets_4_24[[#This Row],[Crit Filled]]+Buckets_4_24[[#This Row],[Scaled]]</f>
        <v>995</v>
      </c>
      <c r="IH20" s="31">
        <f>Buckets_4_24[[#This Row],[NC Filled]]</f>
        <v>995</v>
      </c>
      <c r="II20" s="31">
        <f>Buckets_4_24[[#This Row],[Capacity]]-Buckets_4_24[[#This Row],[Final]]</f>
        <v>5</v>
      </c>
      <c r="IJ20" s="33">
        <f>IF(Buckets_4_24[[#This Row],[Capacity]]=0, 1, Buckets_4_24[[#This Row],[Final]]/Buckets_4_24[[#This Row],[Capacity]])</f>
        <v>0.995</v>
      </c>
      <c r="IL20" s="40">
        <f>Buckets_4_24[[#This Row],[Final]]</f>
        <v>995</v>
      </c>
      <c r="IM20" s="40">
        <f>Buckets_4_24[[#This Row],[Capacity]]</f>
        <v>1000</v>
      </c>
      <c r="IN20" s="41" t="b">
        <f t="shared" si="45"/>
        <v>0</v>
      </c>
      <c r="IO20" s="42"/>
      <c r="IP20" s="42"/>
      <c r="IQ20" s="42"/>
      <c r="IR20" s="42"/>
      <c r="IS20" s="43"/>
      <c r="IT20" s="40">
        <f t="shared" si="46"/>
        <v>995</v>
      </c>
      <c r="IU20" s="40">
        <f t="shared" si="47"/>
        <v>1000</v>
      </c>
      <c r="IV20" s="41" t="b">
        <f t="shared" si="8"/>
        <v>0</v>
      </c>
    </row>
    <row r="21" spans="1:256" x14ac:dyDescent="0.25">
      <c r="A21" s="49"/>
      <c r="B21" t="s">
        <v>324</v>
      </c>
      <c r="C21" t="s">
        <v>296</v>
      </c>
      <c r="D21" t="s">
        <v>296</v>
      </c>
      <c r="F21" s="30">
        <v>0</v>
      </c>
      <c r="G21" s="38">
        <v>0</v>
      </c>
      <c r="H21" t="b">
        <v>0</v>
      </c>
      <c r="J21" s="50">
        <f t="shared" si="9"/>
        <v>0</v>
      </c>
      <c r="K21" s="50">
        <f>GetTransactionTotal(AggregateTable2023[], AggregateTable2023[Start], J$1, AggregateTable2023[#Headers], $D21)</f>
        <v>0</v>
      </c>
      <c r="L21" s="50">
        <f>Buckets_9_23[[#This Row],[Start]]+Buckets_9_23[[#This Row],[Transactions]]</f>
        <v>0</v>
      </c>
      <c r="M21" s="50">
        <f t="shared" si="10"/>
        <v>0</v>
      </c>
      <c r="N21" s="50">
        <f>Buckets_9_23[[#This Row],[Capacity]]-Buckets_9_23[[#This Row],[After T]]</f>
        <v>0</v>
      </c>
      <c r="O21" s="50">
        <f>IF(Buckets_9_23[[#This Row],[After T]]&lt;0, Buckets_9_23[[#This Row],[After T]], IF(Buckets_9_23[[#This Row],[Cap Diff]]&lt;0, -Buckets_9_23[[#This Row],[Cap Diff]], 0))</f>
        <v>0</v>
      </c>
      <c r="P21" s="50">
        <f>Buckets_9_23[[#This Row],[After T]]-Buckets_9_23[[#This Row],[Slush]]</f>
        <v>0</v>
      </c>
      <c r="Q21" s="50">
        <f>Buckets_9_23[[#This Row],[Capacity]]-Buckets_9_23[[#This Row],[Before Fill]]</f>
        <v>0</v>
      </c>
      <c r="R21" s="31" t="b">
        <f t="shared" si="0"/>
        <v>0</v>
      </c>
      <c r="S21" s="50">
        <f>IF(Buckets_9_23[[#This Row],[Is Crit]], Buckets_9_23[[#This Row],[S Cap Diff]], 0)</f>
        <v>0</v>
      </c>
      <c r="T21" s="50">
        <f>Buckets_9_23[[#This Row],[Before Fill]]+Buckets_9_23[[#This Row],[Crit To Fill]]</f>
        <v>0</v>
      </c>
      <c r="U21" s="50">
        <f>IF(NOT(Buckets_9_23[[#This Row],[Is Crit]]), Buckets_9_23[[#This Row],[S Cap Diff]], 0)</f>
        <v>0</v>
      </c>
      <c r="V21" s="50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A21" s="51">
        <f>IF(Buckets_9_23[[#This Row],[Capacity]]=0, 1, Buckets_9_23[[#This Row],[Final]]/Buckets_9_23[[#This Row],[Capacity]])</f>
        <v>1</v>
      </c>
      <c r="AC21" s="31">
        <f>Buckets_9_23[[#This Row],[Final]]</f>
        <v>0</v>
      </c>
      <c r="AD21" s="31">
        <f>Buckets_9_23[[#This Row],[Capacity]]</f>
        <v>0</v>
      </c>
      <c r="AE21" t="b">
        <f>H21</f>
        <v>0</v>
      </c>
      <c r="AF21" s="43"/>
      <c r="AG21" s="42"/>
      <c r="AH21" s="43"/>
      <c r="AI21" s="42">
        <v>500</v>
      </c>
      <c r="AJ21" s="43"/>
      <c r="AK21" s="40">
        <f t="shared" si="11"/>
        <v>0</v>
      </c>
      <c r="AL21" s="40">
        <f t="shared" si="12"/>
        <v>500</v>
      </c>
      <c r="AM21" s="41" t="b">
        <f t="shared" si="1"/>
        <v>0</v>
      </c>
      <c r="AO21" s="29">
        <f t="shared" si="13"/>
        <v>0</v>
      </c>
      <c r="AP21" s="29">
        <f>GetTransactionTotal(AggregateTable2023[], AggregateTable2023[Start], AO$1, AggregateTable2023[#Headers], $D21)</f>
        <v>0</v>
      </c>
      <c r="AQ21" s="29">
        <f>Buckets_10_23[[#This Row],[Start]]+Buckets_10_23[[#This Row],[Transactions]]</f>
        <v>0</v>
      </c>
      <c r="AR21" s="29">
        <f t="shared" si="14"/>
        <v>500</v>
      </c>
      <c r="AS21" s="29">
        <f>Buckets_10_23[[#This Row],[Capacity]]-Buckets_10_23[[#This Row],[After T]]</f>
        <v>500</v>
      </c>
      <c r="AT21" s="29">
        <f>MAX(-Buckets_10_23[[#This Row],[Cap Diff]], 0)</f>
        <v>0</v>
      </c>
      <c r="AU21" s="29">
        <f>Buckets_10_23[[#This Row],[After T]]-Buckets_10_23[[#This Row],[Slush]]</f>
        <v>0</v>
      </c>
      <c r="AV21" s="29">
        <f>Buckets_10_23[[#This Row],[Capacity]]-Buckets_10_23[[#This Row],[Before Fill]]</f>
        <v>500</v>
      </c>
      <c r="AW21" t="b">
        <f>OR(AM21, Buckets_10_23[[#This Row],[After T]]&lt;0)</f>
        <v>0</v>
      </c>
      <c r="AX21" s="29">
        <f>IF(Buckets_10_23[[#This Row],[Is Crit]], Buckets_10_23[[#This Row],[S Cap Diff]], 0)</f>
        <v>0</v>
      </c>
      <c r="AY21" s="29">
        <f>Buckets_10_23[[#This Row],[Before Fill]]+Buckets_10_23[[#This Row],[Crit To Fill]]</f>
        <v>0</v>
      </c>
      <c r="AZ21" s="29">
        <f>IF(NOT(Buckets_10_23[[#This Row],[Is Crit]]), Buckets_10_23[[#This Row],[S Cap Diff]], 0)</f>
        <v>500</v>
      </c>
      <c r="BA21" s="29">
        <f>ROUND(AY$41/Buckets_10_23[[#Totals],[NC To Fill]]*Buckets_10_23[[#This Row],[NC To Fill]], 2)</f>
        <v>296.99</v>
      </c>
      <c r="BB21" s="31">
        <f>Buckets_10_23[[#This Row],[Pre Scale]] + IF($D21="Unexpected Fund", AY37-Buckets_10_23[[#Totals],[Pre Scale]], 0)</f>
        <v>296.99</v>
      </c>
      <c r="BC21" s="31">
        <f>Buckets_10_23[[#This Row],[Crit Filled]]+Buckets_10_23[[#This Row],[Scaled]]</f>
        <v>296.99</v>
      </c>
      <c r="BD21" s="31">
        <f>Buckets_10_23[[#This Row],[NC Filled]]</f>
        <v>296.99</v>
      </c>
      <c r="BE21" s="31">
        <f>Buckets_10_23[[#This Row],[Capacity]]-Buckets_10_23[[#This Row],[Final]]</f>
        <v>203.01</v>
      </c>
      <c r="BF21" s="33">
        <f>IF(Buckets_10_23[[#This Row],[Capacity]]=0, 1, Buckets_10_23[[#This Row],[Final]]/Buckets_10_23[[#This Row],[Capacity]])</f>
        <v>0.59398000000000006</v>
      </c>
      <c r="BH21" s="31">
        <f>Buckets_10_23[[#This Row],[Final]]</f>
        <v>296.99</v>
      </c>
      <c r="BI21" s="31">
        <f>Buckets_10_23[[#This Row],[Capacity]]</f>
        <v>500</v>
      </c>
      <c r="BJ21" t="b">
        <f t="shared" si="15"/>
        <v>0</v>
      </c>
      <c r="BK21" s="43"/>
      <c r="BL21" s="42"/>
      <c r="BM21" s="43"/>
      <c r="BN21" s="42"/>
      <c r="BO21" s="43"/>
      <c r="BP21" s="40">
        <f t="shared" si="16"/>
        <v>296.99</v>
      </c>
      <c r="BQ21" s="40">
        <f t="shared" si="17"/>
        <v>500</v>
      </c>
      <c r="BR21" s="41" t="b">
        <f t="shared" si="2"/>
        <v>0</v>
      </c>
      <c r="BT21" s="29">
        <f t="shared" si="18"/>
        <v>296.99</v>
      </c>
      <c r="BU21" s="29">
        <f>GetTransactionTotal(AggregateTable2023[], AggregateTable2023[Start], BT$1, AggregateTable2023[#Headers], $D21)</f>
        <v>0</v>
      </c>
      <c r="BV21" s="29">
        <f>Buckets_11_23[[#This Row],[Start]]+Buckets_11_23[[#This Row],[Transactions]]</f>
        <v>296.99</v>
      </c>
      <c r="BW21" s="29">
        <f t="shared" si="19"/>
        <v>500</v>
      </c>
      <c r="BX21" s="29">
        <f>Buckets_11_23[[#This Row],[Capacity]]-Buckets_11_23[[#This Row],[After T]]</f>
        <v>203.01</v>
      </c>
      <c r="BY21" s="29">
        <f>MAX(-Buckets_11_23[[#This Row],[Cap Diff]], 0)</f>
        <v>0</v>
      </c>
      <c r="BZ21" s="29">
        <f>Buckets_11_23[[#This Row],[After T]]-Buckets_11_23[[#This Row],[Slush]]</f>
        <v>296.99</v>
      </c>
      <c r="CA21" s="29">
        <f>Buckets_11_23[[#This Row],[Capacity]]-Buckets_11_23[[#This Row],[Before Fill]]</f>
        <v>203.01</v>
      </c>
      <c r="CB21" t="b">
        <f>OR(BR21, Buckets_11_23[[#This Row],[After T]]&lt;0)</f>
        <v>0</v>
      </c>
      <c r="CC21" s="29">
        <f>IF(Buckets_11_23[[#This Row],[Is Crit]], Buckets_11_23[[#This Row],[S Cap Diff]], 0)</f>
        <v>0</v>
      </c>
      <c r="CD21" s="29">
        <f>Buckets_11_23[[#This Row],[Before Fill]]+Buckets_11_23[[#This Row],[Crit To Fill]]</f>
        <v>296.99</v>
      </c>
      <c r="CE21" s="29">
        <f>IF(NOT(Buckets_11_23[[#This Row],[Is Crit]]), Buckets_11_23[[#This Row],[S Cap Diff]], 0)</f>
        <v>203.01</v>
      </c>
      <c r="CF21" s="29">
        <f>ROUND(CD$41/Buckets_11_23[[#Totals],[NC To Fill]]*Buckets_11_23[[#This Row],[NC To Fill]], 2)</f>
        <v>200.21</v>
      </c>
      <c r="CG21" s="31">
        <f>Buckets_11_23[[#This Row],[Pre Scale]] + IF($D21="Unexpected Fund", CD37-Buckets_11_23[[#Totals],[Pre Scale]], 0)</f>
        <v>200.21</v>
      </c>
      <c r="CH21" s="31">
        <f>Buckets_11_23[[#This Row],[Crit Filled]]+Buckets_11_23[[#This Row],[Scaled]]</f>
        <v>497.20000000000005</v>
      </c>
      <c r="CI21" s="31">
        <f>Buckets_11_23[[#This Row],[NC Filled]]</f>
        <v>497.20000000000005</v>
      </c>
      <c r="CJ21" s="31">
        <f>Buckets_11_23[[#This Row],[Capacity]]-Buckets_11_23[[#This Row],[Final]]</f>
        <v>2.7999999999999545</v>
      </c>
      <c r="CK21" s="33">
        <f>IF(Buckets_11_23[[#This Row],[Capacity]]=0, 1, Buckets_11_23[[#This Row],[Final]]/Buckets_11_23[[#This Row],[Capacity]])</f>
        <v>0.99440000000000006</v>
      </c>
      <c r="CM21" s="40">
        <f>Buckets_11_23[[#This Row],[Final]]</f>
        <v>497.20000000000005</v>
      </c>
      <c r="CN21" s="40">
        <f>Buckets_11_23[[#This Row],[Capacity]]</f>
        <v>500</v>
      </c>
      <c r="CO21" s="41" t="b">
        <f t="shared" si="20"/>
        <v>0</v>
      </c>
      <c r="CP21" s="42"/>
      <c r="CQ21" s="42"/>
      <c r="CR21" s="42"/>
      <c r="CS21" s="42">
        <v>1000</v>
      </c>
      <c r="CT21" s="43"/>
      <c r="CU21" s="40">
        <f t="shared" si="21"/>
        <v>497.20000000000005</v>
      </c>
      <c r="CV21" s="40">
        <f t="shared" si="22"/>
        <v>1000</v>
      </c>
      <c r="CW21" s="41" t="b">
        <f t="shared" si="3"/>
        <v>0</v>
      </c>
      <c r="CY21" s="29">
        <f t="shared" si="23"/>
        <v>497.20000000000005</v>
      </c>
      <c r="CZ21" s="29">
        <f>GetTransactionTotal(AggregateTable2023[], AggregateTable2023[Start], CY$1, AggregateTable2023[#Headers], $D21)</f>
        <v>0</v>
      </c>
      <c r="DA21" s="29">
        <f>Buckets_12_23[[#This Row],[Start]]+Buckets_12_23[[#This Row],[Transactions]]</f>
        <v>497.20000000000005</v>
      </c>
      <c r="DB21" s="29">
        <f t="shared" si="24"/>
        <v>1000</v>
      </c>
      <c r="DC21" s="29">
        <f>Buckets_12_23[[#This Row],[Capacity]]-Buckets_12_23[[#This Row],[After T]]</f>
        <v>502.79999999999995</v>
      </c>
      <c r="DD21" s="29">
        <f>MAX(-Buckets_12_23[[#This Row],[Cap Diff]], 0)</f>
        <v>0</v>
      </c>
      <c r="DE21" s="29">
        <f>Buckets_12_23[[#This Row],[After T]]-Buckets_12_23[[#This Row],[Slush]]</f>
        <v>497.20000000000005</v>
      </c>
      <c r="DF21" s="29">
        <f>Buckets_12_23[[#This Row],[Capacity]]-Buckets_12_23[[#This Row],[Before Fill]]</f>
        <v>502.79999999999995</v>
      </c>
      <c r="DG21" t="b">
        <f>OR(CW21, Buckets_12_23[[#This Row],[After T]]&lt;0)</f>
        <v>0</v>
      </c>
      <c r="DH21" s="29">
        <f>IF(Buckets_12_23[[#This Row],[Is Crit]], Buckets_12_23[[#This Row],[S Cap Diff]], 0)</f>
        <v>0</v>
      </c>
      <c r="DI21" s="29">
        <f>Buckets_12_23[[#This Row],[Before Fill]]+Buckets_12_23[[#This Row],[Crit To Fill]]</f>
        <v>497.20000000000005</v>
      </c>
      <c r="DJ21" s="29">
        <f>IF(NOT(Buckets_12_23[[#This Row],[Is Crit]]), Buckets_12_23[[#This Row],[S Cap Diff]], 0)</f>
        <v>502.79999999999995</v>
      </c>
      <c r="DK21" s="29">
        <f>ROUND(DI$41/Buckets_12_23[[#Totals],[NC To Fill]]*Buckets_12_23[[#This Row],[NC To Fill]], 2)</f>
        <v>229.89</v>
      </c>
      <c r="DL21" s="31">
        <f>Buckets_12_23[[#This Row],[Pre Scale]] + IF($D21="Unexpected Fund", DI37-Buckets_12_23[[#Totals],[Pre Scale]], 0)</f>
        <v>229.89</v>
      </c>
      <c r="DM21" s="31">
        <f>Buckets_12_23[[#This Row],[Crit Filled]]+Buckets_12_23[[#This Row],[Scaled]]</f>
        <v>727.09</v>
      </c>
      <c r="DN21" s="31">
        <f>Buckets_12_23[[#This Row],[NC Filled]]</f>
        <v>727.09</v>
      </c>
      <c r="DO21" s="31">
        <f>Buckets_12_23[[#This Row],[Capacity]]-Buckets_12_23[[#This Row],[Final]]</f>
        <v>272.90999999999997</v>
      </c>
      <c r="DP21" s="33">
        <f>IF(Buckets_12_23[[#This Row],[Capacity]]=0, 1, Buckets_12_23[[#This Row],[Final]]/Buckets_12_23[[#This Row],[Capacity]])</f>
        <v>0.72709000000000001</v>
      </c>
      <c r="DR21" s="40">
        <f>Buckets_12_23[[#This Row],[Final]]</f>
        <v>727.09</v>
      </c>
      <c r="DS21" s="40">
        <f>Buckets_12_23[[#This Row],[Capacity]]</f>
        <v>1000</v>
      </c>
      <c r="DT21" s="41" t="b">
        <f t="shared" si="25"/>
        <v>0</v>
      </c>
      <c r="DU21" s="42"/>
      <c r="DV21" s="42"/>
      <c r="DW21" s="42"/>
      <c r="DX21" s="42"/>
      <c r="DY21" s="43"/>
      <c r="DZ21" s="40">
        <f t="shared" si="26"/>
        <v>727.09</v>
      </c>
      <c r="EA21" s="40">
        <f t="shared" si="27"/>
        <v>1000</v>
      </c>
      <c r="EB21" s="41" t="b">
        <f t="shared" si="4"/>
        <v>0</v>
      </c>
      <c r="ED21" s="29">
        <f t="shared" si="28"/>
        <v>727.09</v>
      </c>
      <c r="EE21" s="29">
        <f>GetTransactionTotal(AggregateTable2024[], AggregateTable2024[Start], ED$1, AggregateTable2024[#Headers], $D21)</f>
        <v>0</v>
      </c>
      <c r="EF21" s="29">
        <f>Buckets_1_24[[#This Row],[Start]]+Buckets_1_24[[#This Row],[Transactions]]</f>
        <v>727.09</v>
      </c>
      <c r="EG21" s="29">
        <f t="shared" si="29"/>
        <v>1000</v>
      </c>
      <c r="EH21" s="29">
        <f>Buckets_1_24[[#This Row],[Capacity]]-Buckets_1_24[[#This Row],[After T]]</f>
        <v>272.90999999999997</v>
      </c>
      <c r="EI21" s="29">
        <f>MAX(-Buckets_1_24[[#This Row],[Cap Diff]], 0)</f>
        <v>0</v>
      </c>
      <c r="EJ21" s="29">
        <f>Buckets_1_24[[#This Row],[After T]]-Buckets_1_24[[#This Row],[Slush]]</f>
        <v>727.09</v>
      </c>
      <c r="EK21" s="29">
        <f>Buckets_1_24[[#This Row],[Capacity]]-Buckets_1_24[[#This Row],[Before Fill]]</f>
        <v>272.90999999999997</v>
      </c>
      <c r="EL21" t="b">
        <f>OR(EB21, Buckets_1_24[[#This Row],[After T]]&lt;0)</f>
        <v>0</v>
      </c>
      <c r="EM21" s="29">
        <f>IF(Buckets_1_24[[#This Row],[Is Crit]], Buckets_1_24[[#This Row],[S Cap Diff]], 0)</f>
        <v>0</v>
      </c>
      <c r="EN21" s="29">
        <f>Buckets_1_24[[#This Row],[Before Fill]]+Buckets_1_24[[#This Row],[Crit To Fill]]</f>
        <v>727.09</v>
      </c>
      <c r="EO21" s="29">
        <f>IF(NOT(Buckets_1_24[[#This Row],[Is Crit]]), Buckets_1_24[[#This Row],[S Cap Diff]], 0)</f>
        <v>272.90999999999997</v>
      </c>
      <c r="EP21" s="29">
        <f>ROUND(EN$41/Buckets_1_24[[#Totals],[NC To Fill]]*Buckets_1_24[[#This Row],[NC To Fill]], 2)</f>
        <v>167.56</v>
      </c>
      <c r="EQ21" s="31">
        <f>Buckets_1_24[[#This Row],[Pre Scale]] + IF($D21="Unexpected Fund", EN37-Buckets_1_24[[#Totals],[Pre Scale]], 0)</f>
        <v>167.56</v>
      </c>
      <c r="ER21" s="31">
        <f>Buckets_1_24[[#This Row],[Crit Filled]]+Buckets_1_24[[#This Row],[Scaled]]</f>
        <v>894.65000000000009</v>
      </c>
      <c r="ES21" s="31">
        <f>Buckets_1_24[[#This Row],[NC Filled]]</f>
        <v>894.65000000000009</v>
      </c>
      <c r="ET21" s="31">
        <f>Buckets_1_24[[#This Row],[Capacity]]-Buckets_1_24[[#This Row],[Final]]</f>
        <v>105.34999999999991</v>
      </c>
      <c r="EU21" s="33">
        <f>IF(Buckets_1_24[[#This Row],[Capacity]]=0, 1, Buckets_1_24[[#This Row],[Final]]/Buckets_1_24[[#This Row],[Capacity]])</f>
        <v>0.89465000000000006</v>
      </c>
      <c r="EW21" s="40">
        <f>Buckets_1_24[[#This Row],[Final]]</f>
        <v>894.65000000000009</v>
      </c>
      <c r="EX21" s="40">
        <f>Buckets_1_24[[#This Row],[Capacity]]</f>
        <v>1000</v>
      </c>
      <c r="EY21" s="41" t="b">
        <f t="shared" si="30"/>
        <v>0</v>
      </c>
      <c r="EZ21" s="42"/>
      <c r="FA21" s="42"/>
      <c r="FB21" s="42"/>
      <c r="FC21" s="42"/>
      <c r="FD21" s="43"/>
      <c r="FE21" s="40">
        <f t="shared" si="31"/>
        <v>894.65000000000009</v>
      </c>
      <c r="FF21" s="40">
        <f t="shared" si="32"/>
        <v>1000</v>
      </c>
      <c r="FG21" s="41" t="b">
        <f t="shared" si="5"/>
        <v>0</v>
      </c>
      <c r="FI21" s="29">
        <f t="shared" si="33"/>
        <v>894.65000000000009</v>
      </c>
      <c r="FJ21" s="29">
        <f>GetTransactionTotal(AggregateTable2024[], AggregateTable2024[Start], FI$1, AggregateTable2024[#Headers], $D21)</f>
        <v>0</v>
      </c>
      <c r="FK21" s="29">
        <f>Buckets_2_24[[#This Row],[Start]]+Buckets_2_24[[#This Row],[Transactions]]</f>
        <v>894.65000000000009</v>
      </c>
      <c r="FL21" s="29">
        <f t="shared" si="34"/>
        <v>1000</v>
      </c>
      <c r="FM21" s="29">
        <f>Buckets_2_24[[#This Row],[Capacity]]-Buckets_2_24[[#This Row],[After T]]</f>
        <v>105.34999999999991</v>
      </c>
      <c r="FN21" s="29">
        <f>MAX(-Buckets_2_24[[#This Row],[Cap Diff]], 0)</f>
        <v>0</v>
      </c>
      <c r="FO21" s="29">
        <f>Buckets_2_24[[#This Row],[After T]]-Buckets_2_24[[#This Row],[Slush]]</f>
        <v>894.65000000000009</v>
      </c>
      <c r="FP21" s="29">
        <f>Buckets_2_24[[#This Row],[Capacity]]-Buckets_2_24[[#This Row],[Before Fill]]</f>
        <v>105.34999999999991</v>
      </c>
      <c r="FQ21" t="b">
        <f>OR(FG21, Buckets_2_24[[#This Row],[After T]]&lt;0)</f>
        <v>0</v>
      </c>
      <c r="FR21" s="29">
        <f>IF(Buckets_2_24[[#This Row],[Is Crit]], Buckets_2_24[[#This Row],[S Cap Diff]], 0)</f>
        <v>0</v>
      </c>
      <c r="FS21" s="29">
        <f>Buckets_2_24[[#This Row],[Before Fill]]+Buckets_2_24[[#This Row],[Crit To Fill]]</f>
        <v>894.65000000000009</v>
      </c>
      <c r="FT21" s="29">
        <f>IF(NOT(Buckets_2_24[[#This Row],[Is Crit]]), Buckets_2_24[[#This Row],[S Cap Diff]], 0)</f>
        <v>105.34999999999991</v>
      </c>
      <c r="FU21" s="29">
        <f>ROUND(FS$41/Buckets_2_24[[#Totals],[NC To Fill]]*Buckets_2_24[[#This Row],[NC To Fill]], 2)</f>
        <v>101.49</v>
      </c>
      <c r="FV21" s="31">
        <f>Buckets_2_24[[#This Row],[Pre Scale]] + IF($D21="Unexpected Fund", FS37-Buckets_2_24[[#Totals],[Pre Scale]], 0)</f>
        <v>101.49</v>
      </c>
      <c r="FW21" s="31">
        <f>Buckets_2_24[[#This Row],[Crit Filled]]+Buckets_2_24[[#This Row],[Scaled]]</f>
        <v>996.1400000000001</v>
      </c>
      <c r="FX21" s="31">
        <f>Buckets_2_24[[#This Row],[NC Filled]]</f>
        <v>996.1400000000001</v>
      </c>
      <c r="FY21" s="31">
        <f>Buckets_2_24[[#This Row],[Capacity]]-Buckets_2_24[[#This Row],[Final]]</f>
        <v>3.8599999999999</v>
      </c>
      <c r="FZ21" s="33">
        <f>IF(Buckets_2_24[[#This Row],[Capacity]]=0, 1, Buckets_2_24[[#This Row],[Final]]/Buckets_2_24[[#This Row],[Capacity]])</f>
        <v>0.99614000000000014</v>
      </c>
      <c r="GB21" s="40">
        <f>Buckets_2_24[[#This Row],[Final]]</f>
        <v>996.1400000000001</v>
      </c>
      <c r="GC21" s="40">
        <f>Buckets_2_24[[#This Row],[Capacity]]</f>
        <v>1000</v>
      </c>
      <c r="GD21" s="41" t="b">
        <f t="shared" si="35"/>
        <v>0</v>
      </c>
      <c r="GE21" s="42"/>
      <c r="GF21" s="42"/>
      <c r="GG21" s="42"/>
      <c r="GH21" s="42"/>
      <c r="GI21" s="43"/>
      <c r="GJ21" s="40">
        <f t="shared" si="36"/>
        <v>996.1400000000001</v>
      </c>
      <c r="GK21" s="40">
        <f t="shared" si="37"/>
        <v>1000</v>
      </c>
      <c r="GL21" s="41" t="b">
        <f t="shared" si="6"/>
        <v>0</v>
      </c>
      <c r="GN21" s="29">
        <f t="shared" si="38"/>
        <v>996.1400000000001</v>
      </c>
      <c r="GO21" s="29">
        <f>GetTransactionTotal(AggregateTable2024[], AggregateTable2024[Start], GN$1, AggregateTable2024[#Headers], $D21)</f>
        <v>0</v>
      </c>
      <c r="GP21" s="29">
        <f>Buckets_3_24[[#This Row],[Start]]+Buckets_3_24[[#This Row],[Transactions]]</f>
        <v>996.1400000000001</v>
      </c>
      <c r="GQ21" s="29">
        <f t="shared" si="39"/>
        <v>1000</v>
      </c>
      <c r="GR21" s="29">
        <f>Buckets_3_24[[#This Row],[Capacity]]-Buckets_3_24[[#This Row],[After T]]</f>
        <v>3.8599999999999</v>
      </c>
      <c r="GS21" s="29">
        <f>MAX(-Buckets_3_24[[#This Row],[Cap Diff]], 0)</f>
        <v>0</v>
      </c>
      <c r="GT21" s="29">
        <f>Buckets_3_24[[#This Row],[After T]]-Buckets_3_24[[#This Row],[Slush]]</f>
        <v>996.1400000000001</v>
      </c>
      <c r="GU21" s="29">
        <f>Buckets_3_24[[#This Row],[Capacity]]-Buckets_3_24[[#This Row],[Before Fill]]</f>
        <v>3.8599999999999</v>
      </c>
      <c r="GV21" t="b">
        <f>OR(GL21, Buckets_3_24[[#This Row],[After T]]&lt;0)</f>
        <v>0</v>
      </c>
      <c r="GW21" s="29">
        <f>IF(Buckets_3_24[[#This Row],[Is Crit]], Buckets_3_24[[#This Row],[S Cap Diff]], 0)</f>
        <v>0</v>
      </c>
      <c r="GX21" s="29">
        <f>Buckets_3_24[[#This Row],[Before Fill]]+Buckets_3_24[[#This Row],[Crit To Fill]]</f>
        <v>996.1400000000001</v>
      </c>
      <c r="GY21" s="29">
        <f>IF(NOT(Buckets_3_24[[#This Row],[Is Crit]]), Buckets_3_24[[#This Row],[S Cap Diff]], 0)</f>
        <v>3.8599999999999</v>
      </c>
      <c r="GZ21" s="29">
        <f>ROUND(GX$41/Buckets_3_24[[#Totals],[NC To Fill]]*Buckets_3_24[[#This Row],[NC To Fill]], 2)</f>
        <v>3.75</v>
      </c>
      <c r="HA21" s="31">
        <f>Buckets_3_24[[#This Row],[Pre Scale]] + IF($D21="Unexpected Fund", GX37-Buckets_3_24[[#Totals],[Pre Scale]], 0)</f>
        <v>3.75</v>
      </c>
      <c r="HB21" s="31">
        <f>Buckets_3_24[[#This Row],[Crit Filled]]+Buckets_3_24[[#This Row],[Scaled]]</f>
        <v>999.8900000000001</v>
      </c>
      <c r="HC21" s="31">
        <f>Buckets_3_24[[#This Row],[NC Filled]]</f>
        <v>999.8900000000001</v>
      </c>
      <c r="HD21" s="31">
        <f>Buckets_3_24[[#This Row],[Capacity]]-Buckets_3_24[[#This Row],[Final]]</f>
        <v>0.10999999999989996</v>
      </c>
      <c r="HE21" s="33">
        <f>IF(Buckets_3_24[[#This Row],[Capacity]]=0, 1, Buckets_3_24[[#This Row],[Final]]/Buckets_3_24[[#This Row],[Capacity]])</f>
        <v>0.99989000000000006</v>
      </c>
      <c r="HG21" s="40">
        <f>Buckets_3_24[[#This Row],[Final]]</f>
        <v>999.8900000000001</v>
      </c>
      <c r="HH21" s="40">
        <f>Buckets_3_24[[#This Row],[Capacity]]</f>
        <v>1000</v>
      </c>
      <c r="HI21" s="41" t="b">
        <f t="shared" si="40"/>
        <v>0</v>
      </c>
      <c r="HJ21" s="42"/>
      <c r="HK21" s="42"/>
      <c r="HL21" s="42"/>
      <c r="HM21" s="42"/>
      <c r="HN21" s="43"/>
      <c r="HO21" s="40">
        <f t="shared" si="41"/>
        <v>999.8900000000001</v>
      </c>
      <c r="HP21" s="40">
        <f t="shared" si="42"/>
        <v>1000</v>
      </c>
      <c r="HQ21" s="41" t="b">
        <f t="shared" si="7"/>
        <v>0</v>
      </c>
      <c r="HS21" s="29">
        <f t="shared" si="43"/>
        <v>999.8900000000001</v>
      </c>
      <c r="HT21" s="29">
        <f>GetTransactionTotal(AggregateTable2024[], AggregateTable2024[Start], HS$1, AggregateTable2024[#Headers], $D21)</f>
        <v>0</v>
      </c>
      <c r="HU21" s="29">
        <f>Buckets_4_24[[#This Row],[Start]]+Buckets_4_24[[#This Row],[Transactions]]</f>
        <v>999.8900000000001</v>
      </c>
      <c r="HV21" s="29">
        <f t="shared" si="44"/>
        <v>1000</v>
      </c>
      <c r="HW21" s="29">
        <f>Buckets_4_24[[#This Row],[Capacity]]-Buckets_4_24[[#This Row],[After T]]</f>
        <v>0.10999999999989996</v>
      </c>
      <c r="HX21" s="29">
        <f>MAX(-Buckets_4_24[[#This Row],[Cap Diff]], 0)</f>
        <v>0</v>
      </c>
      <c r="HY21" s="29">
        <f>Buckets_4_24[[#This Row],[After T]]-Buckets_4_24[[#This Row],[Slush]]</f>
        <v>999.8900000000001</v>
      </c>
      <c r="HZ21" s="29">
        <f>Buckets_4_24[[#This Row],[Capacity]]-Buckets_4_24[[#This Row],[Before Fill]]</f>
        <v>0.10999999999989996</v>
      </c>
      <c r="IA21" t="b">
        <f>OR(HQ21, Buckets_4_24[[#This Row],[After T]]&lt;0)</f>
        <v>0</v>
      </c>
      <c r="IB21" s="29">
        <f>IF(Buckets_4_24[[#This Row],[Is Crit]], Buckets_4_24[[#This Row],[S Cap Diff]], 0)</f>
        <v>0</v>
      </c>
      <c r="IC21" s="29">
        <f>Buckets_4_24[[#This Row],[Before Fill]]+Buckets_4_24[[#This Row],[Crit To Fill]]</f>
        <v>999.8900000000001</v>
      </c>
      <c r="ID21" s="29">
        <f>IF(NOT(Buckets_4_24[[#This Row],[Is Crit]]), Buckets_4_24[[#This Row],[S Cap Diff]], 0)</f>
        <v>0.10999999999989996</v>
      </c>
      <c r="IE21" s="29">
        <f>ROUND(IC$41/Buckets_4_24[[#Totals],[NC To Fill]]*Buckets_4_24[[#This Row],[NC To Fill]], 2)</f>
        <v>7.0000000000000007E-2</v>
      </c>
      <c r="IF21" s="31">
        <f>Buckets_4_24[[#This Row],[Pre Scale]] + IF($D21="Unexpected Fund", IC37-Buckets_4_24[[#Totals],[Pre Scale]], 0)</f>
        <v>7.0000000000000007E-2</v>
      </c>
      <c r="IG21" s="31">
        <f>Buckets_4_24[[#This Row],[Crit Filled]]+Buckets_4_24[[#This Row],[Scaled]]</f>
        <v>999.96000000000015</v>
      </c>
      <c r="IH21" s="31">
        <f>Buckets_4_24[[#This Row],[NC Filled]]</f>
        <v>999.96000000000015</v>
      </c>
      <c r="II21" s="31">
        <f>Buckets_4_24[[#This Row],[Capacity]]-Buckets_4_24[[#This Row],[Final]]</f>
        <v>3.9999999999849933E-2</v>
      </c>
      <c r="IJ21" s="33">
        <f>IF(Buckets_4_24[[#This Row],[Capacity]]=0, 1, Buckets_4_24[[#This Row],[Final]]/Buckets_4_24[[#This Row],[Capacity]])</f>
        <v>0.99996000000000018</v>
      </c>
      <c r="IL21" s="40">
        <f>Buckets_4_24[[#This Row],[Final]]</f>
        <v>999.96000000000015</v>
      </c>
      <c r="IM21" s="40">
        <f>Buckets_4_24[[#This Row],[Capacity]]</f>
        <v>1000</v>
      </c>
      <c r="IN21" s="41" t="b">
        <f t="shared" si="45"/>
        <v>0</v>
      </c>
      <c r="IO21" s="42"/>
      <c r="IP21" s="42"/>
      <c r="IQ21" s="42"/>
      <c r="IR21" s="42"/>
      <c r="IS21" s="43"/>
      <c r="IT21" s="40">
        <f t="shared" si="46"/>
        <v>999.96000000000015</v>
      </c>
      <c r="IU21" s="40">
        <f t="shared" si="47"/>
        <v>1000</v>
      </c>
      <c r="IV21" s="41" t="b">
        <f t="shared" si="8"/>
        <v>0</v>
      </c>
    </row>
    <row r="22" spans="1:256" x14ac:dyDescent="0.25">
      <c r="A22" s="49"/>
      <c r="B22" t="s">
        <v>325</v>
      </c>
      <c r="C22" t="s">
        <v>297</v>
      </c>
      <c r="D22" t="s">
        <v>297</v>
      </c>
      <c r="F22" s="30">
        <v>0</v>
      </c>
      <c r="G22" s="38">
        <v>0</v>
      </c>
      <c r="H22" t="b">
        <v>0</v>
      </c>
      <c r="J22" s="50">
        <f t="shared" si="9"/>
        <v>0</v>
      </c>
      <c r="K22" s="50">
        <f>GetTransactionTotal(AggregateTable2023[], AggregateTable2023[Start], J$1, AggregateTable2023[#Headers], $D22)</f>
        <v>0</v>
      </c>
      <c r="L22" s="50">
        <f>Buckets_9_23[[#This Row],[Start]]+Buckets_9_23[[#This Row],[Transactions]]</f>
        <v>0</v>
      </c>
      <c r="M22" s="50">
        <f t="shared" si="10"/>
        <v>0</v>
      </c>
      <c r="N22" s="50">
        <f>Buckets_9_23[[#This Row],[Capacity]]-Buckets_9_23[[#This Row],[After T]]</f>
        <v>0</v>
      </c>
      <c r="O22" s="50">
        <f>IF(Buckets_9_23[[#This Row],[After T]]&lt;0, Buckets_9_23[[#This Row],[After T]], IF(Buckets_9_23[[#This Row],[Cap Diff]]&lt;0, -Buckets_9_23[[#This Row],[Cap Diff]], 0))</f>
        <v>0</v>
      </c>
      <c r="P22" s="50">
        <f>Buckets_9_23[[#This Row],[After T]]-Buckets_9_23[[#This Row],[Slush]]</f>
        <v>0</v>
      </c>
      <c r="Q22" s="50">
        <f>Buckets_9_23[[#This Row],[Capacity]]-Buckets_9_23[[#This Row],[Before Fill]]</f>
        <v>0</v>
      </c>
      <c r="R22" s="31" t="b">
        <f t="shared" si="0"/>
        <v>0</v>
      </c>
      <c r="S22" s="50">
        <f>IF(Buckets_9_23[[#This Row],[Is Crit]], Buckets_9_23[[#This Row],[S Cap Diff]], 0)</f>
        <v>0</v>
      </c>
      <c r="T22" s="50">
        <f>Buckets_9_23[[#This Row],[Before Fill]]+Buckets_9_23[[#This Row],[Crit To Fill]]</f>
        <v>0</v>
      </c>
      <c r="U22" s="50">
        <f>IF(NOT(Buckets_9_23[[#This Row],[Is Crit]]), Buckets_9_23[[#This Row],[S Cap Diff]], 0)</f>
        <v>0</v>
      </c>
      <c r="V22" s="50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A22" s="51">
        <f>IF(Buckets_9_23[[#This Row],[Capacity]]=0, 1, Buckets_9_23[[#This Row],[Final]]/Buckets_9_23[[#This Row],[Capacity]])</f>
        <v>1</v>
      </c>
      <c r="AC22" s="31">
        <f>Buckets_9_23[[#This Row],[Final]]</f>
        <v>0</v>
      </c>
      <c r="AD22" s="31">
        <f>Buckets_9_23[[#This Row],[Capacity]]</f>
        <v>0</v>
      </c>
      <c r="AE22" t="b">
        <f>H22</f>
        <v>0</v>
      </c>
      <c r="AF22" s="43"/>
      <c r="AG22" s="42"/>
      <c r="AH22" s="43"/>
      <c r="AI22" s="42"/>
      <c r="AJ22" s="43"/>
      <c r="AK22" s="40">
        <f t="shared" si="11"/>
        <v>0</v>
      </c>
      <c r="AL22" s="40">
        <f t="shared" si="12"/>
        <v>0</v>
      </c>
      <c r="AM22" s="41" t="b">
        <f t="shared" si="1"/>
        <v>0</v>
      </c>
      <c r="AO22" s="29">
        <f t="shared" si="13"/>
        <v>0</v>
      </c>
      <c r="AP22" s="29">
        <f>GetTransactionTotal(AggregateTable2023[], AggregateTable2023[Start], AO$1, AggregateTable2023[#Headers], $D22)</f>
        <v>0</v>
      </c>
      <c r="AQ22" s="29">
        <f>Buckets_10_23[[#This Row],[Start]]+Buckets_10_23[[#This Row],[Transactions]]</f>
        <v>0</v>
      </c>
      <c r="AR22" s="29">
        <f t="shared" si="14"/>
        <v>0</v>
      </c>
      <c r="AS22" s="29">
        <f>Buckets_10_23[[#This Row],[Capacity]]-Buckets_10_23[[#This Row],[After T]]</f>
        <v>0</v>
      </c>
      <c r="AT22" s="29">
        <f>MAX(-Buckets_10_23[[#This Row],[Cap Diff]], 0)</f>
        <v>0</v>
      </c>
      <c r="AU22" s="29">
        <f>Buckets_10_23[[#This Row],[After T]]-Buckets_10_23[[#This Row],[Slush]]</f>
        <v>0</v>
      </c>
      <c r="AV22" s="29">
        <f>Buckets_10_23[[#This Row],[Capacity]]-Buckets_10_23[[#This Row],[Before Fill]]</f>
        <v>0</v>
      </c>
      <c r="AW22" t="b">
        <f>OR(AM22, Buckets_10_23[[#This Row],[After T]]&lt;0)</f>
        <v>0</v>
      </c>
      <c r="AX22" s="29">
        <f>IF(Buckets_10_23[[#This Row],[Is Crit]], Buckets_10_23[[#This Row],[S Cap Diff]], 0)</f>
        <v>0</v>
      </c>
      <c r="AY22" s="29">
        <f>Buckets_10_23[[#This Row],[Before Fill]]+Buckets_10_23[[#This Row],[Crit To Fill]]</f>
        <v>0</v>
      </c>
      <c r="AZ22" s="29">
        <f>IF(NOT(Buckets_10_23[[#This Row],[Is Crit]]), Buckets_10_23[[#This Row],[S Cap Diff]], 0)</f>
        <v>0</v>
      </c>
      <c r="BA22" s="29">
        <f>ROUND(AY$41/Buckets_10_23[[#Totals],[NC To Fill]]*Buckets_10_23[[#This Row],[NC To Fill]], 2)</f>
        <v>0</v>
      </c>
      <c r="BB22" s="31">
        <f>Buckets_10_23[[#This Row],[Pre Scale]] + IF($D22="Unexpected Fund", AY38-Buckets_10_23[[#Totals],[Pre Scale]], 0)</f>
        <v>0</v>
      </c>
      <c r="BC22" s="31">
        <f>Buckets_10_23[[#This Row],[Crit Filled]]+Buckets_10_23[[#This Row],[Scaled]]</f>
        <v>0</v>
      </c>
      <c r="BD22" s="31">
        <f>Buckets_10_23[[#This Row],[NC Filled]]</f>
        <v>0</v>
      </c>
      <c r="BE22" s="31">
        <f>Buckets_10_23[[#This Row],[Capacity]]-Buckets_10_23[[#This Row],[Final]]</f>
        <v>0</v>
      </c>
      <c r="BF22" s="33">
        <f>IF(Buckets_10_23[[#This Row],[Capacity]]=0, 1, Buckets_10_23[[#This Row],[Final]]/Buckets_10_23[[#This Row],[Capacity]])</f>
        <v>1</v>
      </c>
      <c r="BH22" s="31">
        <f>Buckets_10_23[[#This Row],[Final]]</f>
        <v>0</v>
      </c>
      <c r="BI22" s="31">
        <f>Buckets_10_23[[#This Row],[Capacity]]</f>
        <v>0</v>
      </c>
      <c r="BJ22" t="b">
        <f t="shared" si="15"/>
        <v>0</v>
      </c>
      <c r="BK22" s="43"/>
      <c r="BL22" s="42"/>
      <c r="BM22" s="43"/>
      <c r="BN22" s="42"/>
      <c r="BO22" s="43"/>
      <c r="BP22" s="40">
        <f t="shared" si="16"/>
        <v>0</v>
      </c>
      <c r="BQ22" s="40">
        <f t="shared" si="17"/>
        <v>0</v>
      </c>
      <c r="BR22" s="41" t="b">
        <f t="shared" si="2"/>
        <v>0</v>
      </c>
      <c r="BT22" s="29">
        <f t="shared" si="18"/>
        <v>0</v>
      </c>
      <c r="BU22" s="29">
        <f>GetTransactionTotal(AggregateTable2023[], AggregateTable2023[Start], BT$1, AggregateTable2023[#Headers], $D22)</f>
        <v>0</v>
      </c>
      <c r="BV22" s="29">
        <f>Buckets_11_23[[#This Row],[Start]]+Buckets_11_23[[#This Row],[Transactions]]</f>
        <v>0</v>
      </c>
      <c r="BW22" s="29">
        <f t="shared" si="19"/>
        <v>0</v>
      </c>
      <c r="BX22" s="29">
        <f>Buckets_11_23[[#This Row],[Capacity]]-Buckets_11_23[[#This Row],[After T]]</f>
        <v>0</v>
      </c>
      <c r="BY22" s="29">
        <f>MAX(-Buckets_11_23[[#This Row],[Cap Diff]], 0)</f>
        <v>0</v>
      </c>
      <c r="BZ22" s="29">
        <f>Buckets_11_23[[#This Row],[After T]]-Buckets_11_23[[#This Row],[Slush]]</f>
        <v>0</v>
      </c>
      <c r="CA22" s="29">
        <f>Buckets_11_23[[#This Row],[Capacity]]-Buckets_11_23[[#This Row],[Before Fill]]</f>
        <v>0</v>
      </c>
      <c r="CB22" t="b">
        <f>OR(BR22, Buckets_11_23[[#This Row],[After T]]&lt;0)</f>
        <v>0</v>
      </c>
      <c r="CC22" s="29">
        <f>IF(Buckets_11_23[[#This Row],[Is Crit]], Buckets_11_23[[#This Row],[S Cap Diff]], 0)</f>
        <v>0</v>
      </c>
      <c r="CD22" s="29">
        <f>Buckets_11_23[[#This Row],[Before Fill]]+Buckets_11_23[[#This Row],[Crit To Fill]]</f>
        <v>0</v>
      </c>
      <c r="CE22" s="29">
        <f>IF(NOT(Buckets_11_23[[#This Row],[Is Crit]]), Buckets_11_23[[#This Row],[S Cap Diff]], 0)</f>
        <v>0</v>
      </c>
      <c r="CF22" s="29">
        <f>ROUND(CD$41/Buckets_11_23[[#Totals],[NC To Fill]]*Buckets_11_23[[#This Row],[NC To Fill]], 2)</f>
        <v>0</v>
      </c>
      <c r="CG22" s="31">
        <f>Buckets_11_23[[#This Row],[Pre Scale]] + IF($D22="Unexpected Fund", CD38-Buckets_11_23[[#Totals],[Pre Scale]], 0)</f>
        <v>0</v>
      </c>
      <c r="CH22" s="31">
        <f>Buckets_11_23[[#This Row],[Crit Filled]]+Buckets_11_23[[#This Row],[Scaled]]</f>
        <v>0</v>
      </c>
      <c r="CI22" s="31">
        <f>Buckets_11_23[[#This Row],[NC Filled]]</f>
        <v>0</v>
      </c>
      <c r="CJ22" s="31">
        <f>Buckets_11_23[[#This Row],[Capacity]]-Buckets_11_23[[#This Row],[Final]]</f>
        <v>0</v>
      </c>
      <c r="CK22" s="33">
        <f>IF(Buckets_11_23[[#This Row],[Capacity]]=0, 1, Buckets_11_23[[#This Row],[Final]]/Buckets_11_23[[#This Row],[Capacity]])</f>
        <v>1</v>
      </c>
      <c r="CM22" s="40">
        <f>Buckets_11_23[[#This Row],[Final]]</f>
        <v>0</v>
      </c>
      <c r="CN22" s="40">
        <f>Buckets_11_23[[#This Row],[Capacity]]</f>
        <v>0</v>
      </c>
      <c r="CO22" s="41" t="b">
        <f t="shared" si="20"/>
        <v>0</v>
      </c>
      <c r="CP22" s="42"/>
      <c r="CQ22" s="42"/>
      <c r="CR22" s="42"/>
      <c r="CS22" s="42"/>
      <c r="CT22" s="43"/>
      <c r="CU22" s="40">
        <f t="shared" si="21"/>
        <v>0</v>
      </c>
      <c r="CV22" s="40">
        <f t="shared" si="22"/>
        <v>0</v>
      </c>
      <c r="CW22" s="41" t="b">
        <f t="shared" si="3"/>
        <v>0</v>
      </c>
      <c r="CY22" s="29">
        <f t="shared" si="23"/>
        <v>0</v>
      </c>
      <c r="CZ22" s="29">
        <f>GetTransactionTotal(AggregateTable2023[], AggregateTable2023[Start], CY$1, AggregateTable2023[#Headers], $D22)</f>
        <v>0</v>
      </c>
      <c r="DA22" s="29">
        <f>Buckets_12_23[[#This Row],[Start]]+Buckets_12_23[[#This Row],[Transactions]]</f>
        <v>0</v>
      </c>
      <c r="DB22" s="29">
        <f t="shared" si="24"/>
        <v>0</v>
      </c>
      <c r="DC22" s="29">
        <f>Buckets_12_23[[#This Row],[Capacity]]-Buckets_12_23[[#This Row],[After T]]</f>
        <v>0</v>
      </c>
      <c r="DD22" s="29">
        <f>MAX(-Buckets_12_23[[#This Row],[Cap Diff]], 0)</f>
        <v>0</v>
      </c>
      <c r="DE22" s="29">
        <f>Buckets_12_23[[#This Row],[After T]]-Buckets_12_23[[#This Row],[Slush]]</f>
        <v>0</v>
      </c>
      <c r="DF22" s="29">
        <f>Buckets_12_23[[#This Row],[Capacity]]-Buckets_12_23[[#This Row],[Before Fill]]</f>
        <v>0</v>
      </c>
      <c r="DG22" t="b">
        <f>OR(CW22, Buckets_12_23[[#This Row],[After T]]&lt;0)</f>
        <v>0</v>
      </c>
      <c r="DH22" s="29">
        <f>IF(Buckets_12_23[[#This Row],[Is Crit]], Buckets_12_23[[#This Row],[S Cap Diff]], 0)</f>
        <v>0</v>
      </c>
      <c r="DI22" s="29">
        <f>Buckets_12_23[[#This Row],[Before Fill]]+Buckets_12_23[[#This Row],[Crit To Fill]]</f>
        <v>0</v>
      </c>
      <c r="DJ22" s="29">
        <f>IF(NOT(Buckets_12_23[[#This Row],[Is Crit]]), Buckets_12_23[[#This Row],[S Cap Diff]], 0)</f>
        <v>0</v>
      </c>
      <c r="DK22" s="29">
        <f>ROUND(DI$41/Buckets_12_23[[#Totals],[NC To Fill]]*Buckets_12_23[[#This Row],[NC To Fill]], 2)</f>
        <v>0</v>
      </c>
      <c r="DL22" s="31">
        <f>Buckets_12_23[[#This Row],[Pre Scale]] + IF($D22="Unexpected Fund", DI38-Buckets_12_23[[#Totals],[Pre Scale]], 0)</f>
        <v>0</v>
      </c>
      <c r="DM22" s="31">
        <f>Buckets_12_23[[#This Row],[Crit Filled]]+Buckets_12_23[[#This Row],[Scaled]]</f>
        <v>0</v>
      </c>
      <c r="DN22" s="31">
        <f>Buckets_12_23[[#This Row],[NC Filled]]</f>
        <v>0</v>
      </c>
      <c r="DO22" s="31">
        <f>Buckets_12_23[[#This Row],[Capacity]]-Buckets_12_23[[#This Row],[Final]]</f>
        <v>0</v>
      </c>
      <c r="DP22" s="33">
        <f>IF(Buckets_12_23[[#This Row],[Capacity]]=0, 1, Buckets_12_23[[#This Row],[Final]]/Buckets_12_23[[#This Row],[Capacity]])</f>
        <v>1</v>
      </c>
      <c r="DR22" s="40">
        <f>Buckets_12_23[[#This Row],[Final]]</f>
        <v>0</v>
      </c>
      <c r="DS22" s="40">
        <f>Buckets_12_23[[#This Row],[Capacity]]</f>
        <v>0</v>
      </c>
      <c r="DT22" s="41" t="b">
        <f t="shared" si="25"/>
        <v>0</v>
      </c>
      <c r="DU22" s="42"/>
      <c r="DV22" s="42"/>
      <c r="DW22" s="42"/>
      <c r="DX22" s="42"/>
      <c r="DY22" s="43"/>
      <c r="DZ22" s="40">
        <f t="shared" si="26"/>
        <v>0</v>
      </c>
      <c r="EA22" s="40">
        <f t="shared" si="27"/>
        <v>0</v>
      </c>
      <c r="EB22" s="41" t="b">
        <f t="shared" si="4"/>
        <v>0</v>
      </c>
      <c r="ED22" s="29">
        <f t="shared" si="28"/>
        <v>0</v>
      </c>
      <c r="EE22" s="29">
        <f>GetTransactionTotal(AggregateTable2024[], AggregateTable2024[Start], ED$1, AggregateTable2024[#Headers], $D22)</f>
        <v>0</v>
      </c>
      <c r="EF22" s="29">
        <f>Buckets_1_24[[#This Row],[Start]]+Buckets_1_24[[#This Row],[Transactions]]</f>
        <v>0</v>
      </c>
      <c r="EG22" s="29">
        <f t="shared" si="29"/>
        <v>0</v>
      </c>
      <c r="EH22" s="29">
        <f>Buckets_1_24[[#This Row],[Capacity]]-Buckets_1_24[[#This Row],[After T]]</f>
        <v>0</v>
      </c>
      <c r="EI22" s="29">
        <f>MAX(-Buckets_1_24[[#This Row],[Cap Diff]], 0)</f>
        <v>0</v>
      </c>
      <c r="EJ22" s="29">
        <f>Buckets_1_24[[#This Row],[After T]]-Buckets_1_24[[#This Row],[Slush]]</f>
        <v>0</v>
      </c>
      <c r="EK22" s="29">
        <f>Buckets_1_24[[#This Row],[Capacity]]-Buckets_1_24[[#This Row],[Before Fill]]</f>
        <v>0</v>
      </c>
      <c r="EL22" t="b">
        <f>OR(EB22, Buckets_1_24[[#This Row],[After T]]&lt;0)</f>
        <v>0</v>
      </c>
      <c r="EM22" s="29">
        <f>IF(Buckets_1_24[[#This Row],[Is Crit]], Buckets_1_24[[#This Row],[S Cap Diff]], 0)</f>
        <v>0</v>
      </c>
      <c r="EN22" s="29">
        <f>Buckets_1_24[[#This Row],[Before Fill]]+Buckets_1_24[[#This Row],[Crit To Fill]]</f>
        <v>0</v>
      </c>
      <c r="EO22" s="29">
        <f>IF(NOT(Buckets_1_24[[#This Row],[Is Crit]]), Buckets_1_24[[#This Row],[S Cap Diff]], 0)</f>
        <v>0</v>
      </c>
      <c r="EP22" s="29">
        <f>ROUND(EN$41/Buckets_1_24[[#Totals],[NC To Fill]]*Buckets_1_24[[#This Row],[NC To Fill]], 2)</f>
        <v>0</v>
      </c>
      <c r="EQ22" s="31">
        <f>Buckets_1_24[[#This Row],[Pre Scale]] + IF($D22="Unexpected Fund", EN38-Buckets_1_24[[#Totals],[Pre Scale]], 0)</f>
        <v>0</v>
      </c>
      <c r="ER22" s="31">
        <f>Buckets_1_24[[#This Row],[Crit Filled]]+Buckets_1_24[[#This Row],[Scaled]]</f>
        <v>0</v>
      </c>
      <c r="ES22" s="31">
        <f>Buckets_1_24[[#This Row],[NC Filled]]</f>
        <v>0</v>
      </c>
      <c r="ET22" s="31">
        <f>Buckets_1_24[[#This Row],[Capacity]]-Buckets_1_24[[#This Row],[Final]]</f>
        <v>0</v>
      </c>
      <c r="EU22" s="33">
        <f>IF(Buckets_1_24[[#This Row],[Capacity]]=0, 1, Buckets_1_24[[#This Row],[Final]]/Buckets_1_24[[#This Row],[Capacity]])</f>
        <v>1</v>
      </c>
      <c r="EW22" s="40">
        <f>Buckets_1_24[[#This Row],[Final]]</f>
        <v>0</v>
      </c>
      <c r="EX22" s="40">
        <f>Buckets_1_24[[#This Row],[Capacity]]</f>
        <v>0</v>
      </c>
      <c r="EY22" s="41" t="b">
        <f t="shared" si="30"/>
        <v>0</v>
      </c>
      <c r="EZ22" s="42"/>
      <c r="FA22" s="42"/>
      <c r="FB22" s="42"/>
      <c r="FC22" s="42"/>
      <c r="FD22" s="43"/>
      <c r="FE22" s="40">
        <f t="shared" si="31"/>
        <v>0</v>
      </c>
      <c r="FF22" s="40">
        <f t="shared" si="32"/>
        <v>0</v>
      </c>
      <c r="FG22" s="41" t="b">
        <f t="shared" si="5"/>
        <v>0</v>
      </c>
      <c r="FI22" s="29">
        <f t="shared" si="33"/>
        <v>0</v>
      </c>
      <c r="FJ22" s="29">
        <f>GetTransactionTotal(AggregateTable2024[], AggregateTable2024[Start], FI$1, AggregateTable2024[#Headers], $D22)</f>
        <v>0</v>
      </c>
      <c r="FK22" s="29">
        <f>Buckets_2_24[[#This Row],[Start]]+Buckets_2_24[[#This Row],[Transactions]]</f>
        <v>0</v>
      </c>
      <c r="FL22" s="29">
        <f t="shared" si="34"/>
        <v>0</v>
      </c>
      <c r="FM22" s="29">
        <f>Buckets_2_24[[#This Row],[Capacity]]-Buckets_2_24[[#This Row],[After T]]</f>
        <v>0</v>
      </c>
      <c r="FN22" s="29">
        <f>MAX(-Buckets_2_24[[#This Row],[Cap Diff]], 0)</f>
        <v>0</v>
      </c>
      <c r="FO22" s="29">
        <f>Buckets_2_24[[#This Row],[After T]]-Buckets_2_24[[#This Row],[Slush]]</f>
        <v>0</v>
      </c>
      <c r="FP22" s="29">
        <f>Buckets_2_24[[#This Row],[Capacity]]-Buckets_2_24[[#This Row],[Before Fill]]</f>
        <v>0</v>
      </c>
      <c r="FQ22" t="b">
        <f>OR(FG22, Buckets_2_24[[#This Row],[After T]]&lt;0)</f>
        <v>0</v>
      </c>
      <c r="FR22" s="29">
        <f>IF(Buckets_2_24[[#This Row],[Is Crit]], Buckets_2_24[[#This Row],[S Cap Diff]], 0)</f>
        <v>0</v>
      </c>
      <c r="FS22" s="29">
        <f>Buckets_2_24[[#This Row],[Before Fill]]+Buckets_2_24[[#This Row],[Crit To Fill]]</f>
        <v>0</v>
      </c>
      <c r="FT22" s="29">
        <f>IF(NOT(Buckets_2_24[[#This Row],[Is Crit]]), Buckets_2_24[[#This Row],[S Cap Diff]], 0)</f>
        <v>0</v>
      </c>
      <c r="FU22" s="29">
        <f>ROUND(FS$41/Buckets_2_24[[#Totals],[NC To Fill]]*Buckets_2_24[[#This Row],[NC To Fill]], 2)</f>
        <v>0</v>
      </c>
      <c r="FV22" s="31">
        <f>Buckets_2_24[[#This Row],[Pre Scale]] + IF($D22="Unexpected Fund", FS38-Buckets_2_24[[#Totals],[Pre Scale]], 0)</f>
        <v>0</v>
      </c>
      <c r="FW22" s="31">
        <f>Buckets_2_24[[#This Row],[Crit Filled]]+Buckets_2_24[[#This Row],[Scaled]]</f>
        <v>0</v>
      </c>
      <c r="FX22" s="31">
        <f>Buckets_2_24[[#This Row],[NC Filled]]</f>
        <v>0</v>
      </c>
      <c r="FY22" s="31">
        <f>Buckets_2_24[[#This Row],[Capacity]]-Buckets_2_24[[#This Row],[Final]]</f>
        <v>0</v>
      </c>
      <c r="FZ22" s="33">
        <f>IF(Buckets_2_24[[#This Row],[Capacity]]=0, 1, Buckets_2_24[[#This Row],[Final]]/Buckets_2_24[[#This Row],[Capacity]])</f>
        <v>1</v>
      </c>
      <c r="GB22" s="40">
        <f>Buckets_2_24[[#This Row],[Final]]</f>
        <v>0</v>
      </c>
      <c r="GC22" s="40">
        <f>Buckets_2_24[[#This Row],[Capacity]]</f>
        <v>0</v>
      </c>
      <c r="GD22" s="41" t="b">
        <f t="shared" si="35"/>
        <v>0</v>
      </c>
      <c r="GE22" s="42"/>
      <c r="GF22" s="42"/>
      <c r="GG22" s="42"/>
      <c r="GH22" s="42"/>
      <c r="GI22" s="43"/>
      <c r="GJ22" s="40">
        <f t="shared" si="36"/>
        <v>0</v>
      </c>
      <c r="GK22" s="40">
        <f t="shared" si="37"/>
        <v>0</v>
      </c>
      <c r="GL22" s="41" t="b">
        <f t="shared" si="6"/>
        <v>0</v>
      </c>
      <c r="GN22" s="29">
        <f t="shared" si="38"/>
        <v>0</v>
      </c>
      <c r="GO22" s="29">
        <f>GetTransactionTotal(AggregateTable2024[], AggregateTable2024[Start], GN$1, AggregateTable2024[#Headers], $D22)</f>
        <v>0</v>
      </c>
      <c r="GP22" s="29">
        <f>Buckets_3_24[[#This Row],[Start]]+Buckets_3_24[[#This Row],[Transactions]]</f>
        <v>0</v>
      </c>
      <c r="GQ22" s="29">
        <f t="shared" si="39"/>
        <v>0</v>
      </c>
      <c r="GR22" s="29">
        <f>Buckets_3_24[[#This Row],[Capacity]]-Buckets_3_24[[#This Row],[After T]]</f>
        <v>0</v>
      </c>
      <c r="GS22" s="29">
        <f>MAX(-Buckets_3_24[[#This Row],[Cap Diff]], 0)</f>
        <v>0</v>
      </c>
      <c r="GT22" s="29">
        <f>Buckets_3_24[[#This Row],[After T]]-Buckets_3_24[[#This Row],[Slush]]</f>
        <v>0</v>
      </c>
      <c r="GU22" s="29">
        <f>Buckets_3_24[[#This Row],[Capacity]]-Buckets_3_24[[#This Row],[Before Fill]]</f>
        <v>0</v>
      </c>
      <c r="GV22" t="b">
        <f>OR(GL22, Buckets_3_24[[#This Row],[After T]]&lt;0)</f>
        <v>0</v>
      </c>
      <c r="GW22" s="29">
        <f>IF(Buckets_3_24[[#This Row],[Is Crit]], Buckets_3_24[[#This Row],[S Cap Diff]], 0)</f>
        <v>0</v>
      </c>
      <c r="GX22" s="29">
        <f>Buckets_3_24[[#This Row],[Before Fill]]+Buckets_3_24[[#This Row],[Crit To Fill]]</f>
        <v>0</v>
      </c>
      <c r="GY22" s="29">
        <f>IF(NOT(Buckets_3_24[[#This Row],[Is Crit]]), Buckets_3_24[[#This Row],[S Cap Diff]], 0)</f>
        <v>0</v>
      </c>
      <c r="GZ22" s="29">
        <f>ROUND(GX$41/Buckets_3_24[[#Totals],[NC To Fill]]*Buckets_3_24[[#This Row],[NC To Fill]], 2)</f>
        <v>0</v>
      </c>
      <c r="HA22" s="31">
        <f>Buckets_3_24[[#This Row],[Pre Scale]] + IF($D22="Unexpected Fund", GX38-Buckets_3_24[[#Totals],[Pre Scale]], 0)</f>
        <v>0</v>
      </c>
      <c r="HB22" s="31">
        <f>Buckets_3_24[[#This Row],[Crit Filled]]+Buckets_3_24[[#This Row],[Scaled]]</f>
        <v>0</v>
      </c>
      <c r="HC22" s="31">
        <f>Buckets_3_24[[#This Row],[NC Filled]]</f>
        <v>0</v>
      </c>
      <c r="HD22" s="31">
        <f>Buckets_3_24[[#This Row],[Capacity]]-Buckets_3_24[[#This Row],[Final]]</f>
        <v>0</v>
      </c>
      <c r="HE22" s="33">
        <f>IF(Buckets_3_24[[#This Row],[Capacity]]=0, 1, Buckets_3_24[[#This Row],[Final]]/Buckets_3_24[[#This Row],[Capacity]])</f>
        <v>1</v>
      </c>
      <c r="HG22" s="40">
        <f>Buckets_3_24[[#This Row],[Final]]</f>
        <v>0</v>
      </c>
      <c r="HH22" s="40">
        <f>Buckets_3_24[[#This Row],[Capacity]]</f>
        <v>0</v>
      </c>
      <c r="HI22" s="41" t="b">
        <f t="shared" si="40"/>
        <v>0</v>
      </c>
      <c r="HJ22" s="42"/>
      <c r="HK22" s="42"/>
      <c r="HL22" s="42"/>
      <c r="HM22" s="42"/>
      <c r="HN22" s="43"/>
      <c r="HO22" s="40">
        <f t="shared" si="41"/>
        <v>0</v>
      </c>
      <c r="HP22" s="40">
        <f t="shared" si="42"/>
        <v>0</v>
      </c>
      <c r="HQ22" s="41" t="b">
        <f t="shared" si="7"/>
        <v>0</v>
      </c>
      <c r="HS22" s="29">
        <f t="shared" si="43"/>
        <v>0</v>
      </c>
      <c r="HT22" s="29">
        <f>GetTransactionTotal(AggregateTable2024[], AggregateTable2024[Start], HS$1, AggregateTable2024[#Headers], $D22)</f>
        <v>-6500</v>
      </c>
      <c r="HU22" s="29">
        <f>Buckets_4_24[[#This Row],[Start]]+Buckets_4_24[[#This Row],[Transactions]]</f>
        <v>-6500</v>
      </c>
      <c r="HV22" s="29">
        <f t="shared" si="44"/>
        <v>0</v>
      </c>
      <c r="HW22" s="29">
        <f>Buckets_4_24[[#This Row],[Capacity]]-Buckets_4_24[[#This Row],[After T]]</f>
        <v>6500</v>
      </c>
      <c r="HX22" s="29">
        <f>MAX(-Buckets_4_24[[#This Row],[Cap Diff]], 0)</f>
        <v>0</v>
      </c>
      <c r="HY22" s="29">
        <f>Buckets_4_24[[#This Row],[After T]]-Buckets_4_24[[#This Row],[Slush]]</f>
        <v>-6500</v>
      </c>
      <c r="HZ22" s="29">
        <f>Buckets_4_24[[#This Row],[Capacity]]-Buckets_4_24[[#This Row],[Before Fill]]</f>
        <v>6500</v>
      </c>
      <c r="IA22" t="b">
        <f>OR(HQ22, Buckets_4_24[[#This Row],[After T]]&lt;0)</f>
        <v>1</v>
      </c>
      <c r="IB22" s="29">
        <f>IF(Buckets_4_24[[#This Row],[Is Crit]], Buckets_4_24[[#This Row],[S Cap Diff]], 0)</f>
        <v>6500</v>
      </c>
      <c r="IC22" s="29">
        <f>Buckets_4_24[[#This Row],[Before Fill]]+Buckets_4_24[[#This Row],[Crit To Fill]]</f>
        <v>0</v>
      </c>
      <c r="ID22" s="29">
        <f>IF(NOT(Buckets_4_24[[#This Row],[Is Crit]]), Buckets_4_24[[#This Row],[S Cap Diff]], 0)</f>
        <v>0</v>
      </c>
      <c r="IE22" s="29">
        <f>ROUND(IC$41/Buckets_4_24[[#Totals],[NC To Fill]]*Buckets_4_24[[#This Row],[NC To Fill]], 2)</f>
        <v>0</v>
      </c>
      <c r="IF22" s="31">
        <f>Buckets_4_24[[#This Row],[Pre Scale]] + IF($D22="Unexpected Fund", IC38-Buckets_4_24[[#Totals],[Pre Scale]], 0)</f>
        <v>0</v>
      </c>
      <c r="IG22" s="31">
        <f>Buckets_4_24[[#This Row],[Crit Filled]]+Buckets_4_24[[#This Row],[Scaled]]</f>
        <v>0</v>
      </c>
      <c r="IH22" s="31">
        <f>Buckets_4_24[[#This Row],[NC Filled]]</f>
        <v>0</v>
      </c>
      <c r="II22" s="31">
        <f>Buckets_4_24[[#This Row],[Capacity]]-Buckets_4_24[[#This Row],[Final]]</f>
        <v>0</v>
      </c>
      <c r="IJ22" s="33">
        <f>IF(Buckets_4_24[[#This Row],[Capacity]]=0, 1, Buckets_4_24[[#This Row],[Final]]/Buckets_4_24[[#This Row],[Capacity]])</f>
        <v>1</v>
      </c>
      <c r="IL22" s="40">
        <f>Buckets_4_24[[#This Row],[Final]]</f>
        <v>0</v>
      </c>
      <c r="IM22" s="40">
        <f>Buckets_4_24[[#This Row],[Capacity]]</f>
        <v>0</v>
      </c>
      <c r="IN22" s="41" t="b">
        <f t="shared" si="45"/>
        <v>0</v>
      </c>
      <c r="IO22" s="42"/>
      <c r="IP22" s="42"/>
      <c r="IQ22" s="42"/>
      <c r="IR22" s="42"/>
      <c r="IS22" s="43"/>
      <c r="IT22" s="40">
        <f t="shared" si="46"/>
        <v>0</v>
      </c>
      <c r="IU22" s="40">
        <f t="shared" si="47"/>
        <v>0</v>
      </c>
      <c r="IV22" s="41" t="b">
        <f t="shared" si="8"/>
        <v>0</v>
      </c>
    </row>
    <row r="23" spans="1:256" x14ac:dyDescent="0.25">
      <c r="A23" s="49"/>
      <c r="B23" t="s">
        <v>325</v>
      </c>
      <c r="C23" t="s">
        <v>298</v>
      </c>
      <c r="D23" t="s">
        <v>298</v>
      </c>
      <c r="F23" s="30">
        <v>0</v>
      </c>
      <c r="G23" s="38">
        <v>0</v>
      </c>
      <c r="H23" t="b">
        <v>0</v>
      </c>
      <c r="J23" s="50">
        <f t="shared" si="9"/>
        <v>0</v>
      </c>
      <c r="K23" s="50">
        <f>GetTransactionTotal(AggregateTable2023[], AggregateTable2023[Start], J$1, AggregateTable2023[#Headers], $D23)</f>
        <v>0</v>
      </c>
      <c r="L23" s="50">
        <f>Buckets_9_23[[#This Row],[Start]]+Buckets_9_23[[#This Row],[Transactions]]</f>
        <v>0</v>
      </c>
      <c r="M23" s="50">
        <f t="shared" si="10"/>
        <v>0</v>
      </c>
      <c r="N23" s="50">
        <f>Buckets_9_23[[#This Row],[Capacity]]-Buckets_9_23[[#This Row],[After T]]</f>
        <v>0</v>
      </c>
      <c r="O23" s="50">
        <f>IF(Buckets_9_23[[#This Row],[After T]]&lt;0, Buckets_9_23[[#This Row],[After T]], IF(Buckets_9_23[[#This Row],[Cap Diff]]&lt;0, -Buckets_9_23[[#This Row],[Cap Diff]], 0))</f>
        <v>0</v>
      </c>
      <c r="P23" s="50">
        <f>Buckets_9_23[[#This Row],[After T]]-Buckets_9_23[[#This Row],[Slush]]</f>
        <v>0</v>
      </c>
      <c r="Q23" s="50">
        <f>Buckets_9_23[[#This Row],[Capacity]]-Buckets_9_23[[#This Row],[Before Fill]]</f>
        <v>0</v>
      </c>
      <c r="R23" s="31" t="b">
        <f t="shared" si="0"/>
        <v>0</v>
      </c>
      <c r="S23" s="50">
        <f>IF(Buckets_9_23[[#This Row],[Is Crit]], Buckets_9_23[[#This Row],[S Cap Diff]], 0)</f>
        <v>0</v>
      </c>
      <c r="T23" s="50">
        <f>Buckets_9_23[[#This Row],[Before Fill]]+Buckets_9_23[[#This Row],[Crit To Fill]]</f>
        <v>0</v>
      </c>
      <c r="U23" s="50">
        <f>IF(NOT(Buckets_9_23[[#This Row],[Is Crit]]), Buckets_9_23[[#This Row],[S Cap Diff]], 0)</f>
        <v>0</v>
      </c>
      <c r="V23" s="50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A23" s="51">
        <f>IF(Buckets_9_23[[#This Row],[Capacity]]=0, 1, Buckets_9_23[[#This Row],[Final]]/Buckets_9_23[[#This Row],[Capacity]])</f>
        <v>1</v>
      </c>
      <c r="AC23" s="31">
        <f>Buckets_9_23[[#This Row],[Final]]</f>
        <v>0</v>
      </c>
      <c r="AD23" s="31">
        <f>Buckets_9_23[[#This Row],[Capacity]]</f>
        <v>0</v>
      </c>
      <c r="AE23" t="b">
        <f>H23</f>
        <v>0</v>
      </c>
      <c r="AF23" s="43"/>
      <c r="AG23" s="42"/>
      <c r="AH23" s="43"/>
      <c r="AI23" s="42"/>
      <c r="AJ23" s="43"/>
      <c r="AK23" s="40">
        <f t="shared" si="11"/>
        <v>0</v>
      </c>
      <c r="AL23" s="40">
        <f t="shared" si="12"/>
        <v>0</v>
      </c>
      <c r="AM23" s="41" t="b">
        <f t="shared" si="1"/>
        <v>0</v>
      </c>
      <c r="AO23" s="29">
        <f t="shared" si="13"/>
        <v>0</v>
      </c>
      <c r="AP23" s="29">
        <f>GetTransactionTotal(AggregateTable2023[], AggregateTable2023[Start], AO$1, AggregateTable2023[#Headers], $D23)</f>
        <v>0</v>
      </c>
      <c r="AQ23" s="29">
        <f>Buckets_10_23[[#This Row],[Start]]+Buckets_10_23[[#This Row],[Transactions]]</f>
        <v>0</v>
      </c>
      <c r="AR23" s="29">
        <f t="shared" si="14"/>
        <v>0</v>
      </c>
      <c r="AS23" s="29">
        <f>Buckets_10_23[[#This Row],[Capacity]]-Buckets_10_23[[#This Row],[After T]]</f>
        <v>0</v>
      </c>
      <c r="AT23" s="29">
        <f>MAX(-Buckets_10_23[[#This Row],[Cap Diff]], 0)</f>
        <v>0</v>
      </c>
      <c r="AU23" s="29">
        <f>Buckets_10_23[[#This Row],[After T]]-Buckets_10_23[[#This Row],[Slush]]</f>
        <v>0</v>
      </c>
      <c r="AV23" s="29">
        <f>Buckets_10_23[[#This Row],[Capacity]]-Buckets_10_23[[#This Row],[Before Fill]]</f>
        <v>0</v>
      </c>
      <c r="AW23" t="b">
        <f>OR(AM23, Buckets_10_23[[#This Row],[After T]]&lt;0)</f>
        <v>0</v>
      </c>
      <c r="AX23" s="29">
        <f>IF(Buckets_10_23[[#This Row],[Is Crit]], Buckets_10_23[[#This Row],[S Cap Diff]], 0)</f>
        <v>0</v>
      </c>
      <c r="AY23" s="29">
        <f>Buckets_10_23[[#This Row],[Before Fill]]+Buckets_10_23[[#This Row],[Crit To Fill]]</f>
        <v>0</v>
      </c>
      <c r="AZ23" s="29">
        <f>IF(NOT(Buckets_10_23[[#This Row],[Is Crit]]), Buckets_10_23[[#This Row],[S Cap Diff]], 0)</f>
        <v>0</v>
      </c>
      <c r="BA23" s="29">
        <f>ROUND(AY$41/Buckets_10_23[[#Totals],[NC To Fill]]*Buckets_10_23[[#This Row],[NC To Fill]], 2)</f>
        <v>0</v>
      </c>
      <c r="BB23" s="31">
        <f>Buckets_10_23[[#This Row],[Pre Scale]] + IF($D23="Unexpected Fund", AY39-Buckets_10_23[[#Totals],[Pre Scale]], 0)</f>
        <v>0</v>
      </c>
      <c r="BC23" s="31">
        <f>Buckets_10_23[[#This Row],[Crit Filled]]+Buckets_10_23[[#This Row],[Scaled]]</f>
        <v>0</v>
      </c>
      <c r="BD23" s="31">
        <f>Buckets_10_23[[#This Row],[NC Filled]]</f>
        <v>0</v>
      </c>
      <c r="BE23" s="31">
        <f>Buckets_10_23[[#This Row],[Capacity]]-Buckets_10_23[[#This Row],[Final]]</f>
        <v>0</v>
      </c>
      <c r="BF23" s="33">
        <f>IF(Buckets_10_23[[#This Row],[Capacity]]=0, 1, Buckets_10_23[[#This Row],[Final]]/Buckets_10_23[[#This Row],[Capacity]])</f>
        <v>1</v>
      </c>
      <c r="BH23" s="31">
        <f>Buckets_10_23[[#This Row],[Final]]</f>
        <v>0</v>
      </c>
      <c r="BI23" s="31">
        <f>Buckets_10_23[[#This Row],[Capacity]]</f>
        <v>0</v>
      </c>
      <c r="BJ23" t="b">
        <f t="shared" si="15"/>
        <v>0</v>
      </c>
      <c r="BK23" s="43"/>
      <c r="BL23" s="42"/>
      <c r="BM23" s="43"/>
      <c r="BN23" s="42"/>
      <c r="BO23" s="43"/>
      <c r="BP23" s="40">
        <f t="shared" si="16"/>
        <v>0</v>
      </c>
      <c r="BQ23" s="40">
        <f t="shared" si="17"/>
        <v>0</v>
      </c>
      <c r="BR23" s="41" t="b">
        <f t="shared" si="2"/>
        <v>0</v>
      </c>
      <c r="BT23" s="29">
        <f t="shared" si="18"/>
        <v>0</v>
      </c>
      <c r="BU23" s="29">
        <f>GetTransactionTotal(AggregateTable2023[], AggregateTable2023[Start], BT$1, AggregateTable2023[#Headers], $D23)</f>
        <v>0</v>
      </c>
      <c r="BV23" s="29">
        <f>Buckets_11_23[[#This Row],[Start]]+Buckets_11_23[[#This Row],[Transactions]]</f>
        <v>0</v>
      </c>
      <c r="BW23" s="29">
        <f t="shared" si="19"/>
        <v>0</v>
      </c>
      <c r="BX23" s="29">
        <f>Buckets_11_23[[#This Row],[Capacity]]-Buckets_11_23[[#This Row],[After T]]</f>
        <v>0</v>
      </c>
      <c r="BY23" s="29">
        <f>MAX(-Buckets_11_23[[#This Row],[Cap Diff]], 0)</f>
        <v>0</v>
      </c>
      <c r="BZ23" s="29">
        <f>Buckets_11_23[[#This Row],[After T]]-Buckets_11_23[[#This Row],[Slush]]</f>
        <v>0</v>
      </c>
      <c r="CA23" s="29">
        <f>Buckets_11_23[[#This Row],[Capacity]]-Buckets_11_23[[#This Row],[Before Fill]]</f>
        <v>0</v>
      </c>
      <c r="CB23" t="b">
        <f>OR(BR23, Buckets_11_23[[#This Row],[After T]]&lt;0)</f>
        <v>0</v>
      </c>
      <c r="CC23" s="29">
        <f>IF(Buckets_11_23[[#This Row],[Is Crit]], Buckets_11_23[[#This Row],[S Cap Diff]], 0)</f>
        <v>0</v>
      </c>
      <c r="CD23" s="29">
        <f>Buckets_11_23[[#This Row],[Before Fill]]+Buckets_11_23[[#This Row],[Crit To Fill]]</f>
        <v>0</v>
      </c>
      <c r="CE23" s="29">
        <f>IF(NOT(Buckets_11_23[[#This Row],[Is Crit]]), Buckets_11_23[[#This Row],[S Cap Diff]], 0)</f>
        <v>0</v>
      </c>
      <c r="CF23" s="29">
        <f>ROUND(CD$41/Buckets_11_23[[#Totals],[NC To Fill]]*Buckets_11_23[[#This Row],[NC To Fill]], 2)</f>
        <v>0</v>
      </c>
      <c r="CG23" s="31">
        <f>Buckets_11_23[[#This Row],[Pre Scale]] + IF($D23="Unexpected Fund", CD39-Buckets_11_23[[#Totals],[Pre Scale]], 0)</f>
        <v>0</v>
      </c>
      <c r="CH23" s="31">
        <f>Buckets_11_23[[#This Row],[Crit Filled]]+Buckets_11_23[[#This Row],[Scaled]]</f>
        <v>0</v>
      </c>
      <c r="CI23" s="31">
        <f>Buckets_11_23[[#This Row],[NC Filled]]</f>
        <v>0</v>
      </c>
      <c r="CJ23" s="31">
        <f>Buckets_11_23[[#This Row],[Capacity]]-Buckets_11_23[[#This Row],[Final]]</f>
        <v>0</v>
      </c>
      <c r="CK23" s="33">
        <f>IF(Buckets_11_23[[#This Row],[Capacity]]=0, 1, Buckets_11_23[[#This Row],[Final]]/Buckets_11_23[[#This Row],[Capacity]])</f>
        <v>1</v>
      </c>
      <c r="CM23" s="40">
        <f>Buckets_11_23[[#This Row],[Final]]</f>
        <v>0</v>
      </c>
      <c r="CN23" s="40">
        <f>Buckets_11_23[[#This Row],[Capacity]]</f>
        <v>0</v>
      </c>
      <c r="CO23" s="41" t="b">
        <f t="shared" si="20"/>
        <v>0</v>
      </c>
      <c r="CP23" s="42"/>
      <c r="CQ23" s="42"/>
      <c r="CR23" s="42"/>
      <c r="CS23" s="42"/>
      <c r="CT23" s="43"/>
      <c r="CU23" s="40">
        <f t="shared" si="21"/>
        <v>0</v>
      </c>
      <c r="CV23" s="40">
        <f t="shared" si="22"/>
        <v>0</v>
      </c>
      <c r="CW23" s="41" t="b">
        <f t="shared" si="3"/>
        <v>0</v>
      </c>
      <c r="CY23" s="29">
        <f t="shared" si="23"/>
        <v>0</v>
      </c>
      <c r="CZ23" s="29">
        <f>GetTransactionTotal(AggregateTable2023[], AggregateTable2023[Start], CY$1, AggregateTable2023[#Headers], $D23)</f>
        <v>0</v>
      </c>
      <c r="DA23" s="29">
        <f>Buckets_12_23[[#This Row],[Start]]+Buckets_12_23[[#This Row],[Transactions]]</f>
        <v>0</v>
      </c>
      <c r="DB23" s="29">
        <f t="shared" si="24"/>
        <v>0</v>
      </c>
      <c r="DC23" s="29">
        <f>Buckets_12_23[[#This Row],[Capacity]]-Buckets_12_23[[#This Row],[After T]]</f>
        <v>0</v>
      </c>
      <c r="DD23" s="29">
        <f>MAX(-Buckets_12_23[[#This Row],[Cap Diff]], 0)</f>
        <v>0</v>
      </c>
      <c r="DE23" s="29">
        <f>Buckets_12_23[[#This Row],[After T]]-Buckets_12_23[[#This Row],[Slush]]</f>
        <v>0</v>
      </c>
      <c r="DF23" s="29">
        <f>Buckets_12_23[[#This Row],[Capacity]]-Buckets_12_23[[#This Row],[Before Fill]]</f>
        <v>0</v>
      </c>
      <c r="DG23" t="b">
        <f>OR(CW23, Buckets_12_23[[#This Row],[After T]]&lt;0)</f>
        <v>0</v>
      </c>
      <c r="DH23" s="29">
        <f>IF(Buckets_12_23[[#This Row],[Is Crit]], Buckets_12_23[[#This Row],[S Cap Diff]], 0)</f>
        <v>0</v>
      </c>
      <c r="DI23" s="29">
        <f>Buckets_12_23[[#This Row],[Before Fill]]+Buckets_12_23[[#This Row],[Crit To Fill]]</f>
        <v>0</v>
      </c>
      <c r="DJ23" s="29">
        <f>IF(NOT(Buckets_12_23[[#This Row],[Is Crit]]), Buckets_12_23[[#This Row],[S Cap Diff]], 0)</f>
        <v>0</v>
      </c>
      <c r="DK23" s="29">
        <f>ROUND(DI$41/Buckets_12_23[[#Totals],[NC To Fill]]*Buckets_12_23[[#This Row],[NC To Fill]], 2)</f>
        <v>0</v>
      </c>
      <c r="DL23" s="31">
        <f>Buckets_12_23[[#This Row],[Pre Scale]] + IF($D23="Unexpected Fund", DI39-Buckets_12_23[[#Totals],[Pre Scale]], 0)</f>
        <v>0</v>
      </c>
      <c r="DM23" s="31">
        <f>Buckets_12_23[[#This Row],[Crit Filled]]+Buckets_12_23[[#This Row],[Scaled]]</f>
        <v>0</v>
      </c>
      <c r="DN23" s="31">
        <f>Buckets_12_23[[#This Row],[NC Filled]]</f>
        <v>0</v>
      </c>
      <c r="DO23" s="31">
        <f>Buckets_12_23[[#This Row],[Capacity]]-Buckets_12_23[[#This Row],[Final]]</f>
        <v>0</v>
      </c>
      <c r="DP23" s="33">
        <f>IF(Buckets_12_23[[#This Row],[Capacity]]=0, 1, Buckets_12_23[[#This Row],[Final]]/Buckets_12_23[[#This Row],[Capacity]])</f>
        <v>1</v>
      </c>
      <c r="DR23" s="40">
        <f>Buckets_12_23[[#This Row],[Final]]</f>
        <v>0</v>
      </c>
      <c r="DS23" s="40">
        <f>Buckets_12_23[[#This Row],[Capacity]]</f>
        <v>0</v>
      </c>
      <c r="DT23" s="41" t="b">
        <f t="shared" si="25"/>
        <v>0</v>
      </c>
      <c r="DU23" s="42"/>
      <c r="DV23" s="42"/>
      <c r="DW23" s="42"/>
      <c r="DX23" s="42"/>
      <c r="DY23" s="43"/>
      <c r="DZ23" s="40">
        <f t="shared" si="26"/>
        <v>0</v>
      </c>
      <c r="EA23" s="40">
        <f t="shared" si="27"/>
        <v>0</v>
      </c>
      <c r="EB23" s="41" t="b">
        <f t="shared" si="4"/>
        <v>0</v>
      </c>
      <c r="ED23" s="29">
        <f t="shared" si="28"/>
        <v>0</v>
      </c>
      <c r="EE23" s="29">
        <f>GetTransactionTotal(AggregateTable2024[], AggregateTable2024[Start], ED$1, AggregateTable2024[#Headers], $D23)</f>
        <v>0</v>
      </c>
      <c r="EF23" s="29">
        <f>Buckets_1_24[[#This Row],[Start]]+Buckets_1_24[[#This Row],[Transactions]]</f>
        <v>0</v>
      </c>
      <c r="EG23" s="29">
        <f t="shared" si="29"/>
        <v>0</v>
      </c>
      <c r="EH23" s="29">
        <f>Buckets_1_24[[#This Row],[Capacity]]-Buckets_1_24[[#This Row],[After T]]</f>
        <v>0</v>
      </c>
      <c r="EI23" s="29">
        <f>MAX(-Buckets_1_24[[#This Row],[Cap Diff]], 0)</f>
        <v>0</v>
      </c>
      <c r="EJ23" s="29">
        <f>Buckets_1_24[[#This Row],[After T]]-Buckets_1_24[[#This Row],[Slush]]</f>
        <v>0</v>
      </c>
      <c r="EK23" s="29">
        <f>Buckets_1_24[[#This Row],[Capacity]]-Buckets_1_24[[#This Row],[Before Fill]]</f>
        <v>0</v>
      </c>
      <c r="EL23" t="b">
        <f>OR(EB23, Buckets_1_24[[#This Row],[After T]]&lt;0)</f>
        <v>0</v>
      </c>
      <c r="EM23" s="29">
        <f>IF(Buckets_1_24[[#This Row],[Is Crit]], Buckets_1_24[[#This Row],[S Cap Diff]], 0)</f>
        <v>0</v>
      </c>
      <c r="EN23" s="29">
        <f>Buckets_1_24[[#This Row],[Before Fill]]+Buckets_1_24[[#This Row],[Crit To Fill]]</f>
        <v>0</v>
      </c>
      <c r="EO23" s="29">
        <f>IF(NOT(Buckets_1_24[[#This Row],[Is Crit]]), Buckets_1_24[[#This Row],[S Cap Diff]], 0)</f>
        <v>0</v>
      </c>
      <c r="EP23" s="29">
        <f>ROUND(EN$41/Buckets_1_24[[#Totals],[NC To Fill]]*Buckets_1_24[[#This Row],[NC To Fill]], 2)</f>
        <v>0</v>
      </c>
      <c r="EQ23" s="31">
        <f>Buckets_1_24[[#This Row],[Pre Scale]] + IF($D23="Unexpected Fund", EN39-Buckets_1_24[[#Totals],[Pre Scale]], 0)</f>
        <v>0</v>
      </c>
      <c r="ER23" s="31">
        <f>Buckets_1_24[[#This Row],[Crit Filled]]+Buckets_1_24[[#This Row],[Scaled]]</f>
        <v>0</v>
      </c>
      <c r="ES23" s="31">
        <f>Buckets_1_24[[#This Row],[NC Filled]]</f>
        <v>0</v>
      </c>
      <c r="ET23" s="31">
        <f>Buckets_1_24[[#This Row],[Capacity]]-Buckets_1_24[[#This Row],[Final]]</f>
        <v>0</v>
      </c>
      <c r="EU23" s="33">
        <f>IF(Buckets_1_24[[#This Row],[Capacity]]=0, 1, Buckets_1_24[[#This Row],[Final]]/Buckets_1_24[[#This Row],[Capacity]])</f>
        <v>1</v>
      </c>
      <c r="EW23" s="40">
        <f>Buckets_1_24[[#This Row],[Final]]</f>
        <v>0</v>
      </c>
      <c r="EX23" s="40">
        <f>Buckets_1_24[[#This Row],[Capacity]]</f>
        <v>0</v>
      </c>
      <c r="EY23" s="41" t="b">
        <f t="shared" si="30"/>
        <v>0</v>
      </c>
      <c r="EZ23" s="42"/>
      <c r="FA23" s="42"/>
      <c r="FB23" s="42"/>
      <c r="FC23" s="42"/>
      <c r="FD23" s="43"/>
      <c r="FE23" s="40">
        <f t="shared" si="31"/>
        <v>0</v>
      </c>
      <c r="FF23" s="40">
        <f t="shared" si="32"/>
        <v>0</v>
      </c>
      <c r="FG23" s="41" t="b">
        <f t="shared" si="5"/>
        <v>0</v>
      </c>
      <c r="FI23" s="29">
        <f t="shared" si="33"/>
        <v>0</v>
      </c>
      <c r="FJ23" s="29">
        <f>GetTransactionTotal(AggregateTable2024[], AggregateTable2024[Start], FI$1, AggregateTable2024[#Headers], $D23)</f>
        <v>0</v>
      </c>
      <c r="FK23" s="29">
        <f>Buckets_2_24[[#This Row],[Start]]+Buckets_2_24[[#This Row],[Transactions]]</f>
        <v>0</v>
      </c>
      <c r="FL23" s="29">
        <f t="shared" si="34"/>
        <v>0</v>
      </c>
      <c r="FM23" s="29">
        <f>Buckets_2_24[[#This Row],[Capacity]]-Buckets_2_24[[#This Row],[After T]]</f>
        <v>0</v>
      </c>
      <c r="FN23" s="29">
        <f>MAX(-Buckets_2_24[[#This Row],[Cap Diff]], 0)</f>
        <v>0</v>
      </c>
      <c r="FO23" s="29">
        <f>Buckets_2_24[[#This Row],[After T]]-Buckets_2_24[[#This Row],[Slush]]</f>
        <v>0</v>
      </c>
      <c r="FP23" s="29">
        <f>Buckets_2_24[[#This Row],[Capacity]]-Buckets_2_24[[#This Row],[Before Fill]]</f>
        <v>0</v>
      </c>
      <c r="FQ23" t="b">
        <f>OR(FG23, Buckets_2_24[[#This Row],[After T]]&lt;0)</f>
        <v>0</v>
      </c>
      <c r="FR23" s="29">
        <f>IF(Buckets_2_24[[#This Row],[Is Crit]], Buckets_2_24[[#This Row],[S Cap Diff]], 0)</f>
        <v>0</v>
      </c>
      <c r="FS23" s="29">
        <f>Buckets_2_24[[#This Row],[Before Fill]]+Buckets_2_24[[#This Row],[Crit To Fill]]</f>
        <v>0</v>
      </c>
      <c r="FT23" s="29">
        <f>IF(NOT(Buckets_2_24[[#This Row],[Is Crit]]), Buckets_2_24[[#This Row],[S Cap Diff]], 0)</f>
        <v>0</v>
      </c>
      <c r="FU23" s="29">
        <f>ROUND(FS$41/Buckets_2_24[[#Totals],[NC To Fill]]*Buckets_2_24[[#This Row],[NC To Fill]], 2)</f>
        <v>0</v>
      </c>
      <c r="FV23" s="31">
        <f>Buckets_2_24[[#This Row],[Pre Scale]] + IF($D23="Unexpected Fund", FS39-Buckets_2_24[[#Totals],[Pre Scale]], 0)</f>
        <v>0</v>
      </c>
      <c r="FW23" s="31">
        <f>Buckets_2_24[[#This Row],[Crit Filled]]+Buckets_2_24[[#This Row],[Scaled]]</f>
        <v>0</v>
      </c>
      <c r="FX23" s="31">
        <f>Buckets_2_24[[#This Row],[NC Filled]]</f>
        <v>0</v>
      </c>
      <c r="FY23" s="31">
        <f>Buckets_2_24[[#This Row],[Capacity]]-Buckets_2_24[[#This Row],[Final]]</f>
        <v>0</v>
      </c>
      <c r="FZ23" s="33">
        <f>IF(Buckets_2_24[[#This Row],[Capacity]]=0, 1, Buckets_2_24[[#This Row],[Final]]/Buckets_2_24[[#This Row],[Capacity]])</f>
        <v>1</v>
      </c>
      <c r="GB23" s="40">
        <f>Buckets_2_24[[#This Row],[Final]]</f>
        <v>0</v>
      </c>
      <c r="GC23" s="40">
        <f>Buckets_2_24[[#This Row],[Capacity]]</f>
        <v>0</v>
      </c>
      <c r="GD23" s="41" t="b">
        <f t="shared" si="35"/>
        <v>0</v>
      </c>
      <c r="GE23" s="42"/>
      <c r="GF23" s="42"/>
      <c r="GG23" s="42"/>
      <c r="GH23" s="42"/>
      <c r="GI23" s="43"/>
      <c r="GJ23" s="40">
        <f t="shared" si="36"/>
        <v>0</v>
      </c>
      <c r="GK23" s="40">
        <f t="shared" si="37"/>
        <v>0</v>
      </c>
      <c r="GL23" s="41" t="b">
        <f t="shared" si="6"/>
        <v>0</v>
      </c>
      <c r="GN23" s="29">
        <f t="shared" si="38"/>
        <v>0</v>
      </c>
      <c r="GO23" s="29">
        <f>GetTransactionTotal(AggregateTable2024[], AggregateTable2024[Start], GN$1, AggregateTable2024[#Headers], $D23)</f>
        <v>0</v>
      </c>
      <c r="GP23" s="29">
        <f>Buckets_3_24[[#This Row],[Start]]+Buckets_3_24[[#This Row],[Transactions]]</f>
        <v>0</v>
      </c>
      <c r="GQ23" s="29">
        <f t="shared" si="39"/>
        <v>0</v>
      </c>
      <c r="GR23" s="29">
        <f>Buckets_3_24[[#This Row],[Capacity]]-Buckets_3_24[[#This Row],[After T]]</f>
        <v>0</v>
      </c>
      <c r="GS23" s="29">
        <f>MAX(-Buckets_3_24[[#This Row],[Cap Diff]], 0)</f>
        <v>0</v>
      </c>
      <c r="GT23" s="29">
        <f>Buckets_3_24[[#This Row],[After T]]-Buckets_3_24[[#This Row],[Slush]]</f>
        <v>0</v>
      </c>
      <c r="GU23" s="29">
        <f>Buckets_3_24[[#This Row],[Capacity]]-Buckets_3_24[[#This Row],[Before Fill]]</f>
        <v>0</v>
      </c>
      <c r="GV23" t="b">
        <f>OR(GL23, Buckets_3_24[[#This Row],[After T]]&lt;0)</f>
        <v>0</v>
      </c>
      <c r="GW23" s="29">
        <f>IF(Buckets_3_24[[#This Row],[Is Crit]], Buckets_3_24[[#This Row],[S Cap Diff]], 0)</f>
        <v>0</v>
      </c>
      <c r="GX23" s="29">
        <f>Buckets_3_24[[#This Row],[Before Fill]]+Buckets_3_24[[#This Row],[Crit To Fill]]</f>
        <v>0</v>
      </c>
      <c r="GY23" s="29">
        <f>IF(NOT(Buckets_3_24[[#This Row],[Is Crit]]), Buckets_3_24[[#This Row],[S Cap Diff]], 0)</f>
        <v>0</v>
      </c>
      <c r="GZ23" s="29">
        <f>ROUND(GX$41/Buckets_3_24[[#Totals],[NC To Fill]]*Buckets_3_24[[#This Row],[NC To Fill]], 2)</f>
        <v>0</v>
      </c>
      <c r="HA23" s="31">
        <f>Buckets_3_24[[#This Row],[Pre Scale]] + IF($D23="Unexpected Fund", GX39-Buckets_3_24[[#Totals],[Pre Scale]], 0)</f>
        <v>0</v>
      </c>
      <c r="HB23" s="31">
        <f>Buckets_3_24[[#This Row],[Crit Filled]]+Buckets_3_24[[#This Row],[Scaled]]</f>
        <v>0</v>
      </c>
      <c r="HC23" s="31">
        <f>Buckets_3_24[[#This Row],[NC Filled]]</f>
        <v>0</v>
      </c>
      <c r="HD23" s="31">
        <f>Buckets_3_24[[#This Row],[Capacity]]-Buckets_3_24[[#This Row],[Final]]</f>
        <v>0</v>
      </c>
      <c r="HE23" s="33">
        <f>IF(Buckets_3_24[[#This Row],[Capacity]]=0, 1, Buckets_3_24[[#This Row],[Final]]/Buckets_3_24[[#This Row],[Capacity]])</f>
        <v>1</v>
      </c>
      <c r="HG23" s="40">
        <f>Buckets_3_24[[#This Row],[Final]]</f>
        <v>0</v>
      </c>
      <c r="HH23" s="40">
        <f>Buckets_3_24[[#This Row],[Capacity]]</f>
        <v>0</v>
      </c>
      <c r="HI23" s="41" t="b">
        <f t="shared" si="40"/>
        <v>0</v>
      </c>
      <c r="HJ23" s="42"/>
      <c r="HK23" s="42"/>
      <c r="HL23" s="42"/>
      <c r="HM23" s="42"/>
      <c r="HN23" s="43"/>
      <c r="HO23" s="40">
        <f t="shared" si="41"/>
        <v>0</v>
      </c>
      <c r="HP23" s="40">
        <f t="shared" si="42"/>
        <v>0</v>
      </c>
      <c r="HQ23" s="41" t="b">
        <f t="shared" si="7"/>
        <v>0</v>
      </c>
      <c r="HS23" s="29">
        <f t="shared" si="43"/>
        <v>0</v>
      </c>
      <c r="HT23" s="29">
        <f>GetTransactionTotal(AggregateTable2024[], AggregateTable2024[Start], HS$1, AggregateTable2024[#Headers], $D23)</f>
        <v>0</v>
      </c>
      <c r="HU23" s="29">
        <f>Buckets_4_24[[#This Row],[Start]]+Buckets_4_24[[#This Row],[Transactions]]</f>
        <v>0</v>
      </c>
      <c r="HV23" s="29">
        <f t="shared" si="44"/>
        <v>0</v>
      </c>
      <c r="HW23" s="29">
        <f>Buckets_4_24[[#This Row],[Capacity]]-Buckets_4_24[[#This Row],[After T]]</f>
        <v>0</v>
      </c>
      <c r="HX23" s="29">
        <f>MAX(-Buckets_4_24[[#This Row],[Cap Diff]], 0)</f>
        <v>0</v>
      </c>
      <c r="HY23" s="29">
        <f>Buckets_4_24[[#This Row],[After T]]-Buckets_4_24[[#This Row],[Slush]]</f>
        <v>0</v>
      </c>
      <c r="HZ23" s="29">
        <f>Buckets_4_24[[#This Row],[Capacity]]-Buckets_4_24[[#This Row],[Before Fill]]</f>
        <v>0</v>
      </c>
      <c r="IA23" t="b">
        <f>OR(HQ23, Buckets_4_24[[#This Row],[After T]]&lt;0)</f>
        <v>0</v>
      </c>
      <c r="IB23" s="29">
        <f>IF(Buckets_4_24[[#This Row],[Is Crit]], Buckets_4_24[[#This Row],[S Cap Diff]], 0)</f>
        <v>0</v>
      </c>
      <c r="IC23" s="29">
        <f>Buckets_4_24[[#This Row],[Before Fill]]+Buckets_4_24[[#This Row],[Crit To Fill]]</f>
        <v>0</v>
      </c>
      <c r="ID23" s="29">
        <f>IF(NOT(Buckets_4_24[[#This Row],[Is Crit]]), Buckets_4_24[[#This Row],[S Cap Diff]], 0)</f>
        <v>0</v>
      </c>
      <c r="IE23" s="29">
        <f>ROUND(IC$41/Buckets_4_24[[#Totals],[NC To Fill]]*Buckets_4_24[[#This Row],[NC To Fill]], 2)</f>
        <v>0</v>
      </c>
      <c r="IF23" s="31">
        <f>Buckets_4_24[[#This Row],[Pre Scale]] + IF($D23="Unexpected Fund", IC39-Buckets_4_24[[#Totals],[Pre Scale]], 0)</f>
        <v>0</v>
      </c>
      <c r="IG23" s="31">
        <f>Buckets_4_24[[#This Row],[Crit Filled]]+Buckets_4_24[[#This Row],[Scaled]]</f>
        <v>0</v>
      </c>
      <c r="IH23" s="31">
        <f>Buckets_4_24[[#This Row],[NC Filled]]</f>
        <v>0</v>
      </c>
      <c r="II23" s="31">
        <f>Buckets_4_24[[#This Row],[Capacity]]-Buckets_4_24[[#This Row],[Final]]</f>
        <v>0</v>
      </c>
      <c r="IJ23" s="33">
        <f>IF(Buckets_4_24[[#This Row],[Capacity]]=0, 1, Buckets_4_24[[#This Row],[Final]]/Buckets_4_24[[#This Row],[Capacity]])</f>
        <v>1</v>
      </c>
      <c r="IL23" s="40">
        <f>Buckets_4_24[[#This Row],[Final]]</f>
        <v>0</v>
      </c>
      <c r="IM23" s="40">
        <f>Buckets_4_24[[#This Row],[Capacity]]</f>
        <v>0</v>
      </c>
      <c r="IN23" s="41" t="b">
        <f t="shared" si="45"/>
        <v>0</v>
      </c>
      <c r="IO23" s="42"/>
      <c r="IP23" s="42"/>
      <c r="IQ23" s="42"/>
      <c r="IR23" s="42"/>
      <c r="IS23" s="43"/>
      <c r="IT23" s="40">
        <f t="shared" si="46"/>
        <v>0</v>
      </c>
      <c r="IU23" s="40">
        <f t="shared" si="47"/>
        <v>0</v>
      </c>
      <c r="IV23" s="41" t="b">
        <f t="shared" si="8"/>
        <v>0</v>
      </c>
    </row>
    <row r="24" spans="1:256" x14ac:dyDescent="0.25">
      <c r="A24" s="49"/>
      <c r="B24" t="s">
        <v>325</v>
      </c>
      <c r="C24" t="s">
        <v>299</v>
      </c>
      <c r="D24" t="s">
        <v>299</v>
      </c>
      <c r="F24" s="30">
        <v>0</v>
      </c>
      <c r="G24" s="38">
        <v>0</v>
      </c>
      <c r="H24" t="b">
        <v>0</v>
      </c>
      <c r="J24" s="50">
        <f t="shared" si="9"/>
        <v>0</v>
      </c>
      <c r="K24" s="50">
        <f>GetTransactionTotal(AggregateTable2023[], AggregateTable2023[Start], J$1, AggregateTable2023[#Headers], $D24)</f>
        <v>0</v>
      </c>
      <c r="L24" s="50">
        <f>Buckets_9_23[[#This Row],[Start]]+Buckets_9_23[[#This Row],[Transactions]]</f>
        <v>0</v>
      </c>
      <c r="M24" s="50">
        <f t="shared" si="10"/>
        <v>0</v>
      </c>
      <c r="N24" s="50">
        <f>Buckets_9_23[[#This Row],[Capacity]]-Buckets_9_23[[#This Row],[After T]]</f>
        <v>0</v>
      </c>
      <c r="O24" s="50">
        <f>IF(Buckets_9_23[[#This Row],[After T]]&lt;0, Buckets_9_23[[#This Row],[After T]], IF(Buckets_9_23[[#This Row],[Cap Diff]]&lt;0, -Buckets_9_23[[#This Row],[Cap Diff]], 0))</f>
        <v>0</v>
      </c>
      <c r="P24" s="50">
        <f>Buckets_9_23[[#This Row],[After T]]-Buckets_9_23[[#This Row],[Slush]]</f>
        <v>0</v>
      </c>
      <c r="Q24" s="50">
        <f>Buckets_9_23[[#This Row],[Capacity]]-Buckets_9_23[[#This Row],[Before Fill]]</f>
        <v>0</v>
      </c>
      <c r="R24" s="31" t="b">
        <f t="shared" si="0"/>
        <v>0</v>
      </c>
      <c r="S24" s="50">
        <f>IF(Buckets_9_23[[#This Row],[Is Crit]], Buckets_9_23[[#This Row],[S Cap Diff]], 0)</f>
        <v>0</v>
      </c>
      <c r="T24" s="50">
        <f>Buckets_9_23[[#This Row],[Before Fill]]+Buckets_9_23[[#This Row],[Crit To Fill]]</f>
        <v>0</v>
      </c>
      <c r="U24" s="50">
        <f>IF(NOT(Buckets_9_23[[#This Row],[Is Crit]]), Buckets_9_23[[#This Row],[S Cap Diff]], 0)</f>
        <v>0</v>
      </c>
      <c r="V24" s="50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A24" s="51">
        <f>IF(Buckets_9_23[[#This Row],[Capacity]]=0, 1, Buckets_9_23[[#This Row],[Final]]/Buckets_9_23[[#This Row],[Capacity]])</f>
        <v>1</v>
      </c>
      <c r="AC24" s="31">
        <f>Buckets_9_23[[#This Row],[Final]]</f>
        <v>0</v>
      </c>
      <c r="AD24" s="31">
        <f>Buckets_9_23[[#This Row],[Capacity]]</f>
        <v>0</v>
      </c>
      <c r="AE24" t="b">
        <f>H24</f>
        <v>0</v>
      </c>
      <c r="AF24" s="43"/>
      <c r="AG24" s="42"/>
      <c r="AH24" s="43"/>
      <c r="AI24" s="42"/>
      <c r="AJ24" s="43"/>
      <c r="AK24" s="40">
        <f t="shared" si="11"/>
        <v>0</v>
      </c>
      <c r="AL24" s="40">
        <f t="shared" si="12"/>
        <v>0</v>
      </c>
      <c r="AM24" s="41" t="b">
        <f t="shared" si="1"/>
        <v>0</v>
      </c>
      <c r="AO24" s="29">
        <f t="shared" si="13"/>
        <v>0</v>
      </c>
      <c r="AP24" s="29">
        <f>GetTransactionTotal(AggregateTable2023[], AggregateTable2023[Start], AO$1, AggregateTable2023[#Headers], $D24)</f>
        <v>0</v>
      </c>
      <c r="AQ24" s="29">
        <f>Buckets_10_23[[#This Row],[Start]]+Buckets_10_23[[#This Row],[Transactions]]</f>
        <v>0</v>
      </c>
      <c r="AR24" s="29">
        <f t="shared" si="14"/>
        <v>0</v>
      </c>
      <c r="AS24" s="29">
        <f>Buckets_10_23[[#This Row],[Capacity]]-Buckets_10_23[[#This Row],[After T]]</f>
        <v>0</v>
      </c>
      <c r="AT24" s="29">
        <f>MAX(-Buckets_10_23[[#This Row],[Cap Diff]], 0)</f>
        <v>0</v>
      </c>
      <c r="AU24" s="29">
        <f>Buckets_10_23[[#This Row],[After T]]-Buckets_10_23[[#This Row],[Slush]]</f>
        <v>0</v>
      </c>
      <c r="AV24" s="29">
        <f>Buckets_10_23[[#This Row],[Capacity]]-Buckets_10_23[[#This Row],[Before Fill]]</f>
        <v>0</v>
      </c>
      <c r="AW24" t="b">
        <f>OR(AM24, Buckets_10_23[[#This Row],[After T]]&lt;0)</f>
        <v>0</v>
      </c>
      <c r="AX24" s="29">
        <f>IF(Buckets_10_23[[#This Row],[Is Crit]], Buckets_10_23[[#This Row],[S Cap Diff]], 0)</f>
        <v>0</v>
      </c>
      <c r="AY24" s="29">
        <f>Buckets_10_23[[#This Row],[Before Fill]]+Buckets_10_23[[#This Row],[Crit To Fill]]</f>
        <v>0</v>
      </c>
      <c r="AZ24" s="29">
        <f>IF(NOT(Buckets_10_23[[#This Row],[Is Crit]]), Buckets_10_23[[#This Row],[S Cap Diff]], 0)</f>
        <v>0</v>
      </c>
      <c r="BA24" s="29">
        <f>ROUND(AY$41/Buckets_10_23[[#Totals],[NC To Fill]]*Buckets_10_23[[#This Row],[NC To Fill]], 2)</f>
        <v>0</v>
      </c>
      <c r="BB24" s="31">
        <f>Buckets_10_23[[#This Row],[Pre Scale]] + IF($D24="Unexpected Fund", AY40-Buckets_10_23[[#Totals],[Pre Scale]], 0)</f>
        <v>0</v>
      </c>
      <c r="BC24" s="31">
        <f>Buckets_10_23[[#This Row],[Crit Filled]]+Buckets_10_23[[#This Row],[Scaled]]</f>
        <v>0</v>
      </c>
      <c r="BD24" s="31">
        <f>Buckets_10_23[[#This Row],[NC Filled]]</f>
        <v>0</v>
      </c>
      <c r="BE24" s="31">
        <f>Buckets_10_23[[#This Row],[Capacity]]-Buckets_10_23[[#This Row],[Final]]</f>
        <v>0</v>
      </c>
      <c r="BF24" s="33">
        <f>IF(Buckets_10_23[[#This Row],[Capacity]]=0, 1, Buckets_10_23[[#This Row],[Final]]/Buckets_10_23[[#This Row],[Capacity]])</f>
        <v>1</v>
      </c>
      <c r="BH24" s="31">
        <f>Buckets_10_23[[#This Row],[Final]]</f>
        <v>0</v>
      </c>
      <c r="BI24" s="31">
        <f>Buckets_10_23[[#This Row],[Capacity]]</f>
        <v>0</v>
      </c>
      <c r="BJ24" t="b">
        <f t="shared" si="15"/>
        <v>0</v>
      </c>
      <c r="BK24" s="43"/>
      <c r="BL24" s="42"/>
      <c r="BM24" s="43"/>
      <c r="BN24" s="42"/>
      <c r="BO24" s="43"/>
      <c r="BP24" s="40">
        <f t="shared" si="16"/>
        <v>0</v>
      </c>
      <c r="BQ24" s="40">
        <f t="shared" si="17"/>
        <v>0</v>
      </c>
      <c r="BR24" s="41" t="b">
        <f t="shared" si="2"/>
        <v>0</v>
      </c>
      <c r="BT24" s="29">
        <f t="shared" si="18"/>
        <v>0</v>
      </c>
      <c r="BU24" s="29">
        <f>GetTransactionTotal(AggregateTable2023[], AggregateTable2023[Start], BT$1, AggregateTable2023[#Headers], $D24)</f>
        <v>0</v>
      </c>
      <c r="BV24" s="29">
        <f>Buckets_11_23[[#This Row],[Start]]+Buckets_11_23[[#This Row],[Transactions]]</f>
        <v>0</v>
      </c>
      <c r="BW24" s="29">
        <f t="shared" si="19"/>
        <v>0</v>
      </c>
      <c r="BX24" s="29">
        <f>Buckets_11_23[[#This Row],[Capacity]]-Buckets_11_23[[#This Row],[After T]]</f>
        <v>0</v>
      </c>
      <c r="BY24" s="29">
        <f>MAX(-Buckets_11_23[[#This Row],[Cap Diff]], 0)</f>
        <v>0</v>
      </c>
      <c r="BZ24" s="29">
        <f>Buckets_11_23[[#This Row],[After T]]-Buckets_11_23[[#This Row],[Slush]]</f>
        <v>0</v>
      </c>
      <c r="CA24" s="29">
        <f>Buckets_11_23[[#This Row],[Capacity]]-Buckets_11_23[[#This Row],[Before Fill]]</f>
        <v>0</v>
      </c>
      <c r="CB24" t="b">
        <f>OR(BR24, Buckets_11_23[[#This Row],[After T]]&lt;0)</f>
        <v>0</v>
      </c>
      <c r="CC24" s="29">
        <f>IF(Buckets_11_23[[#This Row],[Is Crit]], Buckets_11_23[[#This Row],[S Cap Diff]], 0)</f>
        <v>0</v>
      </c>
      <c r="CD24" s="29">
        <f>Buckets_11_23[[#This Row],[Before Fill]]+Buckets_11_23[[#This Row],[Crit To Fill]]</f>
        <v>0</v>
      </c>
      <c r="CE24" s="29">
        <f>IF(NOT(Buckets_11_23[[#This Row],[Is Crit]]), Buckets_11_23[[#This Row],[S Cap Diff]], 0)</f>
        <v>0</v>
      </c>
      <c r="CF24" s="29">
        <f>ROUND(CD$41/Buckets_11_23[[#Totals],[NC To Fill]]*Buckets_11_23[[#This Row],[NC To Fill]], 2)</f>
        <v>0</v>
      </c>
      <c r="CG24" s="31">
        <f>Buckets_11_23[[#This Row],[Pre Scale]] + IF($D24="Unexpected Fund", CD40-Buckets_11_23[[#Totals],[Pre Scale]], 0)</f>
        <v>0</v>
      </c>
      <c r="CH24" s="31">
        <f>Buckets_11_23[[#This Row],[Crit Filled]]+Buckets_11_23[[#This Row],[Scaled]]</f>
        <v>0</v>
      </c>
      <c r="CI24" s="31">
        <f>Buckets_11_23[[#This Row],[NC Filled]]</f>
        <v>0</v>
      </c>
      <c r="CJ24" s="31">
        <f>Buckets_11_23[[#This Row],[Capacity]]-Buckets_11_23[[#This Row],[Final]]</f>
        <v>0</v>
      </c>
      <c r="CK24" s="33">
        <f>IF(Buckets_11_23[[#This Row],[Capacity]]=0, 1, Buckets_11_23[[#This Row],[Final]]/Buckets_11_23[[#This Row],[Capacity]])</f>
        <v>1</v>
      </c>
      <c r="CM24" s="40">
        <f>Buckets_11_23[[#This Row],[Final]]</f>
        <v>0</v>
      </c>
      <c r="CN24" s="40">
        <f>Buckets_11_23[[#This Row],[Capacity]]</f>
        <v>0</v>
      </c>
      <c r="CO24" s="41" t="b">
        <f t="shared" si="20"/>
        <v>0</v>
      </c>
      <c r="CP24" s="42"/>
      <c r="CQ24" s="42"/>
      <c r="CR24" s="42"/>
      <c r="CS24" s="42"/>
      <c r="CT24" s="43"/>
      <c r="CU24" s="40">
        <f t="shared" si="21"/>
        <v>0</v>
      </c>
      <c r="CV24" s="40">
        <f t="shared" si="22"/>
        <v>0</v>
      </c>
      <c r="CW24" s="41" t="b">
        <f t="shared" si="3"/>
        <v>0</v>
      </c>
      <c r="CY24" s="29">
        <f t="shared" si="23"/>
        <v>0</v>
      </c>
      <c r="CZ24" s="29">
        <f>GetTransactionTotal(AggregateTable2023[], AggregateTable2023[Start], CY$1, AggregateTable2023[#Headers], $D24)</f>
        <v>0</v>
      </c>
      <c r="DA24" s="29">
        <f>Buckets_12_23[[#This Row],[Start]]+Buckets_12_23[[#This Row],[Transactions]]</f>
        <v>0</v>
      </c>
      <c r="DB24" s="29">
        <f t="shared" si="24"/>
        <v>0</v>
      </c>
      <c r="DC24" s="29">
        <f>Buckets_12_23[[#This Row],[Capacity]]-Buckets_12_23[[#This Row],[After T]]</f>
        <v>0</v>
      </c>
      <c r="DD24" s="29">
        <f>MAX(-Buckets_12_23[[#This Row],[Cap Diff]], 0)</f>
        <v>0</v>
      </c>
      <c r="DE24" s="29">
        <f>Buckets_12_23[[#This Row],[After T]]-Buckets_12_23[[#This Row],[Slush]]</f>
        <v>0</v>
      </c>
      <c r="DF24" s="29">
        <f>Buckets_12_23[[#This Row],[Capacity]]-Buckets_12_23[[#This Row],[Before Fill]]</f>
        <v>0</v>
      </c>
      <c r="DG24" t="b">
        <f>OR(CW24, Buckets_12_23[[#This Row],[After T]]&lt;0)</f>
        <v>0</v>
      </c>
      <c r="DH24" s="29">
        <f>IF(Buckets_12_23[[#This Row],[Is Crit]], Buckets_12_23[[#This Row],[S Cap Diff]], 0)</f>
        <v>0</v>
      </c>
      <c r="DI24" s="29">
        <f>Buckets_12_23[[#This Row],[Before Fill]]+Buckets_12_23[[#This Row],[Crit To Fill]]</f>
        <v>0</v>
      </c>
      <c r="DJ24" s="29">
        <f>IF(NOT(Buckets_12_23[[#This Row],[Is Crit]]), Buckets_12_23[[#This Row],[S Cap Diff]], 0)</f>
        <v>0</v>
      </c>
      <c r="DK24" s="29">
        <f>ROUND(DI$41/Buckets_12_23[[#Totals],[NC To Fill]]*Buckets_12_23[[#This Row],[NC To Fill]], 2)</f>
        <v>0</v>
      </c>
      <c r="DL24" s="31">
        <f>Buckets_12_23[[#This Row],[Pre Scale]] + IF($D24="Unexpected Fund", DI40-Buckets_12_23[[#Totals],[Pre Scale]], 0)</f>
        <v>0</v>
      </c>
      <c r="DM24" s="31">
        <f>Buckets_12_23[[#This Row],[Crit Filled]]+Buckets_12_23[[#This Row],[Scaled]]</f>
        <v>0</v>
      </c>
      <c r="DN24" s="31">
        <f>Buckets_12_23[[#This Row],[NC Filled]]</f>
        <v>0</v>
      </c>
      <c r="DO24" s="31">
        <f>Buckets_12_23[[#This Row],[Capacity]]-Buckets_12_23[[#This Row],[Final]]</f>
        <v>0</v>
      </c>
      <c r="DP24" s="33">
        <f>IF(Buckets_12_23[[#This Row],[Capacity]]=0, 1, Buckets_12_23[[#This Row],[Final]]/Buckets_12_23[[#This Row],[Capacity]])</f>
        <v>1</v>
      </c>
      <c r="DR24" s="40">
        <f>Buckets_12_23[[#This Row],[Final]]</f>
        <v>0</v>
      </c>
      <c r="DS24" s="40">
        <f>Buckets_12_23[[#This Row],[Capacity]]</f>
        <v>0</v>
      </c>
      <c r="DT24" s="41" t="b">
        <f t="shared" si="25"/>
        <v>0</v>
      </c>
      <c r="DU24" s="42"/>
      <c r="DV24" s="42"/>
      <c r="DW24" s="42"/>
      <c r="DX24" s="42"/>
      <c r="DY24" s="43"/>
      <c r="DZ24" s="40">
        <f t="shared" si="26"/>
        <v>0</v>
      </c>
      <c r="EA24" s="40">
        <f t="shared" si="27"/>
        <v>0</v>
      </c>
      <c r="EB24" s="41" t="b">
        <f t="shared" si="4"/>
        <v>0</v>
      </c>
      <c r="ED24" s="29">
        <f t="shared" si="28"/>
        <v>0</v>
      </c>
      <c r="EE24" s="29">
        <f>GetTransactionTotal(AggregateTable2024[], AggregateTable2024[Start], ED$1, AggregateTable2024[#Headers], $D24)</f>
        <v>0</v>
      </c>
      <c r="EF24" s="29">
        <f>Buckets_1_24[[#This Row],[Start]]+Buckets_1_24[[#This Row],[Transactions]]</f>
        <v>0</v>
      </c>
      <c r="EG24" s="29">
        <f t="shared" si="29"/>
        <v>0</v>
      </c>
      <c r="EH24" s="29">
        <f>Buckets_1_24[[#This Row],[Capacity]]-Buckets_1_24[[#This Row],[After T]]</f>
        <v>0</v>
      </c>
      <c r="EI24" s="29">
        <f>MAX(-Buckets_1_24[[#This Row],[Cap Diff]], 0)</f>
        <v>0</v>
      </c>
      <c r="EJ24" s="29">
        <f>Buckets_1_24[[#This Row],[After T]]-Buckets_1_24[[#This Row],[Slush]]</f>
        <v>0</v>
      </c>
      <c r="EK24" s="29">
        <f>Buckets_1_24[[#This Row],[Capacity]]-Buckets_1_24[[#This Row],[Before Fill]]</f>
        <v>0</v>
      </c>
      <c r="EL24" t="b">
        <f>OR(EB24, Buckets_1_24[[#This Row],[After T]]&lt;0)</f>
        <v>0</v>
      </c>
      <c r="EM24" s="29">
        <f>IF(Buckets_1_24[[#This Row],[Is Crit]], Buckets_1_24[[#This Row],[S Cap Diff]], 0)</f>
        <v>0</v>
      </c>
      <c r="EN24" s="29">
        <f>Buckets_1_24[[#This Row],[Before Fill]]+Buckets_1_24[[#This Row],[Crit To Fill]]</f>
        <v>0</v>
      </c>
      <c r="EO24" s="29">
        <f>IF(NOT(Buckets_1_24[[#This Row],[Is Crit]]), Buckets_1_24[[#This Row],[S Cap Diff]], 0)</f>
        <v>0</v>
      </c>
      <c r="EP24" s="29">
        <f>ROUND(EN$41/Buckets_1_24[[#Totals],[NC To Fill]]*Buckets_1_24[[#This Row],[NC To Fill]], 2)</f>
        <v>0</v>
      </c>
      <c r="EQ24" s="31">
        <f>Buckets_1_24[[#This Row],[Pre Scale]] + IF($D24="Unexpected Fund", EN40-Buckets_1_24[[#Totals],[Pre Scale]], 0)</f>
        <v>0</v>
      </c>
      <c r="ER24" s="31">
        <f>Buckets_1_24[[#This Row],[Crit Filled]]+Buckets_1_24[[#This Row],[Scaled]]</f>
        <v>0</v>
      </c>
      <c r="ES24" s="31">
        <f>Buckets_1_24[[#This Row],[NC Filled]]</f>
        <v>0</v>
      </c>
      <c r="ET24" s="31">
        <f>Buckets_1_24[[#This Row],[Capacity]]-Buckets_1_24[[#This Row],[Final]]</f>
        <v>0</v>
      </c>
      <c r="EU24" s="33">
        <f>IF(Buckets_1_24[[#This Row],[Capacity]]=0, 1, Buckets_1_24[[#This Row],[Final]]/Buckets_1_24[[#This Row],[Capacity]])</f>
        <v>1</v>
      </c>
      <c r="EW24" s="40">
        <f>Buckets_1_24[[#This Row],[Final]]</f>
        <v>0</v>
      </c>
      <c r="EX24" s="40">
        <f>Buckets_1_24[[#This Row],[Capacity]]</f>
        <v>0</v>
      </c>
      <c r="EY24" s="41" t="b">
        <f t="shared" si="30"/>
        <v>0</v>
      </c>
      <c r="EZ24" s="42"/>
      <c r="FA24" s="42"/>
      <c r="FB24" s="42"/>
      <c r="FC24" s="42"/>
      <c r="FD24" s="43"/>
      <c r="FE24" s="40">
        <f t="shared" si="31"/>
        <v>0</v>
      </c>
      <c r="FF24" s="40">
        <f t="shared" si="32"/>
        <v>0</v>
      </c>
      <c r="FG24" s="41" t="b">
        <f t="shared" si="5"/>
        <v>0</v>
      </c>
      <c r="FI24" s="29">
        <f t="shared" si="33"/>
        <v>0</v>
      </c>
      <c r="FJ24" s="29">
        <f>GetTransactionTotal(AggregateTable2024[], AggregateTable2024[Start], FI$1, AggregateTable2024[#Headers], $D24)</f>
        <v>0</v>
      </c>
      <c r="FK24" s="29">
        <f>Buckets_2_24[[#This Row],[Start]]+Buckets_2_24[[#This Row],[Transactions]]</f>
        <v>0</v>
      </c>
      <c r="FL24" s="29">
        <f t="shared" si="34"/>
        <v>0</v>
      </c>
      <c r="FM24" s="29">
        <f>Buckets_2_24[[#This Row],[Capacity]]-Buckets_2_24[[#This Row],[After T]]</f>
        <v>0</v>
      </c>
      <c r="FN24" s="29">
        <f>MAX(-Buckets_2_24[[#This Row],[Cap Diff]], 0)</f>
        <v>0</v>
      </c>
      <c r="FO24" s="29">
        <f>Buckets_2_24[[#This Row],[After T]]-Buckets_2_24[[#This Row],[Slush]]</f>
        <v>0</v>
      </c>
      <c r="FP24" s="29">
        <f>Buckets_2_24[[#This Row],[Capacity]]-Buckets_2_24[[#This Row],[Before Fill]]</f>
        <v>0</v>
      </c>
      <c r="FQ24" t="b">
        <f>OR(FG24, Buckets_2_24[[#This Row],[After T]]&lt;0)</f>
        <v>0</v>
      </c>
      <c r="FR24" s="29">
        <f>IF(Buckets_2_24[[#This Row],[Is Crit]], Buckets_2_24[[#This Row],[S Cap Diff]], 0)</f>
        <v>0</v>
      </c>
      <c r="FS24" s="29">
        <f>Buckets_2_24[[#This Row],[Before Fill]]+Buckets_2_24[[#This Row],[Crit To Fill]]</f>
        <v>0</v>
      </c>
      <c r="FT24" s="29">
        <f>IF(NOT(Buckets_2_24[[#This Row],[Is Crit]]), Buckets_2_24[[#This Row],[S Cap Diff]], 0)</f>
        <v>0</v>
      </c>
      <c r="FU24" s="29">
        <f>ROUND(FS$41/Buckets_2_24[[#Totals],[NC To Fill]]*Buckets_2_24[[#This Row],[NC To Fill]], 2)</f>
        <v>0</v>
      </c>
      <c r="FV24" s="31">
        <f>Buckets_2_24[[#This Row],[Pre Scale]] + IF($D24="Unexpected Fund", FS40-Buckets_2_24[[#Totals],[Pre Scale]], 0)</f>
        <v>0</v>
      </c>
      <c r="FW24" s="31">
        <f>Buckets_2_24[[#This Row],[Crit Filled]]+Buckets_2_24[[#This Row],[Scaled]]</f>
        <v>0</v>
      </c>
      <c r="FX24" s="31">
        <f>Buckets_2_24[[#This Row],[NC Filled]]</f>
        <v>0</v>
      </c>
      <c r="FY24" s="31">
        <f>Buckets_2_24[[#This Row],[Capacity]]-Buckets_2_24[[#This Row],[Final]]</f>
        <v>0</v>
      </c>
      <c r="FZ24" s="33">
        <f>IF(Buckets_2_24[[#This Row],[Capacity]]=0, 1, Buckets_2_24[[#This Row],[Final]]/Buckets_2_24[[#This Row],[Capacity]])</f>
        <v>1</v>
      </c>
      <c r="GB24" s="40">
        <f>Buckets_2_24[[#This Row],[Final]]</f>
        <v>0</v>
      </c>
      <c r="GC24" s="40">
        <f>Buckets_2_24[[#This Row],[Capacity]]</f>
        <v>0</v>
      </c>
      <c r="GD24" s="41" t="b">
        <f t="shared" si="35"/>
        <v>0</v>
      </c>
      <c r="GE24" s="42"/>
      <c r="GF24" s="42"/>
      <c r="GG24" s="42"/>
      <c r="GH24" s="42"/>
      <c r="GI24" s="43"/>
      <c r="GJ24" s="40">
        <f t="shared" si="36"/>
        <v>0</v>
      </c>
      <c r="GK24" s="40">
        <f t="shared" si="37"/>
        <v>0</v>
      </c>
      <c r="GL24" s="41" t="b">
        <f t="shared" si="6"/>
        <v>0</v>
      </c>
      <c r="GN24" s="29">
        <f t="shared" si="38"/>
        <v>0</v>
      </c>
      <c r="GO24" s="29">
        <f>GetTransactionTotal(AggregateTable2024[], AggregateTable2024[Start], GN$1, AggregateTable2024[#Headers], $D24)</f>
        <v>0</v>
      </c>
      <c r="GP24" s="29">
        <f>Buckets_3_24[[#This Row],[Start]]+Buckets_3_24[[#This Row],[Transactions]]</f>
        <v>0</v>
      </c>
      <c r="GQ24" s="29">
        <f t="shared" si="39"/>
        <v>0</v>
      </c>
      <c r="GR24" s="29">
        <f>Buckets_3_24[[#This Row],[Capacity]]-Buckets_3_24[[#This Row],[After T]]</f>
        <v>0</v>
      </c>
      <c r="GS24" s="29">
        <f>MAX(-Buckets_3_24[[#This Row],[Cap Diff]], 0)</f>
        <v>0</v>
      </c>
      <c r="GT24" s="29">
        <f>Buckets_3_24[[#This Row],[After T]]-Buckets_3_24[[#This Row],[Slush]]</f>
        <v>0</v>
      </c>
      <c r="GU24" s="29">
        <f>Buckets_3_24[[#This Row],[Capacity]]-Buckets_3_24[[#This Row],[Before Fill]]</f>
        <v>0</v>
      </c>
      <c r="GV24" t="b">
        <f>OR(GL24, Buckets_3_24[[#This Row],[After T]]&lt;0)</f>
        <v>0</v>
      </c>
      <c r="GW24" s="29">
        <f>IF(Buckets_3_24[[#This Row],[Is Crit]], Buckets_3_24[[#This Row],[S Cap Diff]], 0)</f>
        <v>0</v>
      </c>
      <c r="GX24" s="29">
        <f>Buckets_3_24[[#This Row],[Before Fill]]+Buckets_3_24[[#This Row],[Crit To Fill]]</f>
        <v>0</v>
      </c>
      <c r="GY24" s="29">
        <f>IF(NOT(Buckets_3_24[[#This Row],[Is Crit]]), Buckets_3_24[[#This Row],[S Cap Diff]], 0)</f>
        <v>0</v>
      </c>
      <c r="GZ24" s="29">
        <f>ROUND(GX$41/Buckets_3_24[[#Totals],[NC To Fill]]*Buckets_3_24[[#This Row],[NC To Fill]], 2)</f>
        <v>0</v>
      </c>
      <c r="HA24" s="31">
        <f>Buckets_3_24[[#This Row],[Pre Scale]] + IF($D24="Unexpected Fund", GX40-Buckets_3_24[[#Totals],[Pre Scale]], 0)</f>
        <v>0</v>
      </c>
      <c r="HB24" s="31">
        <f>Buckets_3_24[[#This Row],[Crit Filled]]+Buckets_3_24[[#This Row],[Scaled]]</f>
        <v>0</v>
      </c>
      <c r="HC24" s="31">
        <f>Buckets_3_24[[#This Row],[NC Filled]]</f>
        <v>0</v>
      </c>
      <c r="HD24" s="31">
        <f>Buckets_3_24[[#This Row],[Capacity]]-Buckets_3_24[[#This Row],[Final]]</f>
        <v>0</v>
      </c>
      <c r="HE24" s="33">
        <f>IF(Buckets_3_24[[#This Row],[Capacity]]=0, 1, Buckets_3_24[[#This Row],[Final]]/Buckets_3_24[[#This Row],[Capacity]])</f>
        <v>1</v>
      </c>
      <c r="HG24" s="40">
        <f>Buckets_3_24[[#This Row],[Final]]</f>
        <v>0</v>
      </c>
      <c r="HH24" s="40">
        <f>Buckets_3_24[[#This Row],[Capacity]]</f>
        <v>0</v>
      </c>
      <c r="HI24" s="41" t="b">
        <f t="shared" si="40"/>
        <v>0</v>
      </c>
      <c r="HJ24" s="42"/>
      <c r="HK24" s="42"/>
      <c r="HL24" s="42"/>
      <c r="HM24" s="42"/>
      <c r="HN24" s="43"/>
      <c r="HO24" s="40">
        <f t="shared" si="41"/>
        <v>0</v>
      </c>
      <c r="HP24" s="40">
        <f t="shared" si="42"/>
        <v>0</v>
      </c>
      <c r="HQ24" s="41" t="b">
        <f t="shared" si="7"/>
        <v>0</v>
      </c>
      <c r="HS24" s="29">
        <f t="shared" si="43"/>
        <v>0</v>
      </c>
      <c r="HT24" s="29">
        <f>GetTransactionTotal(AggregateTable2024[], AggregateTable2024[Start], HS$1, AggregateTable2024[#Headers], $D24)</f>
        <v>0</v>
      </c>
      <c r="HU24" s="29">
        <f>Buckets_4_24[[#This Row],[Start]]+Buckets_4_24[[#This Row],[Transactions]]</f>
        <v>0</v>
      </c>
      <c r="HV24" s="29">
        <f t="shared" si="44"/>
        <v>0</v>
      </c>
      <c r="HW24" s="29">
        <f>Buckets_4_24[[#This Row],[Capacity]]-Buckets_4_24[[#This Row],[After T]]</f>
        <v>0</v>
      </c>
      <c r="HX24" s="29">
        <f>MAX(-Buckets_4_24[[#This Row],[Cap Diff]], 0)</f>
        <v>0</v>
      </c>
      <c r="HY24" s="29">
        <f>Buckets_4_24[[#This Row],[After T]]-Buckets_4_24[[#This Row],[Slush]]</f>
        <v>0</v>
      </c>
      <c r="HZ24" s="29">
        <f>Buckets_4_24[[#This Row],[Capacity]]-Buckets_4_24[[#This Row],[Before Fill]]</f>
        <v>0</v>
      </c>
      <c r="IA24" t="b">
        <f>OR(HQ24, Buckets_4_24[[#This Row],[After T]]&lt;0)</f>
        <v>0</v>
      </c>
      <c r="IB24" s="29">
        <f>IF(Buckets_4_24[[#This Row],[Is Crit]], Buckets_4_24[[#This Row],[S Cap Diff]], 0)</f>
        <v>0</v>
      </c>
      <c r="IC24" s="29">
        <f>Buckets_4_24[[#This Row],[Before Fill]]+Buckets_4_24[[#This Row],[Crit To Fill]]</f>
        <v>0</v>
      </c>
      <c r="ID24" s="29">
        <f>IF(NOT(Buckets_4_24[[#This Row],[Is Crit]]), Buckets_4_24[[#This Row],[S Cap Diff]], 0)</f>
        <v>0</v>
      </c>
      <c r="IE24" s="29">
        <f>ROUND(IC$41/Buckets_4_24[[#Totals],[NC To Fill]]*Buckets_4_24[[#This Row],[NC To Fill]], 2)</f>
        <v>0</v>
      </c>
      <c r="IF24" s="31">
        <f>Buckets_4_24[[#This Row],[Pre Scale]] + IF($D24="Unexpected Fund", IC40-Buckets_4_24[[#Totals],[Pre Scale]], 0)</f>
        <v>0</v>
      </c>
      <c r="IG24" s="31">
        <f>Buckets_4_24[[#This Row],[Crit Filled]]+Buckets_4_24[[#This Row],[Scaled]]</f>
        <v>0</v>
      </c>
      <c r="IH24" s="31">
        <f>Buckets_4_24[[#This Row],[NC Filled]]</f>
        <v>0</v>
      </c>
      <c r="II24" s="31">
        <f>Buckets_4_24[[#This Row],[Capacity]]-Buckets_4_24[[#This Row],[Final]]</f>
        <v>0</v>
      </c>
      <c r="IJ24" s="33">
        <f>IF(Buckets_4_24[[#This Row],[Capacity]]=0, 1, Buckets_4_24[[#This Row],[Final]]/Buckets_4_24[[#This Row],[Capacity]])</f>
        <v>1</v>
      </c>
      <c r="IL24" s="40">
        <f>Buckets_4_24[[#This Row],[Final]]</f>
        <v>0</v>
      </c>
      <c r="IM24" s="40">
        <f>Buckets_4_24[[#This Row],[Capacity]]</f>
        <v>0</v>
      </c>
      <c r="IN24" s="41" t="b">
        <f t="shared" si="45"/>
        <v>0</v>
      </c>
      <c r="IO24" s="42"/>
      <c r="IP24" s="42"/>
      <c r="IQ24" s="42"/>
      <c r="IR24" s="42"/>
      <c r="IS24" s="43"/>
      <c r="IT24" s="40">
        <f t="shared" si="46"/>
        <v>0</v>
      </c>
      <c r="IU24" s="40">
        <f t="shared" si="47"/>
        <v>0</v>
      </c>
      <c r="IV24" s="41" t="b">
        <f t="shared" si="8"/>
        <v>0</v>
      </c>
    </row>
    <row r="25" spans="1:256" x14ac:dyDescent="0.25">
      <c r="A25" s="49"/>
      <c r="B25" t="s">
        <v>325</v>
      </c>
      <c r="C25" t="s">
        <v>300</v>
      </c>
      <c r="D25" t="s">
        <v>300</v>
      </c>
      <c r="F25" s="30">
        <v>0</v>
      </c>
      <c r="G25" s="38">
        <v>2000</v>
      </c>
      <c r="H25" t="b">
        <v>0</v>
      </c>
      <c r="J25" s="50">
        <f t="shared" si="9"/>
        <v>0</v>
      </c>
      <c r="K25" s="50">
        <f>GetTransactionTotal(AggregateTable2023[], AggregateTable2023[Start], J$1, AggregateTable2023[#Headers], $D25)</f>
        <v>0</v>
      </c>
      <c r="L25" s="50">
        <f>Buckets_9_23[[#This Row],[Start]]+Buckets_9_23[[#This Row],[Transactions]]</f>
        <v>0</v>
      </c>
      <c r="M25" s="50">
        <f t="shared" si="10"/>
        <v>2000</v>
      </c>
      <c r="N25" s="50">
        <f>Buckets_9_23[[#This Row],[Capacity]]-Buckets_9_23[[#This Row],[After T]]</f>
        <v>2000</v>
      </c>
      <c r="O25" s="50">
        <f>IF(Buckets_9_23[[#This Row],[After T]]&lt;0, Buckets_9_23[[#This Row],[After T]], IF(Buckets_9_23[[#This Row],[Cap Diff]]&lt;0, -Buckets_9_23[[#This Row],[Cap Diff]], 0))</f>
        <v>0</v>
      </c>
      <c r="P25" s="50">
        <f>Buckets_9_23[[#This Row],[After T]]-Buckets_9_23[[#This Row],[Slush]]</f>
        <v>0</v>
      </c>
      <c r="Q25" s="50">
        <f>Buckets_9_23[[#This Row],[Capacity]]-Buckets_9_23[[#This Row],[Before Fill]]</f>
        <v>2000</v>
      </c>
      <c r="R25" s="31" t="b">
        <f t="shared" si="0"/>
        <v>0</v>
      </c>
      <c r="S25" s="50">
        <f>IF(Buckets_9_23[[#This Row],[Is Crit]], Buckets_9_23[[#This Row],[S Cap Diff]], 0)</f>
        <v>0</v>
      </c>
      <c r="T25" s="50">
        <f>Buckets_9_23[[#This Row],[Before Fill]]+Buckets_9_23[[#This Row],[Crit To Fill]]</f>
        <v>0</v>
      </c>
      <c r="U25" s="50">
        <f>IF(NOT(Buckets_9_23[[#This Row],[Is Crit]]), Buckets_9_23[[#This Row],[S Cap Diff]], 0)</f>
        <v>2000</v>
      </c>
      <c r="V25" s="50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A25" s="51">
        <f>IF(Buckets_9_23[[#This Row],[Capacity]]=0, 1, Buckets_9_23[[#This Row],[Final]]/Buckets_9_23[[#This Row],[Capacity]])</f>
        <v>0.87281499999999945</v>
      </c>
      <c r="AC25" s="31">
        <f>Buckets_9_23[[#This Row],[Final]]</f>
        <v>1745.629999999999</v>
      </c>
      <c r="AD25" s="31">
        <f>Buckets_9_23[[#This Row],[Capacity]]</f>
        <v>2000</v>
      </c>
      <c r="AE25" t="b">
        <f>H25</f>
        <v>0</v>
      </c>
      <c r="AF25" s="43"/>
      <c r="AG25" s="42"/>
      <c r="AH25" s="43"/>
      <c r="AI25" s="42">
        <f>AD25+500</f>
        <v>2500</v>
      </c>
      <c r="AJ25" s="43"/>
      <c r="AK25" s="40">
        <f t="shared" si="11"/>
        <v>1745.629999999999</v>
      </c>
      <c r="AL25" s="40">
        <f t="shared" si="12"/>
        <v>2500</v>
      </c>
      <c r="AM25" s="41" t="b">
        <f t="shared" si="1"/>
        <v>0</v>
      </c>
      <c r="AO25" s="29">
        <f t="shared" si="13"/>
        <v>1745.629999999999</v>
      </c>
      <c r="AP25" s="29">
        <f>GetTransactionTotal(AggregateTable2023[], AggregateTable2023[Start], AO$1, AggregateTable2023[#Headers], $D25)</f>
        <v>0</v>
      </c>
      <c r="AQ25" s="29">
        <f>Buckets_10_23[[#This Row],[Start]]+Buckets_10_23[[#This Row],[Transactions]]</f>
        <v>1745.629999999999</v>
      </c>
      <c r="AR25" s="29">
        <f t="shared" si="14"/>
        <v>2500</v>
      </c>
      <c r="AS25" s="29">
        <f>Buckets_10_23[[#This Row],[Capacity]]-Buckets_10_23[[#This Row],[After T]]</f>
        <v>754.37000000000103</v>
      </c>
      <c r="AT25" s="29">
        <f>MAX(-Buckets_10_23[[#This Row],[Cap Diff]], 0)</f>
        <v>0</v>
      </c>
      <c r="AU25" s="29">
        <f>Buckets_10_23[[#This Row],[After T]]-Buckets_10_23[[#This Row],[Slush]]</f>
        <v>1745.629999999999</v>
      </c>
      <c r="AV25" s="29">
        <f>Buckets_10_23[[#This Row],[Capacity]]-Buckets_10_23[[#This Row],[Before Fill]]</f>
        <v>754.37000000000103</v>
      </c>
      <c r="AW25" t="b">
        <f>OR(AM25, Buckets_10_23[[#This Row],[After T]]&lt;0)</f>
        <v>0</v>
      </c>
      <c r="AX25" s="29">
        <f>IF(Buckets_10_23[[#This Row],[Is Crit]], Buckets_10_23[[#This Row],[S Cap Diff]], 0)</f>
        <v>0</v>
      </c>
      <c r="AY25" s="29">
        <f>Buckets_10_23[[#This Row],[Before Fill]]+Buckets_10_23[[#This Row],[Crit To Fill]]</f>
        <v>1745.629999999999</v>
      </c>
      <c r="AZ25" s="29">
        <f>IF(NOT(Buckets_10_23[[#This Row],[Is Crit]]), Buckets_10_23[[#This Row],[S Cap Diff]], 0)</f>
        <v>754.37000000000103</v>
      </c>
      <c r="BA25" s="29">
        <f>ROUND(AY$41/Buckets_10_23[[#Totals],[NC To Fill]]*Buckets_10_23[[#This Row],[NC To Fill]], 2)</f>
        <v>448.07</v>
      </c>
      <c r="BB25" s="31">
        <f>Buckets_10_23[[#This Row],[Pre Scale]] + IF($D25="Unexpected Fund", AY41-Buckets_10_23[[#Totals],[Pre Scale]], 0)</f>
        <v>448.07999999999953</v>
      </c>
      <c r="BC25" s="31">
        <f>Buckets_10_23[[#This Row],[Crit Filled]]+Buckets_10_23[[#This Row],[Scaled]]</f>
        <v>2193.7099999999987</v>
      </c>
      <c r="BD25" s="31">
        <f>Buckets_10_23[[#This Row],[NC Filled]]</f>
        <v>2193.7099999999987</v>
      </c>
      <c r="BE25" s="31">
        <f>Buckets_10_23[[#This Row],[Capacity]]-Buckets_10_23[[#This Row],[Final]]</f>
        <v>306.29000000000133</v>
      </c>
      <c r="BF25" s="33">
        <f>IF(Buckets_10_23[[#This Row],[Capacity]]=0, 1, Buckets_10_23[[#This Row],[Final]]/Buckets_10_23[[#This Row],[Capacity]])</f>
        <v>0.87748399999999949</v>
      </c>
      <c r="BH25" s="31">
        <f>Buckets_10_23[[#This Row],[Final]]</f>
        <v>2193.7099999999987</v>
      </c>
      <c r="BI25" s="31">
        <f>Buckets_10_23[[#This Row],[Capacity]]</f>
        <v>2500</v>
      </c>
      <c r="BJ25" t="b">
        <f t="shared" si="15"/>
        <v>0</v>
      </c>
      <c r="BK25" s="43"/>
      <c r="BL25" s="42"/>
      <c r="BM25" s="43"/>
      <c r="BN25" s="42">
        <f>BI25+500</f>
        <v>3000</v>
      </c>
      <c r="BO25" s="43"/>
      <c r="BP25" s="40">
        <f t="shared" si="16"/>
        <v>2193.7099999999987</v>
      </c>
      <c r="BQ25" s="40">
        <f t="shared" si="17"/>
        <v>3000</v>
      </c>
      <c r="BR25" s="41" t="b">
        <f t="shared" si="2"/>
        <v>0</v>
      </c>
      <c r="BT25" s="29">
        <f t="shared" si="18"/>
        <v>2193.7099999999987</v>
      </c>
      <c r="BU25" s="29">
        <f>GetTransactionTotal(AggregateTable2023[], AggregateTable2023[Start], BT$1, AggregateTable2023[#Headers], $D25)</f>
        <v>0</v>
      </c>
      <c r="BV25" s="29">
        <f>Buckets_11_23[[#This Row],[Start]]+Buckets_11_23[[#This Row],[Transactions]]</f>
        <v>2193.7099999999987</v>
      </c>
      <c r="BW25" s="29">
        <f t="shared" si="19"/>
        <v>3000</v>
      </c>
      <c r="BX25" s="29">
        <f>Buckets_11_23[[#This Row],[Capacity]]-Buckets_11_23[[#This Row],[After T]]</f>
        <v>806.29000000000133</v>
      </c>
      <c r="BY25" s="29">
        <f>MAX(-Buckets_11_23[[#This Row],[Cap Diff]], 0)</f>
        <v>0</v>
      </c>
      <c r="BZ25" s="29">
        <f>Buckets_11_23[[#This Row],[After T]]-Buckets_11_23[[#This Row],[Slush]]</f>
        <v>2193.7099999999987</v>
      </c>
      <c r="CA25" s="29">
        <f>Buckets_11_23[[#This Row],[Capacity]]-Buckets_11_23[[#This Row],[Before Fill]]</f>
        <v>806.29000000000133</v>
      </c>
      <c r="CB25" t="b">
        <f>OR(BR25, Buckets_11_23[[#This Row],[After T]]&lt;0)</f>
        <v>0</v>
      </c>
      <c r="CC25" s="29">
        <f>IF(Buckets_11_23[[#This Row],[Is Crit]], Buckets_11_23[[#This Row],[S Cap Diff]], 0)</f>
        <v>0</v>
      </c>
      <c r="CD25" s="29">
        <f>Buckets_11_23[[#This Row],[Before Fill]]+Buckets_11_23[[#This Row],[Crit To Fill]]</f>
        <v>2193.7099999999987</v>
      </c>
      <c r="CE25" s="29">
        <f>IF(NOT(Buckets_11_23[[#This Row],[Is Crit]]), Buckets_11_23[[#This Row],[S Cap Diff]], 0)</f>
        <v>806.29000000000133</v>
      </c>
      <c r="CF25" s="29">
        <f>ROUND(CD$41/Buckets_11_23[[#Totals],[NC To Fill]]*Buckets_11_23[[#This Row],[NC To Fill]], 2)</f>
        <v>795.17</v>
      </c>
      <c r="CG25" s="31">
        <f>Buckets_11_23[[#This Row],[Pre Scale]] + IF($D25="Unexpected Fund", CD41-Buckets_11_23[[#Totals],[Pre Scale]], 0)</f>
        <v>795.15999999999929</v>
      </c>
      <c r="CH25" s="31">
        <f>Buckets_11_23[[#This Row],[Crit Filled]]+Buckets_11_23[[#This Row],[Scaled]]</f>
        <v>2988.8699999999981</v>
      </c>
      <c r="CI25" s="31">
        <f>Buckets_11_23[[#This Row],[NC Filled]]</f>
        <v>2988.8699999999981</v>
      </c>
      <c r="CJ25" s="31">
        <f>Buckets_11_23[[#This Row],[Capacity]]-Buckets_11_23[[#This Row],[Final]]</f>
        <v>11.130000000001928</v>
      </c>
      <c r="CK25" s="33">
        <f>IF(Buckets_11_23[[#This Row],[Capacity]]=0, 1, Buckets_11_23[[#This Row],[Final]]/Buckets_11_23[[#This Row],[Capacity]])</f>
        <v>0.99628999999999934</v>
      </c>
      <c r="CM25" s="40">
        <f>Buckets_11_23[[#This Row],[Final]]</f>
        <v>2988.8699999999981</v>
      </c>
      <c r="CN25" s="40">
        <f>Buckets_11_23[[#This Row],[Capacity]]</f>
        <v>3000</v>
      </c>
      <c r="CO25" s="41" t="b">
        <f t="shared" si="20"/>
        <v>0</v>
      </c>
      <c r="CP25" s="42"/>
      <c r="CQ25" s="42"/>
      <c r="CR25" s="42"/>
      <c r="CS25" s="42">
        <f>CN25+500</f>
        <v>3500</v>
      </c>
      <c r="CT25" s="43"/>
      <c r="CU25" s="40">
        <f t="shared" si="21"/>
        <v>2988.8699999999981</v>
      </c>
      <c r="CV25" s="40">
        <f t="shared" si="22"/>
        <v>3500</v>
      </c>
      <c r="CW25" s="41" t="b">
        <f t="shared" si="3"/>
        <v>0</v>
      </c>
      <c r="CY25" s="29">
        <f t="shared" si="23"/>
        <v>2988.8699999999981</v>
      </c>
      <c r="CZ25" s="29">
        <f>GetTransactionTotal(AggregateTable2023[], AggregateTable2023[Start], CY$1, AggregateTable2023[#Headers], $D25)</f>
        <v>0</v>
      </c>
      <c r="DA25" s="29">
        <f>Buckets_12_23[[#This Row],[Start]]+Buckets_12_23[[#This Row],[Transactions]]</f>
        <v>2988.8699999999981</v>
      </c>
      <c r="DB25" s="29">
        <f t="shared" si="24"/>
        <v>3500</v>
      </c>
      <c r="DC25" s="29">
        <f>Buckets_12_23[[#This Row],[Capacity]]-Buckets_12_23[[#This Row],[After T]]</f>
        <v>511.13000000000193</v>
      </c>
      <c r="DD25" s="29">
        <f>MAX(-Buckets_12_23[[#This Row],[Cap Diff]], 0)</f>
        <v>0</v>
      </c>
      <c r="DE25" s="29">
        <f>Buckets_12_23[[#This Row],[After T]]-Buckets_12_23[[#This Row],[Slush]]</f>
        <v>2988.8699999999981</v>
      </c>
      <c r="DF25" s="29">
        <f>Buckets_12_23[[#This Row],[Capacity]]-Buckets_12_23[[#This Row],[Before Fill]]</f>
        <v>511.13000000000193</v>
      </c>
      <c r="DG25" t="b">
        <f>OR(CW25, Buckets_12_23[[#This Row],[After T]]&lt;0)</f>
        <v>0</v>
      </c>
      <c r="DH25" s="29">
        <f>IF(Buckets_12_23[[#This Row],[Is Crit]], Buckets_12_23[[#This Row],[S Cap Diff]], 0)</f>
        <v>0</v>
      </c>
      <c r="DI25" s="29">
        <f>Buckets_12_23[[#This Row],[Before Fill]]+Buckets_12_23[[#This Row],[Crit To Fill]]</f>
        <v>2988.8699999999981</v>
      </c>
      <c r="DJ25" s="29">
        <f>IF(NOT(Buckets_12_23[[#This Row],[Is Crit]]), Buckets_12_23[[#This Row],[S Cap Diff]], 0)</f>
        <v>511.13000000000193</v>
      </c>
      <c r="DK25" s="29">
        <f>ROUND(DI$41/Buckets_12_23[[#Totals],[NC To Fill]]*Buckets_12_23[[#This Row],[NC To Fill]], 2)</f>
        <v>233.7</v>
      </c>
      <c r="DL25" s="31">
        <f>Buckets_12_23[[#This Row],[Pre Scale]] + IF($D25="Unexpected Fund", DI41-Buckets_12_23[[#Totals],[Pre Scale]], 0)</f>
        <v>233.69000000000023</v>
      </c>
      <c r="DM25" s="31">
        <f>Buckets_12_23[[#This Row],[Crit Filled]]+Buckets_12_23[[#This Row],[Scaled]]</f>
        <v>3222.5599999999981</v>
      </c>
      <c r="DN25" s="31">
        <f>Buckets_12_23[[#This Row],[NC Filled]]</f>
        <v>3222.5599999999981</v>
      </c>
      <c r="DO25" s="31">
        <f>Buckets_12_23[[#This Row],[Capacity]]-Buckets_12_23[[#This Row],[Final]]</f>
        <v>277.44000000000187</v>
      </c>
      <c r="DP25" s="33">
        <f>IF(Buckets_12_23[[#This Row],[Capacity]]=0, 1, Buckets_12_23[[#This Row],[Final]]/Buckets_12_23[[#This Row],[Capacity]])</f>
        <v>0.92073142857142809</v>
      </c>
      <c r="DR25" s="40">
        <f>Buckets_12_23[[#This Row],[Final]]</f>
        <v>3222.5599999999981</v>
      </c>
      <c r="DS25" s="40">
        <f>Buckets_12_23[[#This Row],[Capacity]]</f>
        <v>3500</v>
      </c>
      <c r="DT25" s="41" t="b">
        <f t="shared" si="25"/>
        <v>0</v>
      </c>
      <c r="DU25" s="42"/>
      <c r="DV25" s="42"/>
      <c r="DW25" s="42"/>
      <c r="DX25" s="42">
        <f>DS25+500</f>
        <v>4000</v>
      </c>
      <c r="DY25" s="43"/>
      <c r="DZ25" s="40">
        <f t="shared" si="26"/>
        <v>3222.5599999999981</v>
      </c>
      <c r="EA25" s="40">
        <f t="shared" si="27"/>
        <v>4000</v>
      </c>
      <c r="EB25" s="41" t="b">
        <f t="shared" si="4"/>
        <v>0</v>
      </c>
      <c r="ED25" s="29">
        <f t="shared" si="28"/>
        <v>3222.5599999999981</v>
      </c>
      <c r="EE25" s="29">
        <f>GetTransactionTotal(AggregateTable2024[], AggregateTable2024[Start], ED$1, AggregateTable2024[#Headers], $D25)</f>
        <v>0</v>
      </c>
      <c r="EF25" s="29">
        <f>Buckets_1_24[[#This Row],[Start]]+Buckets_1_24[[#This Row],[Transactions]]</f>
        <v>3222.5599999999981</v>
      </c>
      <c r="EG25" s="29">
        <f t="shared" si="29"/>
        <v>4000</v>
      </c>
      <c r="EH25" s="29">
        <f>Buckets_1_24[[#This Row],[Capacity]]-Buckets_1_24[[#This Row],[After T]]</f>
        <v>777.44000000000187</v>
      </c>
      <c r="EI25" s="29">
        <f>MAX(-Buckets_1_24[[#This Row],[Cap Diff]], 0)</f>
        <v>0</v>
      </c>
      <c r="EJ25" s="29">
        <f>Buckets_1_24[[#This Row],[After T]]-Buckets_1_24[[#This Row],[Slush]]</f>
        <v>3222.5599999999981</v>
      </c>
      <c r="EK25" s="29">
        <f>Buckets_1_24[[#This Row],[Capacity]]-Buckets_1_24[[#This Row],[Before Fill]]</f>
        <v>777.44000000000187</v>
      </c>
      <c r="EL25" t="b">
        <f>OR(EB25, Buckets_1_24[[#This Row],[After T]]&lt;0)</f>
        <v>0</v>
      </c>
      <c r="EM25" s="29">
        <f>IF(Buckets_1_24[[#This Row],[Is Crit]], Buckets_1_24[[#This Row],[S Cap Diff]], 0)</f>
        <v>0</v>
      </c>
      <c r="EN25" s="29">
        <f>Buckets_1_24[[#This Row],[Before Fill]]+Buckets_1_24[[#This Row],[Crit To Fill]]</f>
        <v>3222.5599999999981</v>
      </c>
      <c r="EO25" s="29">
        <f>IF(NOT(Buckets_1_24[[#This Row],[Is Crit]]), Buckets_1_24[[#This Row],[S Cap Diff]], 0)</f>
        <v>777.44000000000187</v>
      </c>
      <c r="EP25" s="29">
        <f>ROUND(EN$41/Buckets_1_24[[#Totals],[NC To Fill]]*Buckets_1_24[[#This Row],[NC To Fill]], 2)</f>
        <v>477.34</v>
      </c>
      <c r="EQ25" s="31">
        <f>Buckets_1_24[[#This Row],[Pre Scale]] + IF($D25="Unexpected Fund", EN41-Buckets_1_24[[#Totals],[Pre Scale]], 0)</f>
        <v>477.34000000000088</v>
      </c>
      <c r="ER25" s="31">
        <f>Buckets_1_24[[#This Row],[Crit Filled]]+Buckets_1_24[[#This Row],[Scaled]]</f>
        <v>3699.8999999999992</v>
      </c>
      <c r="ES25" s="31">
        <f>Buckets_1_24[[#This Row],[NC Filled]]</f>
        <v>3699.8999999999992</v>
      </c>
      <c r="ET25" s="31">
        <f>Buckets_1_24[[#This Row],[Capacity]]-Buckets_1_24[[#This Row],[Final]]</f>
        <v>300.10000000000082</v>
      </c>
      <c r="EU25" s="33">
        <f>IF(Buckets_1_24[[#This Row],[Capacity]]=0, 1, Buckets_1_24[[#This Row],[Final]]/Buckets_1_24[[#This Row],[Capacity]])</f>
        <v>0.92497499999999977</v>
      </c>
      <c r="EW25" s="40">
        <f>Buckets_1_24[[#This Row],[Final]]</f>
        <v>3699.8999999999992</v>
      </c>
      <c r="EX25" s="40">
        <f>Buckets_1_24[[#This Row],[Capacity]]</f>
        <v>4000</v>
      </c>
      <c r="EY25" s="41" t="b">
        <f t="shared" si="30"/>
        <v>0</v>
      </c>
      <c r="EZ25" s="42"/>
      <c r="FA25" s="42"/>
      <c r="FB25" s="42"/>
      <c r="FC25" s="42">
        <v>7000</v>
      </c>
      <c r="FD25" s="43"/>
      <c r="FE25" s="40">
        <f t="shared" si="31"/>
        <v>3699.8999999999992</v>
      </c>
      <c r="FF25" s="40">
        <f t="shared" si="32"/>
        <v>7000</v>
      </c>
      <c r="FG25" s="41" t="b">
        <f t="shared" si="5"/>
        <v>0</v>
      </c>
      <c r="FI25" s="29">
        <f t="shared" si="33"/>
        <v>3699.8999999999992</v>
      </c>
      <c r="FJ25" s="29">
        <f>GetTransactionTotal(AggregateTable2024[], AggregateTable2024[Start], FI$1, AggregateTable2024[#Headers], $D25)</f>
        <v>0</v>
      </c>
      <c r="FK25" s="29">
        <f>Buckets_2_24[[#This Row],[Start]]+Buckets_2_24[[#This Row],[Transactions]]</f>
        <v>3699.8999999999992</v>
      </c>
      <c r="FL25" s="29">
        <f t="shared" si="34"/>
        <v>7000</v>
      </c>
      <c r="FM25" s="29">
        <f>Buckets_2_24[[#This Row],[Capacity]]-Buckets_2_24[[#This Row],[After T]]</f>
        <v>3300.1000000000008</v>
      </c>
      <c r="FN25" s="29">
        <f>MAX(-Buckets_2_24[[#This Row],[Cap Diff]], 0)</f>
        <v>0</v>
      </c>
      <c r="FO25" s="29">
        <f>Buckets_2_24[[#This Row],[After T]]-Buckets_2_24[[#This Row],[Slush]]</f>
        <v>3699.8999999999992</v>
      </c>
      <c r="FP25" s="29">
        <f>Buckets_2_24[[#This Row],[Capacity]]-Buckets_2_24[[#This Row],[Before Fill]]</f>
        <v>3300.1000000000008</v>
      </c>
      <c r="FQ25" t="b">
        <f>OR(FG25, Buckets_2_24[[#This Row],[After T]]&lt;0)</f>
        <v>0</v>
      </c>
      <c r="FR25" s="29">
        <f>IF(Buckets_2_24[[#This Row],[Is Crit]], Buckets_2_24[[#This Row],[S Cap Diff]], 0)</f>
        <v>0</v>
      </c>
      <c r="FS25" s="29">
        <f>Buckets_2_24[[#This Row],[Before Fill]]+Buckets_2_24[[#This Row],[Crit To Fill]]</f>
        <v>3699.8999999999992</v>
      </c>
      <c r="FT25" s="29">
        <f>IF(NOT(Buckets_2_24[[#This Row],[Is Crit]]), Buckets_2_24[[#This Row],[S Cap Diff]], 0)</f>
        <v>3300.1000000000008</v>
      </c>
      <c r="FU25" s="29">
        <f>ROUND(FS$41/Buckets_2_24[[#Totals],[NC To Fill]]*Buckets_2_24[[#This Row],[NC To Fill]], 2)</f>
        <v>3179.14</v>
      </c>
      <c r="FV25" s="31">
        <f>Buckets_2_24[[#This Row],[Pre Scale]] + IF($D25="Unexpected Fund", FS41-Buckets_2_24[[#Totals],[Pre Scale]], 0)</f>
        <v>3179.1500000000019</v>
      </c>
      <c r="FW25" s="31">
        <f>Buckets_2_24[[#This Row],[Crit Filled]]+Buckets_2_24[[#This Row],[Scaled]]</f>
        <v>6879.0500000000011</v>
      </c>
      <c r="FX25" s="31">
        <f>Buckets_2_24[[#This Row],[NC Filled]]</f>
        <v>6879.0500000000011</v>
      </c>
      <c r="FY25" s="31">
        <f>Buckets_2_24[[#This Row],[Capacity]]-Buckets_2_24[[#This Row],[Final]]</f>
        <v>120.94999999999891</v>
      </c>
      <c r="FZ25" s="33">
        <f>IF(Buckets_2_24[[#This Row],[Capacity]]=0, 1, Buckets_2_24[[#This Row],[Final]]/Buckets_2_24[[#This Row],[Capacity]])</f>
        <v>0.98272142857142875</v>
      </c>
      <c r="GB25" s="40">
        <f>Buckets_2_24[[#This Row],[Final]]</f>
        <v>6879.0500000000011</v>
      </c>
      <c r="GC25" s="40">
        <f>Buckets_2_24[[#This Row],[Capacity]]</f>
        <v>7000</v>
      </c>
      <c r="GD25" s="41" t="b">
        <f t="shared" si="35"/>
        <v>0</v>
      </c>
      <c r="GE25" s="42"/>
      <c r="GF25" s="42"/>
      <c r="GG25" s="42">
        <v>500</v>
      </c>
      <c r="GH25" s="42"/>
      <c r="GI25" s="43"/>
      <c r="GJ25" s="40">
        <f t="shared" si="36"/>
        <v>6879.0500000000011</v>
      </c>
      <c r="GK25" s="40">
        <f t="shared" si="37"/>
        <v>7500</v>
      </c>
      <c r="GL25" s="41" t="b">
        <f t="shared" si="6"/>
        <v>0</v>
      </c>
      <c r="GN25" s="29">
        <f t="shared" si="38"/>
        <v>6879.0500000000011</v>
      </c>
      <c r="GO25" s="29">
        <f>GetTransactionTotal(AggregateTable2024[], AggregateTable2024[Start], GN$1, AggregateTable2024[#Headers], $D25)</f>
        <v>0</v>
      </c>
      <c r="GP25" s="29">
        <f>Buckets_3_24[[#This Row],[Start]]+Buckets_3_24[[#This Row],[Transactions]]</f>
        <v>6879.0500000000011</v>
      </c>
      <c r="GQ25" s="29">
        <f t="shared" si="39"/>
        <v>7500</v>
      </c>
      <c r="GR25" s="29">
        <f>Buckets_3_24[[#This Row],[Capacity]]-Buckets_3_24[[#This Row],[After T]]</f>
        <v>620.94999999999891</v>
      </c>
      <c r="GS25" s="29">
        <f>MAX(-Buckets_3_24[[#This Row],[Cap Diff]], 0)</f>
        <v>0</v>
      </c>
      <c r="GT25" s="29">
        <f>Buckets_3_24[[#This Row],[After T]]-Buckets_3_24[[#This Row],[Slush]]</f>
        <v>6879.0500000000011</v>
      </c>
      <c r="GU25" s="29">
        <f>Buckets_3_24[[#This Row],[Capacity]]-Buckets_3_24[[#This Row],[Before Fill]]</f>
        <v>620.94999999999891</v>
      </c>
      <c r="GV25" t="b">
        <f>OR(GL25, Buckets_3_24[[#This Row],[After T]]&lt;0)</f>
        <v>0</v>
      </c>
      <c r="GW25" s="29">
        <f>IF(Buckets_3_24[[#This Row],[Is Crit]], Buckets_3_24[[#This Row],[S Cap Diff]], 0)</f>
        <v>0</v>
      </c>
      <c r="GX25" s="29">
        <f>Buckets_3_24[[#This Row],[Before Fill]]+Buckets_3_24[[#This Row],[Crit To Fill]]</f>
        <v>6879.0500000000011</v>
      </c>
      <c r="GY25" s="29">
        <f>IF(NOT(Buckets_3_24[[#This Row],[Is Crit]]), Buckets_3_24[[#This Row],[S Cap Diff]], 0)</f>
        <v>620.94999999999891</v>
      </c>
      <c r="GZ25" s="29">
        <f>ROUND(GX$41/Buckets_3_24[[#Totals],[NC To Fill]]*Buckets_3_24[[#This Row],[NC To Fill]], 2)</f>
        <v>603.09</v>
      </c>
      <c r="HA25" s="31">
        <f>Buckets_3_24[[#This Row],[Pre Scale]] + IF($D25="Unexpected Fund", GX41-Buckets_3_24[[#Totals],[Pre Scale]], 0)</f>
        <v>603.07999999999981</v>
      </c>
      <c r="HB25" s="31">
        <f>Buckets_3_24[[#This Row],[Crit Filled]]+Buckets_3_24[[#This Row],[Scaled]]</f>
        <v>7482.130000000001</v>
      </c>
      <c r="HC25" s="31">
        <f>Buckets_3_24[[#This Row],[NC Filled]]</f>
        <v>7482.130000000001</v>
      </c>
      <c r="HD25" s="31">
        <f>Buckets_3_24[[#This Row],[Capacity]]-Buckets_3_24[[#This Row],[Final]]</f>
        <v>17.869999999998981</v>
      </c>
      <c r="HE25" s="33">
        <f>IF(Buckets_3_24[[#This Row],[Capacity]]=0, 1, Buckets_3_24[[#This Row],[Final]]/Buckets_3_24[[#This Row],[Capacity]])</f>
        <v>0.99761733333333347</v>
      </c>
      <c r="HG25" s="40">
        <f>Buckets_3_24[[#This Row],[Final]]</f>
        <v>7482.130000000001</v>
      </c>
      <c r="HH25" s="40">
        <f>Buckets_3_24[[#This Row],[Capacity]]</f>
        <v>7500</v>
      </c>
      <c r="HI25" s="41" t="b">
        <f t="shared" si="40"/>
        <v>0</v>
      </c>
      <c r="HJ25" s="42"/>
      <c r="HK25" s="42"/>
      <c r="HL25" s="42">
        <v>500</v>
      </c>
      <c r="HM25" s="42"/>
      <c r="HN25" s="43"/>
      <c r="HO25" s="40">
        <f t="shared" si="41"/>
        <v>7482.130000000001</v>
      </c>
      <c r="HP25" s="40">
        <f t="shared" si="42"/>
        <v>8000</v>
      </c>
      <c r="HQ25" s="41" t="b">
        <f t="shared" si="7"/>
        <v>0</v>
      </c>
      <c r="HS25" s="29">
        <f t="shared" si="43"/>
        <v>7482.130000000001</v>
      </c>
      <c r="HT25" s="29">
        <f>GetTransactionTotal(AggregateTable2024[], AggregateTable2024[Start], HS$1, AggregateTable2024[#Headers], $D25)</f>
        <v>0</v>
      </c>
      <c r="HU25" s="29">
        <f>Buckets_4_24[[#This Row],[Start]]+Buckets_4_24[[#This Row],[Transactions]]</f>
        <v>7482.130000000001</v>
      </c>
      <c r="HV25" s="29">
        <f t="shared" si="44"/>
        <v>8000</v>
      </c>
      <c r="HW25" s="29">
        <f>Buckets_4_24[[#This Row],[Capacity]]-Buckets_4_24[[#This Row],[After T]]</f>
        <v>517.86999999999898</v>
      </c>
      <c r="HX25" s="29">
        <f>MAX(-Buckets_4_24[[#This Row],[Cap Diff]], 0)</f>
        <v>0</v>
      </c>
      <c r="HY25" s="29">
        <f>Buckets_4_24[[#This Row],[After T]]-Buckets_4_24[[#This Row],[Slush]]</f>
        <v>7482.130000000001</v>
      </c>
      <c r="HZ25" s="29">
        <f>Buckets_4_24[[#This Row],[Capacity]]-Buckets_4_24[[#This Row],[Before Fill]]</f>
        <v>517.86999999999898</v>
      </c>
      <c r="IA25" t="b">
        <f>OR(HQ25, Buckets_4_24[[#This Row],[After T]]&lt;0)</f>
        <v>0</v>
      </c>
      <c r="IB25" s="29">
        <f>IF(Buckets_4_24[[#This Row],[Is Crit]], Buckets_4_24[[#This Row],[S Cap Diff]], 0)</f>
        <v>0</v>
      </c>
      <c r="IC25" s="29">
        <f>Buckets_4_24[[#This Row],[Before Fill]]+Buckets_4_24[[#This Row],[Crit To Fill]]</f>
        <v>7482.130000000001</v>
      </c>
      <c r="ID25" s="29">
        <f>IF(NOT(Buckets_4_24[[#This Row],[Is Crit]]), Buckets_4_24[[#This Row],[S Cap Diff]], 0)</f>
        <v>517.86999999999898</v>
      </c>
      <c r="IE25" s="29">
        <f>ROUND(IC$41/Buckets_4_24[[#Totals],[NC To Fill]]*Buckets_4_24[[#This Row],[NC To Fill]], 2)</f>
        <v>337.95</v>
      </c>
      <c r="IF25" s="31">
        <f>Buckets_4_24[[#This Row],[Pre Scale]] + IF($D25="Unexpected Fund", IC41-Buckets_4_24[[#Totals],[Pre Scale]], 0)</f>
        <v>337.96000000000112</v>
      </c>
      <c r="IG25" s="31">
        <f>Buckets_4_24[[#This Row],[Crit Filled]]+Buckets_4_24[[#This Row],[Scaled]]</f>
        <v>7820.090000000002</v>
      </c>
      <c r="IH25" s="31">
        <f>Buckets_4_24[[#This Row],[NC Filled]]</f>
        <v>7820.090000000002</v>
      </c>
      <c r="II25" s="31">
        <f>Buckets_4_24[[#This Row],[Capacity]]-Buckets_4_24[[#This Row],[Final]]</f>
        <v>179.90999999999804</v>
      </c>
      <c r="IJ25" s="33">
        <f>IF(Buckets_4_24[[#This Row],[Capacity]]=0, 1, Buckets_4_24[[#This Row],[Final]]/Buckets_4_24[[#This Row],[Capacity]])</f>
        <v>0.97751125000000028</v>
      </c>
      <c r="IL25" s="40">
        <f>Buckets_4_24[[#This Row],[Final]]</f>
        <v>7820.090000000002</v>
      </c>
      <c r="IM25" s="40">
        <f>Buckets_4_24[[#This Row],[Capacity]]</f>
        <v>8000</v>
      </c>
      <c r="IN25" s="41" t="b">
        <f t="shared" si="45"/>
        <v>0</v>
      </c>
      <c r="IO25" s="42"/>
      <c r="IP25" s="42"/>
      <c r="IQ25" s="42">
        <v>500</v>
      </c>
      <c r="IR25" s="42"/>
      <c r="IS25" s="43"/>
      <c r="IT25" s="40">
        <f t="shared" si="46"/>
        <v>7820.090000000002</v>
      </c>
      <c r="IU25" s="40">
        <f t="shared" si="47"/>
        <v>8500</v>
      </c>
      <c r="IV25" s="41" t="b">
        <f t="shared" si="8"/>
        <v>0</v>
      </c>
    </row>
    <row r="26" spans="1:256" x14ac:dyDescent="0.25">
      <c r="A26" s="49"/>
      <c r="B26" t="s">
        <v>326</v>
      </c>
      <c r="C26" t="s">
        <v>321</v>
      </c>
      <c r="D26" t="s">
        <v>301</v>
      </c>
      <c r="F26" s="30">
        <v>0</v>
      </c>
      <c r="G26" s="38">
        <v>600</v>
      </c>
      <c r="H26" t="b">
        <v>0</v>
      </c>
      <c r="J26" s="50">
        <f t="shared" si="9"/>
        <v>0</v>
      </c>
      <c r="K26" s="50">
        <f>GetTransactionTotal(AggregateTable2023[], AggregateTable2023[Start], J$1, AggregateTable2023[#Headers], $D26)</f>
        <v>0</v>
      </c>
      <c r="L26" s="50">
        <f>Buckets_9_23[[#This Row],[Start]]+Buckets_9_23[[#This Row],[Transactions]]</f>
        <v>0</v>
      </c>
      <c r="M26" s="50">
        <f t="shared" si="10"/>
        <v>600</v>
      </c>
      <c r="N26" s="50">
        <f>Buckets_9_23[[#This Row],[Capacity]]-Buckets_9_23[[#This Row],[After T]]</f>
        <v>600</v>
      </c>
      <c r="O26" s="50">
        <f>IF(Buckets_9_23[[#This Row],[After T]]&lt;0, Buckets_9_23[[#This Row],[After T]], IF(Buckets_9_23[[#This Row],[Cap Diff]]&lt;0, -Buckets_9_23[[#This Row],[Cap Diff]], 0))</f>
        <v>0</v>
      </c>
      <c r="P26" s="50">
        <f>Buckets_9_23[[#This Row],[After T]]-Buckets_9_23[[#This Row],[Slush]]</f>
        <v>0</v>
      </c>
      <c r="Q26" s="50">
        <f>Buckets_9_23[[#This Row],[Capacity]]-Buckets_9_23[[#This Row],[Before Fill]]</f>
        <v>600</v>
      </c>
      <c r="R26" s="31" t="b">
        <f t="shared" si="0"/>
        <v>0</v>
      </c>
      <c r="S26" s="50">
        <f>IF(Buckets_9_23[[#This Row],[Is Crit]], Buckets_9_23[[#This Row],[S Cap Diff]], 0)</f>
        <v>0</v>
      </c>
      <c r="T26" s="50">
        <f>Buckets_9_23[[#This Row],[Before Fill]]+Buckets_9_23[[#This Row],[Crit To Fill]]</f>
        <v>0</v>
      </c>
      <c r="U26" s="50">
        <f>IF(NOT(Buckets_9_23[[#This Row],[Is Crit]]), Buckets_9_23[[#This Row],[S Cap Diff]], 0)</f>
        <v>600</v>
      </c>
      <c r="V26" s="50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A26" s="51">
        <f>IF(Buckets_9_23[[#This Row],[Capacity]]=0, 1, Buckets_9_23[[#This Row],[Final]]/Buckets_9_23[[#This Row],[Capacity]])</f>
        <v>0.8728166666666668</v>
      </c>
      <c r="AC26" s="31">
        <f>Buckets_9_23[[#This Row],[Final]]</f>
        <v>523.69000000000005</v>
      </c>
      <c r="AD26" s="31">
        <f>Buckets_9_23[[#This Row],[Capacity]]</f>
        <v>600</v>
      </c>
      <c r="AE26" t="b">
        <f>H26</f>
        <v>0</v>
      </c>
      <c r="AF26" s="43"/>
      <c r="AG26" s="42"/>
      <c r="AH26" s="43"/>
      <c r="AI26" s="42"/>
      <c r="AJ26" s="43"/>
      <c r="AK26" s="40">
        <f t="shared" si="11"/>
        <v>523.69000000000005</v>
      </c>
      <c r="AL26" s="40">
        <f t="shared" si="12"/>
        <v>600</v>
      </c>
      <c r="AM26" s="41" t="b">
        <f t="shared" si="1"/>
        <v>0</v>
      </c>
      <c r="AO26" s="29">
        <f t="shared" si="13"/>
        <v>523.69000000000005</v>
      </c>
      <c r="AP26" s="29">
        <f>GetTransactionTotal(AggregateTable2023[], AggregateTable2023[Start], AO$1, AggregateTable2023[#Headers], $D26)</f>
        <v>-9.25</v>
      </c>
      <c r="AQ26" s="29">
        <f>Buckets_10_23[[#This Row],[Start]]+Buckets_10_23[[#This Row],[Transactions]]</f>
        <v>514.44000000000005</v>
      </c>
      <c r="AR26" s="29">
        <f t="shared" si="14"/>
        <v>600</v>
      </c>
      <c r="AS26" s="29">
        <f>Buckets_10_23[[#This Row],[Capacity]]-Buckets_10_23[[#This Row],[After T]]</f>
        <v>85.559999999999945</v>
      </c>
      <c r="AT26" s="29">
        <f>MAX(-Buckets_10_23[[#This Row],[Cap Diff]], 0)</f>
        <v>0</v>
      </c>
      <c r="AU26" s="29">
        <f>Buckets_10_23[[#This Row],[After T]]-Buckets_10_23[[#This Row],[Slush]]</f>
        <v>514.44000000000005</v>
      </c>
      <c r="AV26" s="29">
        <f>Buckets_10_23[[#This Row],[Capacity]]-Buckets_10_23[[#This Row],[Before Fill]]</f>
        <v>85.559999999999945</v>
      </c>
      <c r="AW26" t="b">
        <f>OR(AM26, Buckets_10_23[[#This Row],[After T]]&lt;0)</f>
        <v>0</v>
      </c>
      <c r="AX26" s="29">
        <f>IF(Buckets_10_23[[#This Row],[Is Crit]], Buckets_10_23[[#This Row],[S Cap Diff]], 0)</f>
        <v>0</v>
      </c>
      <c r="AY26" s="29">
        <f>Buckets_10_23[[#This Row],[Before Fill]]+Buckets_10_23[[#This Row],[Crit To Fill]]</f>
        <v>514.44000000000005</v>
      </c>
      <c r="AZ26" s="29">
        <f>IF(NOT(Buckets_10_23[[#This Row],[Is Crit]]), Buckets_10_23[[#This Row],[S Cap Diff]], 0)</f>
        <v>85.559999999999945</v>
      </c>
      <c r="BA26" s="29">
        <f>ROUND(AY$41/Buckets_10_23[[#Totals],[NC To Fill]]*Buckets_10_23[[#This Row],[NC To Fill]], 2)</f>
        <v>50.82</v>
      </c>
      <c r="BB26" s="31">
        <f>Buckets_10_23[[#This Row],[Pre Scale]] + IF($D26="Unexpected Fund", AY42-Buckets_10_23[[#Totals],[Pre Scale]], 0)</f>
        <v>50.82</v>
      </c>
      <c r="BC26" s="31">
        <f>Buckets_10_23[[#This Row],[Crit Filled]]+Buckets_10_23[[#This Row],[Scaled]]</f>
        <v>565.2600000000001</v>
      </c>
      <c r="BD26" s="31">
        <f>Buckets_10_23[[#This Row],[NC Filled]]</f>
        <v>565.2600000000001</v>
      </c>
      <c r="BE26" s="31">
        <f>Buckets_10_23[[#This Row],[Capacity]]-Buckets_10_23[[#This Row],[Final]]</f>
        <v>34.739999999999895</v>
      </c>
      <c r="BF26" s="33">
        <f>IF(Buckets_10_23[[#This Row],[Capacity]]=0, 1, Buckets_10_23[[#This Row],[Final]]/Buckets_10_23[[#This Row],[Capacity]])</f>
        <v>0.94210000000000016</v>
      </c>
      <c r="BH26" s="31">
        <f>Buckets_10_23[[#This Row],[Final]]</f>
        <v>565.2600000000001</v>
      </c>
      <c r="BI26" s="31">
        <f>Buckets_10_23[[#This Row],[Capacity]]</f>
        <v>600</v>
      </c>
      <c r="BJ26" t="b">
        <f t="shared" si="15"/>
        <v>0</v>
      </c>
      <c r="BK26" s="43"/>
      <c r="BL26" s="42"/>
      <c r="BM26" s="43"/>
      <c r="BN26" s="42"/>
      <c r="BO26" s="43"/>
      <c r="BP26" s="40">
        <f t="shared" si="16"/>
        <v>565.2600000000001</v>
      </c>
      <c r="BQ26" s="40">
        <f t="shared" si="17"/>
        <v>600</v>
      </c>
      <c r="BR26" s="41" t="b">
        <f t="shared" si="2"/>
        <v>0</v>
      </c>
      <c r="BT26" s="29">
        <f t="shared" si="18"/>
        <v>565.2600000000001</v>
      </c>
      <c r="BU26" s="29">
        <f>GetTransactionTotal(AggregateTable2023[], AggregateTable2023[Start], BT$1, AggregateTable2023[#Headers], $D26)</f>
        <v>0</v>
      </c>
      <c r="BV26" s="29">
        <f>Buckets_11_23[[#This Row],[Start]]+Buckets_11_23[[#This Row],[Transactions]]</f>
        <v>565.2600000000001</v>
      </c>
      <c r="BW26" s="29">
        <f t="shared" si="19"/>
        <v>600</v>
      </c>
      <c r="BX26" s="29">
        <f>Buckets_11_23[[#This Row],[Capacity]]-Buckets_11_23[[#This Row],[After T]]</f>
        <v>34.739999999999895</v>
      </c>
      <c r="BY26" s="29">
        <f>MAX(-Buckets_11_23[[#This Row],[Cap Diff]], 0)</f>
        <v>0</v>
      </c>
      <c r="BZ26" s="29">
        <f>Buckets_11_23[[#This Row],[After T]]-Buckets_11_23[[#This Row],[Slush]]</f>
        <v>565.2600000000001</v>
      </c>
      <c r="CA26" s="29">
        <f>Buckets_11_23[[#This Row],[Capacity]]-Buckets_11_23[[#This Row],[Before Fill]]</f>
        <v>34.739999999999895</v>
      </c>
      <c r="CB26" t="b">
        <f>OR(BR26, Buckets_11_23[[#This Row],[After T]]&lt;0)</f>
        <v>0</v>
      </c>
      <c r="CC26" s="29">
        <f>IF(Buckets_11_23[[#This Row],[Is Crit]], Buckets_11_23[[#This Row],[S Cap Diff]], 0)</f>
        <v>0</v>
      </c>
      <c r="CD26" s="29">
        <f>Buckets_11_23[[#This Row],[Before Fill]]+Buckets_11_23[[#This Row],[Crit To Fill]]</f>
        <v>565.2600000000001</v>
      </c>
      <c r="CE26" s="29">
        <f>IF(NOT(Buckets_11_23[[#This Row],[Is Crit]]), Buckets_11_23[[#This Row],[S Cap Diff]], 0)</f>
        <v>34.739999999999895</v>
      </c>
      <c r="CF26" s="29">
        <f>ROUND(CD$41/Buckets_11_23[[#Totals],[NC To Fill]]*Buckets_11_23[[#This Row],[NC To Fill]], 2)</f>
        <v>34.26</v>
      </c>
      <c r="CG26" s="31">
        <f>Buckets_11_23[[#This Row],[Pre Scale]] + IF($D26="Unexpected Fund", CD42-Buckets_11_23[[#Totals],[Pre Scale]], 0)</f>
        <v>34.26</v>
      </c>
      <c r="CH26" s="31">
        <f>Buckets_11_23[[#This Row],[Crit Filled]]+Buckets_11_23[[#This Row],[Scaled]]</f>
        <v>599.5200000000001</v>
      </c>
      <c r="CI26" s="31">
        <f>Buckets_11_23[[#This Row],[NC Filled]]</f>
        <v>599.5200000000001</v>
      </c>
      <c r="CJ26" s="31">
        <f>Buckets_11_23[[#This Row],[Capacity]]-Buckets_11_23[[#This Row],[Final]]</f>
        <v>0.4799999999999045</v>
      </c>
      <c r="CK26" s="33">
        <f>IF(Buckets_11_23[[#This Row],[Capacity]]=0, 1, Buckets_11_23[[#This Row],[Final]]/Buckets_11_23[[#This Row],[Capacity]])</f>
        <v>0.9992000000000002</v>
      </c>
      <c r="CM26" s="40">
        <f>Buckets_11_23[[#This Row],[Final]]</f>
        <v>599.5200000000001</v>
      </c>
      <c r="CN26" s="40">
        <f>Buckets_11_23[[#This Row],[Capacity]]</f>
        <v>600</v>
      </c>
      <c r="CO26" s="41" t="b">
        <f t="shared" si="20"/>
        <v>0</v>
      </c>
      <c r="CP26" s="42"/>
      <c r="CQ26" s="42"/>
      <c r="CR26" s="42"/>
      <c r="CS26" s="42"/>
      <c r="CT26" s="43"/>
      <c r="CU26" s="40">
        <f t="shared" si="21"/>
        <v>599.5200000000001</v>
      </c>
      <c r="CV26" s="40">
        <f t="shared" si="22"/>
        <v>600</v>
      </c>
      <c r="CW26" s="41" t="b">
        <f t="shared" si="3"/>
        <v>0</v>
      </c>
      <c r="CY26" s="29">
        <f t="shared" si="23"/>
        <v>599.5200000000001</v>
      </c>
      <c r="CZ26" s="29">
        <f>GetTransactionTotal(AggregateTable2023[], AggregateTable2023[Start], CY$1, AggregateTable2023[#Headers], $D26)</f>
        <v>-35.17</v>
      </c>
      <c r="DA26" s="29">
        <f>Buckets_12_23[[#This Row],[Start]]+Buckets_12_23[[#This Row],[Transactions]]</f>
        <v>564.35000000000014</v>
      </c>
      <c r="DB26" s="29">
        <f t="shared" si="24"/>
        <v>600</v>
      </c>
      <c r="DC26" s="29">
        <f>Buckets_12_23[[#This Row],[Capacity]]-Buckets_12_23[[#This Row],[After T]]</f>
        <v>35.649999999999864</v>
      </c>
      <c r="DD26" s="29">
        <f>MAX(-Buckets_12_23[[#This Row],[Cap Diff]], 0)</f>
        <v>0</v>
      </c>
      <c r="DE26" s="29">
        <f>Buckets_12_23[[#This Row],[After T]]-Buckets_12_23[[#This Row],[Slush]]</f>
        <v>564.35000000000014</v>
      </c>
      <c r="DF26" s="29">
        <f>Buckets_12_23[[#This Row],[Capacity]]-Buckets_12_23[[#This Row],[Before Fill]]</f>
        <v>35.649999999999864</v>
      </c>
      <c r="DG26" t="b">
        <f>OR(CW26, Buckets_12_23[[#This Row],[After T]]&lt;0)</f>
        <v>0</v>
      </c>
      <c r="DH26" s="29">
        <f>IF(Buckets_12_23[[#This Row],[Is Crit]], Buckets_12_23[[#This Row],[S Cap Diff]], 0)</f>
        <v>0</v>
      </c>
      <c r="DI26" s="29">
        <f>Buckets_12_23[[#This Row],[Before Fill]]+Buckets_12_23[[#This Row],[Crit To Fill]]</f>
        <v>564.35000000000014</v>
      </c>
      <c r="DJ26" s="29">
        <f>IF(NOT(Buckets_12_23[[#This Row],[Is Crit]]), Buckets_12_23[[#This Row],[S Cap Diff]], 0)</f>
        <v>35.649999999999864</v>
      </c>
      <c r="DK26" s="29">
        <f>ROUND(DI$41/Buckets_12_23[[#Totals],[NC To Fill]]*Buckets_12_23[[#This Row],[NC To Fill]], 2)</f>
        <v>16.3</v>
      </c>
      <c r="DL26" s="31">
        <f>Buckets_12_23[[#This Row],[Pre Scale]] + IF($D26="Unexpected Fund", DI42-Buckets_12_23[[#Totals],[Pre Scale]], 0)</f>
        <v>16.3</v>
      </c>
      <c r="DM26" s="31">
        <f>Buckets_12_23[[#This Row],[Crit Filled]]+Buckets_12_23[[#This Row],[Scaled]]</f>
        <v>580.65000000000009</v>
      </c>
      <c r="DN26" s="31">
        <f>Buckets_12_23[[#This Row],[NC Filled]]</f>
        <v>580.65000000000009</v>
      </c>
      <c r="DO26" s="31">
        <f>Buckets_12_23[[#This Row],[Capacity]]-Buckets_12_23[[#This Row],[Final]]</f>
        <v>19.349999999999909</v>
      </c>
      <c r="DP26" s="33">
        <f>IF(Buckets_12_23[[#This Row],[Capacity]]=0, 1, Buckets_12_23[[#This Row],[Final]]/Buckets_12_23[[#This Row],[Capacity]])</f>
        <v>0.96775000000000011</v>
      </c>
      <c r="DR26" s="40">
        <f>Buckets_12_23[[#This Row],[Final]]</f>
        <v>580.65000000000009</v>
      </c>
      <c r="DS26" s="40">
        <f>Buckets_12_23[[#This Row],[Capacity]]</f>
        <v>600</v>
      </c>
      <c r="DT26" s="41" t="b">
        <f t="shared" si="25"/>
        <v>0</v>
      </c>
      <c r="DU26" s="42"/>
      <c r="DV26" s="42"/>
      <c r="DW26" s="42"/>
      <c r="DX26" s="42"/>
      <c r="DY26" s="43"/>
      <c r="DZ26" s="40">
        <f t="shared" si="26"/>
        <v>580.65000000000009</v>
      </c>
      <c r="EA26" s="40">
        <f t="shared" si="27"/>
        <v>600</v>
      </c>
      <c r="EB26" s="41" t="b">
        <f t="shared" si="4"/>
        <v>0</v>
      </c>
      <c r="ED26" s="29">
        <f t="shared" si="28"/>
        <v>580.65000000000009</v>
      </c>
      <c r="EE26" s="29">
        <f>GetTransactionTotal(AggregateTable2024[], AggregateTable2024[Start], ED$1, AggregateTable2024[#Headers], $D26)</f>
        <v>-12.52</v>
      </c>
      <c r="EF26" s="29">
        <f>Buckets_1_24[[#This Row],[Start]]+Buckets_1_24[[#This Row],[Transactions]]</f>
        <v>568.13000000000011</v>
      </c>
      <c r="EG26" s="29">
        <f t="shared" si="29"/>
        <v>600</v>
      </c>
      <c r="EH26" s="29">
        <f>Buckets_1_24[[#This Row],[Capacity]]-Buckets_1_24[[#This Row],[After T]]</f>
        <v>31.869999999999891</v>
      </c>
      <c r="EI26" s="29">
        <f>MAX(-Buckets_1_24[[#This Row],[Cap Diff]], 0)</f>
        <v>0</v>
      </c>
      <c r="EJ26" s="29">
        <f>Buckets_1_24[[#This Row],[After T]]-Buckets_1_24[[#This Row],[Slush]]</f>
        <v>568.13000000000011</v>
      </c>
      <c r="EK26" s="29">
        <f>Buckets_1_24[[#This Row],[Capacity]]-Buckets_1_24[[#This Row],[Before Fill]]</f>
        <v>31.869999999999891</v>
      </c>
      <c r="EL26" t="b">
        <f>OR(EB26, Buckets_1_24[[#This Row],[After T]]&lt;0)</f>
        <v>0</v>
      </c>
      <c r="EM26" s="29">
        <f>IF(Buckets_1_24[[#This Row],[Is Crit]], Buckets_1_24[[#This Row],[S Cap Diff]], 0)</f>
        <v>0</v>
      </c>
      <c r="EN26" s="29">
        <f>Buckets_1_24[[#This Row],[Before Fill]]+Buckets_1_24[[#This Row],[Crit To Fill]]</f>
        <v>568.13000000000011</v>
      </c>
      <c r="EO26" s="29">
        <f>IF(NOT(Buckets_1_24[[#This Row],[Is Crit]]), Buckets_1_24[[#This Row],[S Cap Diff]], 0)</f>
        <v>31.869999999999891</v>
      </c>
      <c r="EP26" s="29">
        <f>ROUND(EN$41/Buckets_1_24[[#Totals],[NC To Fill]]*Buckets_1_24[[#This Row],[NC To Fill]], 2)</f>
        <v>19.57</v>
      </c>
      <c r="EQ26" s="31">
        <f>Buckets_1_24[[#This Row],[Pre Scale]] + IF($D26="Unexpected Fund", EN42-Buckets_1_24[[#Totals],[Pre Scale]], 0)</f>
        <v>19.57</v>
      </c>
      <c r="ER26" s="31">
        <f>Buckets_1_24[[#This Row],[Crit Filled]]+Buckets_1_24[[#This Row],[Scaled]]</f>
        <v>587.70000000000016</v>
      </c>
      <c r="ES26" s="31">
        <f>Buckets_1_24[[#This Row],[NC Filled]]</f>
        <v>587.70000000000016</v>
      </c>
      <c r="ET26" s="31">
        <f>Buckets_1_24[[#This Row],[Capacity]]-Buckets_1_24[[#This Row],[Final]]</f>
        <v>12.299999999999841</v>
      </c>
      <c r="EU26" s="33">
        <f>IF(Buckets_1_24[[#This Row],[Capacity]]=0, 1, Buckets_1_24[[#This Row],[Final]]/Buckets_1_24[[#This Row],[Capacity]])</f>
        <v>0.97950000000000026</v>
      </c>
      <c r="EW26" s="40">
        <f>Buckets_1_24[[#This Row],[Final]]</f>
        <v>587.70000000000016</v>
      </c>
      <c r="EX26" s="40">
        <f>Buckets_1_24[[#This Row],[Capacity]]</f>
        <v>600</v>
      </c>
      <c r="EY26" s="41" t="b">
        <f t="shared" si="30"/>
        <v>0</v>
      </c>
      <c r="EZ26" s="42"/>
      <c r="FA26" s="42"/>
      <c r="FB26" s="42"/>
      <c r="FC26" s="42"/>
      <c r="FD26" s="43"/>
      <c r="FE26" s="40">
        <f t="shared" si="31"/>
        <v>587.70000000000016</v>
      </c>
      <c r="FF26" s="40">
        <f t="shared" si="32"/>
        <v>600</v>
      </c>
      <c r="FG26" s="41" t="b">
        <f t="shared" si="5"/>
        <v>0</v>
      </c>
      <c r="FI26" s="29">
        <f t="shared" si="33"/>
        <v>587.70000000000016</v>
      </c>
      <c r="FJ26" s="29">
        <f>GetTransactionTotal(AggregateTable2024[], AggregateTable2024[Start], FI$1, AggregateTable2024[#Headers], $D26)</f>
        <v>-173.02</v>
      </c>
      <c r="FK26" s="29">
        <f>Buckets_2_24[[#This Row],[Start]]+Buckets_2_24[[#This Row],[Transactions]]</f>
        <v>414.68000000000018</v>
      </c>
      <c r="FL26" s="29">
        <f t="shared" si="34"/>
        <v>600</v>
      </c>
      <c r="FM26" s="29">
        <f>Buckets_2_24[[#This Row],[Capacity]]-Buckets_2_24[[#This Row],[After T]]</f>
        <v>185.31999999999982</v>
      </c>
      <c r="FN26" s="29">
        <f>MAX(-Buckets_2_24[[#This Row],[Cap Diff]], 0)</f>
        <v>0</v>
      </c>
      <c r="FO26" s="29">
        <f>Buckets_2_24[[#This Row],[After T]]-Buckets_2_24[[#This Row],[Slush]]</f>
        <v>414.68000000000018</v>
      </c>
      <c r="FP26" s="29">
        <f>Buckets_2_24[[#This Row],[Capacity]]-Buckets_2_24[[#This Row],[Before Fill]]</f>
        <v>185.31999999999982</v>
      </c>
      <c r="FQ26" t="b">
        <f>OR(FG26, Buckets_2_24[[#This Row],[After T]]&lt;0)</f>
        <v>0</v>
      </c>
      <c r="FR26" s="29">
        <f>IF(Buckets_2_24[[#This Row],[Is Crit]], Buckets_2_24[[#This Row],[S Cap Diff]], 0)</f>
        <v>0</v>
      </c>
      <c r="FS26" s="29">
        <f>Buckets_2_24[[#This Row],[Before Fill]]+Buckets_2_24[[#This Row],[Crit To Fill]]</f>
        <v>414.68000000000018</v>
      </c>
      <c r="FT26" s="29">
        <f>IF(NOT(Buckets_2_24[[#This Row],[Is Crit]]), Buckets_2_24[[#This Row],[S Cap Diff]], 0)</f>
        <v>185.31999999999982</v>
      </c>
      <c r="FU26" s="29">
        <f>ROUND(FS$41/Buckets_2_24[[#Totals],[NC To Fill]]*Buckets_2_24[[#This Row],[NC To Fill]], 2)</f>
        <v>178.53</v>
      </c>
      <c r="FV26" s="31">
        <f>Buckets_2_24[[#This Row],[Pre Scale]] + IF($D26="Unexpected Fund", FS42-Buckets_2_24[[#Totals],[Pre Scale]], 0)</f>
        <v>178.53</v>
      </c>
      <c r="FW26" s="31">
        <f>Buckets_2_24[[#This Row],[Crit Filled]]+Buckets_2_24[[#This Row],[Scaled]]</f>
        <v>593.21000000000015</v>
      </c>
      <c r="FX26" s="31">
        <f>Buckets_2_24[[#This Row],[NC Filled]]</f>
        <v>593.21000000000015</v>
      </c>
      <c r="FY26" s="31">
        <f>Buckets_2_24[[#This Row],[Capacity]]-Buckets_2_24[[#This Row],[Final]]</f>
        <v>6.7899999999998499</v>
      </c>
      <c r="FZ26" s="33">
        <f>IF(Buckets_2_24[[#This Row],[Capacity]]=0, 1, Buckets_2_24[[#This Row],[Final]]/Buckets_2_24[[#This Row],[Capacity]])</f>
        <v>0.98868333333333358</v>
      </c>
      <c r="GB26" s="40">
        <f>Buckets_2_24[[#This Row],[Final]]</f>
        <v>593.21000000000015</v>
      </c>
      <c r="GC26" s="40">
        <f>Buckets_2_24[[#This Row],[Capacity]]</f>
        <v>600</v>
      </c>
      <c r="GD26" s="41" t="b">
        <f t="shared" si="35"/>
        <v>0</v>
      </c>
      <c r="GE26" s="42"/>
      <c r="GF26" s="42"/>
      <c r="GG26" s="42"/>
      <c r="GH26" s="42">
        <v>1000</v>
      </c>
      <c r="GI26" s="43"/>
      <c r="GJ26" s="40">
        <f t="shared" si="36"/>
        <v>593.21000000000015</v>
      </c>
      <c r="GK26" s="40">
        <f t="shared" si="37"/>
        <v>1000</v>
      </c>
      <c r="GL26" s="41" t="b">
        <f t="shared" si="6"/>
        <v>0</v>
      </c>
      <c r="GN26" s="29">
        <f t="shared" si="38"/>
        <v>593.21000000000015</v>
      </c>
      <c r="GO26" s="29">
        <f>GetTransactionTotal(AggregateTable2024[], AggregateTable2024[Start], GN$1, AggregateTable2024[#Headers], $D26)</f>
        <v>-70</v>
      </c>
      <c r="GP26" s="29">
        <f>Buckets_3_24[[#This Row],[Start]]+Buckets_3_24[[#This Row],[Transactions]]</f>
        <v>523.21000000000015</v>
      </c>
      <c r="GQ26" s="29">
        <f t="shared" si="39"/>
        <v>1000</v>
      </c>
      <c r="GR26" s="29">
        <f>Buckets_3_24[[#This Row],[Capacity]]-Buckets_3_24[[#This Row],[After T]]</f>
        <v>476.78999999999985</v>
      </c>
      <c r="GS26" s="29">
        <f>MAX(-Buckets_3_24[[#This Row],[Cap Diff]], 0)</f>
        <v>0</v>
      </c>
      <c r="GT26" s="29">
        <f>Buckets_3_24[[#This Row],[After T]]-Buckets_3_24[[#This Row],[Slush]]</f>
        <v>523.21000000000015</v>
      </c>
      <c r="GU26" s="29">
        <f>Buckets_3_24[[#This Row],[Capacity]]-Buckets_3_24[[#This Row],[Before Fill]]</f>
        <v>476.78999999999985</v>
      </c>
      <c r="GV26" t="b">
        <f>OR(GL26, Buckets_3_24[[#This Row],[After T]]&lt;0)</f>
        <v>0</v>
      </c>
      <c r="GW26" s="29">
        <f>IF(Buckets_3_24[[#This Row],[Is Crit]], Buckets_3_24[[#This Row],[S Cap Diff]], 0)</f>
        <v>0</v>
      </c>
      <c r="GX26" s="29">
        <f>Buckets_3_24[[#This Row],[Before Fill]]+Buckets_3_24[[#This Row],[Crit To Fill]]</f>
        <v>523.21000000000015</v>
      </c>
      <c r="GY26" s="29">
        <f>IF(NOT(Buckets_3_24[[#This Row],[Is Crit]]), Buckets_3_24[[#This Row],[S Cap Diff]], 0)</f>
        <v>476.78999999999985</v>
      </c>
      <c r="GZ26" s="29">
        <f>ROUND(GX$41/Buckets_3_24[[#Totals],[NC To Fill]]*Buckets_3_24[[#This Row],[NC To Fill]], 2)</f>
        <v>463.08</v>
      </c>
      <c r="HA26" s="31">
        <f>Buckets_3_24[[#This Row],[Pre Scale]] + IF($D26="Unexpected Fund", GX42-Buckets_3_24[[#Totals],[Pre Scale]], 0)</f>
        <v>463.08</v>
      </c>
      <c r="HB26" s="31">
        <f>Buckets_3_24[[#This Row],[Crit Filled]]+Buckets_3_24[[#This Row],[Scaled]]</f>
        <v>986.29000000000019</v>
      </c>
      <c r="HC26" s="31">
        <f>Buckets_3_24[[#This Row],[NC Filled]]</f>
        <v>986.29000000000019</v>
      </c>
      <c r="HD26" s="31">
        <f>Buckets_3_24[[#This Row],[Capacity]]-Buckets_3_24[[#This Row],[Final]]</f>
        <v>13.709999999999809</v>
      </c>
      <c r="HE26" s="33">
        <f>IF(Buckets_3_24[[#This Row],[Capacity]]=0, 1, Buckets_3_24[[#This Row],[Final]]/Buckets_3_24[[#This Row],[Capacity]])</f>
        <v>0.98629000000000022</v>
      </c>
      <c r="HG26" s="40">
        <f>Buckets_3_24[[#This Row],[Final]]</f>
        <v>986.29000000000019</v>
      </c>
      <c r="HH26" s="40">
        <f>Buckets_3_24[[#This Row],[Capacity]]</f>
        <v>1000</v>
      </c>
      <c r="HI26" s="41" t="b">
        <f t="shared" si="40"/>
        <v>0</v>
      </c>
      <c r="HJ26" s="42"/>
      <c r="HK26" s="42"/>
      <c r="HL26" s="42"/>
      <c r="HM26" s="42"/>
      <c r="HN26" s="43"/>
      <c r="HO26" s="40">
        <f t="shared" si="41"/>
        <v>986.29000000000019</v>
      </c>
      <c r="HP26" s="40">
        <f t="shared" si="42"/>
        <v>1000</v>
      </c>
      <c r="HQ26" s="41" t="b">
        <f t="shared" si="7"/>
        <v>0</v>
      </c>
      <c r="HS26" s="29">
        <f t="shared" si="43"/>
        <v>986.29000000000019</v>
      </c>
      <c r="HT26" s="29">
        <f>GetTransactionTotal(AggregateTable2024[], AggregateTable2024[Start], HS$1, AggregateTable2024[#Headers], $D26)</f>
        <v>-109.15</v>
      </c>
      <c r="HU26" s="29">
        <f>Buckets_4_24[[#This Row],[Start]]+Buckets_4_24[[#This Row],[Transactions]]</f>
        <v>877.14000000000021</v>
      </c>
      <c r="HV26" s="29">
        <f t="shared" si="44"/>
        <v>1000</v>
      </c>
      <c r="HW26" s="29">
        <f>Buckets_4_24[[#This Row],[Capacity]]-Buckets_4_24[[#This Row],[After T]]</f>
        <v>122.85999999999979</v>
      </c>
      <c r="HX26" s="29">
        <f>MAX(-Buckets_4_24[[#This Row],[Cap Diff]], 0)</f>
        <v>0</v>
      </c>
      <c r="HY26" s="29">
        <f>Buckets_4_24[[#This Row],[After T]]-Buckets_4_24[[#This Row],[Slush]]</f>
        <v>877.14000000000021</v>
      </c>
      <c r="HZ26" s="29">
        <f>Buckets_4_24[[#This Row],[Capacity]]-Buckets_4_24[[#This Row],[Before Fill]]</f>
        <v>122.85999999999979</v>
      </c>
      <c r="IA26" t="b">
        <f>OR(HQ26, Buckets_4_24[[#This Row],[After T]]&lt;0)</f>
        <v>0</v>
      </c>
      <c r="IB26" s="29">
        <f>IF(Buckets_4_24[[#This Row],[Is Crit]], Buckets_4_24[[#This Row],[S Cap Diff]], 0)</f>
        <v>0</v>
      </c>
      <c r="IC26" s="29">
        <f>Buckets_4_24[[#This Row],[Before Fill]]+Buckets_4_24[[#This Row],[Crit To Fill]]</f>
        <v>877.14000000000021</v>
      </c>
      <c r="ID26" s="29">
        <f>IF(NOT(Buckets_4_24[[#This Row],[Is Crit]]), Buckets_4_24[[#This Row],[S Cap Diff]], 0)</f>
        <v>122.85999999999979</v>
      </c>
      <c r="IE26" s="29">
        <f>ROUND(IC$41/Buckets_4_24[[#Totals],[NC To Fill]]*Buckets_4_24[[#This Row],[NC To Fill]], 2)</f>
        <v>80.180000000000007</v>
      </c>
      <c r="IF26" s="31">
        <f>Buckets_4_24[[#This Row],[Pre Scale]] + IF($D26="Unexpected Fund", IC42-Buckets_4_24[[#Totals],[Pre Scale]], 0)</f>
        <v>80.180000000000007</v>
      </c>
      <c r="IG26" s="31">
        <f>Buckets_4_24[[#This Row],[Crit Filled]]+Buckets_4_24[[#This Row],[Scaled]]</f>
        <v>957.32000000000016</v>
      </c>
      <c r="IH26" s="31">
        <f>Buckets_4_24[[#This Row],[NC Filled]]</f>
        <v>957.32000000000016</v>
      </c>
      <c r="II26" s="31">
        <f>Buckets_4_24[[#This Row],[Capacity]]-Buckets_4_24[[#This Row],[Final]]</f>
        <v>42.679999999999836</v>
      </c>
      <c r="IJ26" s="33">
        <f>IF(Buckets_4_24[[#This Row],[Capacity]]=0, 1, Buckets_4_24[[#This Row],[Final]]/Buckets_4_24[[#This Row],[Capacity]])</f>
        <v>0.95732000000000017</v>
      </c>
      <c r="IL26" s="40">
        <f>Buckets_4_24[[#This Row],[Final]]</f>
        <v>957.32000000000016</v>
      </c>
      <c r="IM26" s="40">
        <f>Buckets_4_24[[#This Row],[Capacity]]</f>
        <v>1000</v>
      </c>
      <c r="IN26" s="41" t="b">
        <f t="shared" si="45"/>
        <v>0</v>
      </c>
      <c r="IO26" s="42"/>
      <c r="IP26" s="42"/>
      <c r="IQ26" s="42"/>
      <c r="IR26" s="42"/>
      <c r="IS26" s="43"/>
      <c r="IT26" s="40">
        <f t="shared" si="46"/>
        <v>957.32000000000016</v>
      </c>
      <c r="IU26" s="40">
        <f t="shared" si="47"/>
        <v>1000</v>
      </c>
      <c r="IV26" s="41" t="b">
        <f t="shared" si="8"/>
        <v>0</v>
      </c>
    </row>
    <row r="27" spans="1:256" x14ac:dyDescent="0.25">
      <c r="A27" s="49"/>
      <c r="B27" t="s">
        <v>326</v>
      </c>
      <c r="C27" t="s">
        <v>320</v>
      </c>
      <c r="D27" t="s">
        <v>302</v>
      </c>
      <c r="F27" s="30">
        <v>0</v>
      </c>
      <c r="G27" s="38">
        <v>100</v>
      </c>
      <c r="H27" t="b">
        <v>1</v>
      </c>
      <c r="J27" s="50">
        <f t="shared" si="9"/>
        <v>0</v>
      </c>
      <c r="K27" s="50">
        <f>GetTransactionTotal(AggregateTable2023[], AggregateTable2023[Start], J$1, AggregateTable2023[#Headers], $D27)</f>
        <v>0</v>
      </c>
      <c r="L27" s="50">
        <f>Buckets_9_23[[#This Row],[Start]]+Buckets_9_23[[#This Row],[Transactions]]</f>
        <v>0</v>
      </c>
      <c r="M27" s="50">
        <f t="shared" si="10"/>
        <v>100</v>
      </c>
      <c r="N27" s="50">
        <f>Buckets_9_23[[#This Row],[Capacity]]-Buckets_9_23[[#This Row],[After T]]</f>
        <v>100</v>
      </c>
      <c r="O27" s="50">
        <f>IF(Buckets_9_23[[#This Row],[After T]]&lt;0, Buckets_9_23[[#This Row],[After T]], IF(Buckets_9_23[[#This Row],[Cap Diff]]&lt;0, -Buckets_9_23[[#This Row],[Cap Diff]], 0))</f>
        <v>0</v>
      </c>
      <c r="P27" s="50">
        <f>Buckets_9_23[[#This Row],[After T]]-Buckets_9_23[[#This Row],[Slush]]</f>
        <v>0</v>
      </c>
      <c r="Q27" s="50">
        <f>Buckets_9_23[[#This Row],[Capacity]]-Buckets_9_23[[#This Row],[Before Fill]]</f>
        <v>100</v>
      </c>
      <c r="R27" s="31" t="b">
        <f t="shared" si="0"/>
        <v>1</v>
      </c>
      <c r="S27" s="50">
        <f>IF(Buckets_9_23[[#This Row],[Is Crit]], Buckets_9_23[[#This Row],[S Cap Diff]], 0)</f>
        <v>100</v>
      </c>
      <c r="T27" s="50">
        <f>Buckets_9_23[[#This Row],[Before Fill]]+Buckets_9_23[[#This Row],[Crit To Fill]]</f>
        <v>100</v>
      </c>
      <c r="U27" s="50">
        <f>IF(NOT(Buckets_9_23[[#This Row],[Is Crit]]), Buckets_9_23[[#This Row],[S Cap Diff]], 0)</f>
        <v>0</v>
      </c>
      <c r="V27" s="50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A27" s="51">
        <f>IF(Buckets_9_23[[#This Row],[Capacity]]=0, 1, Buckets_9_23[[#This Row],[Final]]/Buckets_9_23[[#This Row],[Capacity]])</f>
        <v>1</v>
      </c>
      <c r="AC27" s="31">
        <f>Buckets_9_23[[#This Row],[Final]]</f>
        <v>100</v>
      </c>
      <c r="AD27" s="31">
        <f>Buckets_9_23[[#This Row],[Capacity]]</f>
        <v>100</v>
      </c>
      <c r="AE27" t="b">
        <f>H27</f>
        <v>1</v>
      </c>
      <c r="AF27" s="43"/>
      <c r="AG27" s="42"/>
      <c r="AH27" s="43"/>
      <c r="AI27" s="42"/>
      <c r="AJ27" s="43"/>
      <c r="AK27" s="40">
        <f t="shared" si="11"/>
        <v>100</v>
      </c>
      <c r="AL27" s="40">
        <f t="shared" si="12"/>
        <v>100</v>
      </c>
      <c r="AM27" s="41" t="b">
        <f t="shared" si="1"/>
        <v>1</v>
      </c>
      <c r="AO27" s="29">
        <f t="shared" si="13"/>
        <v>100</v>
      </c>
      <c r="AP27" s="29">
        <f>GetTransactionTotal(AggregateTable2023[], AggregateTable2023[Start], AO$1, AggregateTable2023[#Headers], $D27)</f>
        <v>0</v>
      </c>
      <c r="AQ27" s="29">
        <f>Buckets_10_23[[#This Row],[Start]]+Buckets_10_23[[#This Row],[Transactions]]</f>
        <v>100</v>
      </c>
      <c r="AR27" s="29">
        <f t="shared" si="14"/>
        <v>100</v>
      </c>
      <c r="AS27" s="29">
        <f>Buckets_10_23[[#This Row],[Capacity]]-Buckets_10_23[[#This Row],[After T]]</f>
        <v>0</v>
      </c>
      <c r="AT27" s="29">
        <f>MAX(-Buckets_10_23[[#This Row],[Cap Diff]], 0)</f>
        <v>0</v>
      </c>
      <c r="AU27" s="29">
        <f>Buckets_10_23[[#This Row],[After T]]-Buckets_10_23[[#This Row],[Slush]]</f>
        <v>100</v>
      </c>
      <c r="AV27" s="29">
        <f>Buckets_10_23[[#This Row],[Capacity]]-Buckets_10_23[[#This Row],[Before Fill]]</f>
        <v>0</v>
      </c>
      <c r="AW27" t="b">
        <f>OR(AM27, Buckets_10_23[[#This Row],[After T]]&lt;0)</f>
        <v>1</v>
      </c>
      <c r="AX27" s="29">
        <f>IF(Buckets_10_23[[#This Row],[Is Crit]], Buckets_10_23[[#This Row],[S Cap Diff]], 0)</f>
        <v>0</v>
      </c>
      <c r="AY27" s="29">
        <f>Buckets_10_23[[#This Row],[Before Fill]]+Buckets_10_23[[#This Row],[Crit To Fill]]</f>
        <v>100</v>
      </c>
      <c r="AZ27" s="29">
        <f>IF(NOT(Buckets_10_23[[#This Row],[Is Crit]]), Buckets_10_23[[#This Row],[S Cap Diff]], 0)</f>
        <v>0</v>
      </c>
      <c r="BA27" s="29">
        <f>ROUND(AY$41/Buckets_10_23[[#Totals],[NC To Fill]]*Buckets_10_23[[#This Row],[NC To Fill]], 2)</f>
        <v>0</v>
      </c>
      <c r="BB27" s="31">
        <f>Buckets_10_23[[#This Row],[Pre Scale]] + IF($D27="Unexpected Fund", AY43-Buckets_10_23[[#Totals],[Pre Scale]], 0)</f>
        <v>0</v>
      </c>
      <c r="BC27" s="31">
        <f>Buckets_10_23[[#This Row],[Crit Filled]]+Buckets_10_23[[#This Row],[Scaled]]</f>
        <v>100</v>
      </c>
      <c r="BD27" s="31">
        <f>Buckets_10_23[[#This Row],[NC Filled]]</f>
        <v>100</v>
      </c>
      <c r="BE27" s="31">
        <f>Buckets_10_23[[#This Row],[Capacity]]-Buckets_10_23[[#This Row],[Final]]</f>
        <v>0</v>
      </c>
      <c r="BF27" s="33">
        <f>IF(Buckets_10_23[[#This Row],[Capacity]]=0, 1, Buckets_10_23[[#This Row],[Final]]/Buckets_10_23[[#This Row],[Capacity]])</f>
        <v>1</v>
      </c>
      <c r="BH27" s="31">
        <f>Buckets_10_23[[#This Row],[Final]]</f>
        <v>100</v>
      </c>
      <c r="BI27" s="31">
        <f>Buckets_10_23[[#This Row],[Capacity]]</f>
        <v>100</v>
      </c>
      <c r="BJ27" t="b">
        <f t="shared" si="15"/>
        <v>1</v>
      </c>
      <c r="BK27" s="43"/>
      <c r="BL27" s="42"/>
      <c r="BM27" s="43"/>
      <c r="BN27" s="42"/>
      <c r="BO27" s="43"/>
      <c r="BP27" s="40">
        <f t="shared" si="16"/>
        <v>100</v>
      </c>
      <c r="BQ27" s="40">
        <f t="shared" si="17"/>
        <v>100</v>
      </c>
      <c r="BR27" s="41" t="b">
        <f t="shared" si="2"/>
        <v>1</v>
      </c>
      <c r="BT27" s="29">
        <f t="shared" si="18"/>
        <v>100</v>
      </c>
      <c r="BU27" s="29">
        <f>GetTransactionTotal(AggregateTable2023[], AggregateTable2023[Start], BT$1, AggregateTable2023[#Headers], $D27)</f>
        <v>0</v>
      </c>
      <c r="BV27" s="29">
        <f>Buckets_11_23[[#This Row],[Start]]+Buckets_11_23[[#This Row],[Transactions]]</f>
        <v>100</v>
      </c>
      <c r="BW27" s="29">
        <f t="shared" si="19"/>
        <v>100</v>
      </c>
      <c r="BX27" s="29">
        <f>Buckets_11_23[[#This Row],[Capacity]]-Buckets_11_23[[#This Row],[After T]]</f>
        <v>0</v>
      </c>
      <c r="BY27" s="29">
        <f>MAX(-Buckets_11_23[[#This Row],[Cap Diff]], 0)</f>
        <v>0</v>
      </c>
      <c r="BZ27" s="29">
        <f>Buckets_11_23[[#This Row],[After T]]-Buckets_11_23[[#This Row],[Slush]]</f>
        <v>100</v>
      </c>
      <c r="CA27" s="29">
        <f>Buckets_11_23[[#This Row],[Capacity]]-Buckets_11_23[[#This Row],[Before Fill]]</f>
        <v>0</v>
      </c>
      <c r="CB27" t="b">
        <f>OR(BR27, Buckets_11_23[[#This Row],[After T]]&lt;0)</f>
        <v>1</v>
      </c>
      <c r="CC27" s="29">
        <f>IF(Buckets_11_23[[#This Row],[Is Crit]], Buckets_11_23[[#This Row],[S Cap Diff]], 0)</f>
        <v>0</v>
      </c>
      <c r="CD27" s="29">
        <f>Buckets_11_23[[#This Row],[Before Fill]]+Buckets_11_23[[#This Row],[Crit To Fill]]</f>
        <v>100</v>
      </c>
      <c r="CE27" s="29">
        <f>IF(NOT(Buckets_11_23[[#This Row],[Is Crit]]), Buckets_11_23[[#This Row],[S Cap Diff]], 0)</f>
        <v>0</v>
      </c>
      <c r="CF27" s="29">
        <f>ROUND(CD$41/Buckets_11_23[[#Totals],[NC To Fill]]*Buckets_11_23[[#This Row],[NC To Fill]], 2)</f>
        <v>0</v>
      </c>
      <c r="CG27" s="31">
        <f>Buckets_11_23[[#This Row],[Pre Scale]] + IF($D27="Unexpected Fund", CD43-Buckets_11_23[[#Totals],[Pre Scale]], 0)</f>
        <v>0</v>
      </c>
      <c r="CH27" s="31">
        <f>Buckets_11_23[[#This Row],[Crit Filled]]+Buckets_11_23[[#This Row],[Scaled]]</f>
        <v>100</v>
      </c>
      <c r="CI27" s="31">
        <f>Buckets_11_23[[#This Row],[NC Filled]]</f>
        <v>100</v>
      </c>
      <c r="CJ27" s="31">
        <f>Buckets_11_23[[#This Row],[Capacity]]-Buckets_11_23[[#This Row],[Final]]</f>
        <v>0</v>
      </c>
      <c r="CK27" s="33">
        <f>IF(Buckets_11_23[[#This Row],[Capacity]]=0, 1, Buckets_11_23[[#This Row],[Final]]/Buckets_11_23[[#This Row],[Capacity]])</f>
        <v>1</v>
      </c>
      <c r="CM27" s="40">
        <f>Buckets_11_23[[#This Row],[Final]]</f>
        <v>100</v>
      </c>
      <c r="CN27" s="40">
        <f>Buckets_11_23[[#This Row],[Capacity]]</f>
        <v>100</v>
      </c>
      <c r="CO27" s="41" t="b">
        <f t="shared" si="20"/>
        <v>1</v>
      </c>
      <c r="CP27" s="42"/>
      <c r="CQ27" s="42"/>
      <c r="CR27" s="42"/>
      <c r="CS27" s="42"/>
      <c r="CT27" s="43"/>
      <c r="CU27" s="40">
        <f t="shared" si="21"/>
        <v>100</v>
      </c>
      <c r="CV27" s="40">
        <f t="shared" si="22"/>
        <v>100</v>
      </c>
      <c r="CW27" s="41" t="b">
        <f t="shared" si="3"/>
        <v>1</v>
      </c>
      <c r="CY27" s="29">
        <f t="shared" si="23"/>
        <v>100</v>
      </c>
      <c r="CZ27" s="29">
        <f>GetTransactionTotal(AggregateTable2023[], AggregateTable2023[Start], CY$1, AggregateTable2023[#Headers], $D27)</f>
        <v>0</v>
      </c>
      <c r="DA27" s="29">
        <f>Buckets_12_23[[#This Row],[Start]]+Buckets_12_23[[#This Row],[Transactions]]</f>
        <v>100</v>
      </c>
      <c r="DB27" s="29">
        <f t="shared" si="24"/>
        <v>100</v>
      </c>
      <c r="DC27" s="29">
        <f>Buckets_12_23[[#This Row],[Capacity]]-Buckets_12_23[[#This Row],[After T]]</f>
        <v>0</v>
      </c>
      <c r="DD27" s="29">
        <f>MAX(-Buckets_12_23[[#This Row],[Cap Diff]], 0)</f>
        <v>0</v>
      </c>
      <c r="DE27" s="29">
        <f>Buckets_12_23[[#This Row],[After T]]-Buckets_12_23[[#This Row],[Slush]]</f>
        <v>100</v>
      </c>
      <c r="DF27" s="29">
        <f>Buckets_12_23[[#This Row],[Capacity]]-Buckets_12_23[[#This Row],[Before Fill]]</f>
        <v>0</v>
      </c>
      <c r="DG27" t="b">
        <f>OR(CW27, Buckets_12_23[[#This Row],[After T]]&lt;0)</f>
        <v>1</v>
      </c>
      <c r="DH27" s="29">
        <f>IF(Buckets_12_23[[#This Row],[Is Crit]], Buckets_12_23[[#This Row],[S Cap Diff]], 0)</f>
        <v>0</v>
      </c>
      <c r="DI27" s="29">
        <f>Buckets_12_23[[#This Row],[Before Fill]]+Buckets_12_23[[#This Row],[Crit To Fill]]</f>
        <v>100</v>
      </c>
      <c r="DJ27" s="29">
        <f>IF(NOT(Buckets_12_23[[#This Row],[Is Crit]]), Buckets_12_23[[#This Row],[S Cap Diff]], 0)</f>
        <v>0</v>
      </c>
      <c r="DK27" s="29">
        <f>ROUND(DI$41/Buckets_12_23[[#Totals],[NC To Fill]]*Buckets_12_23[[#This Row],[NC To Fill]], 2)</f>
        <v>0</v>
      </c>
      <c r="DL27" s="31">
        <f>Buckets_12_23[[#This Row],[Pre Scale]] + IF($D27="Unexpected Fund", DI43-Buckets_12_23[[#Totals],[Pre Scale]], 0)</f>
        <v>0</v>
      </c>
      <c r="DM27" s="31">
        <f>Buckets_12_23[[#This Row],[Crit Filled]]+Buckets_12_23[[#This Row],[Scaled]]</f>
        <v>100</v>
      </c>
      <c r="DN27" s="31">
        <f>Buckets_12_23[[#This Row],[NC Filled]]</f>
        <v>100</v>
      </c>
      <c r="DO27" s="31">
        <f>Buckets_12_23[[#This Row],[Capacity]]-Buckets_12_23[[#This Row],[Final]]</f>
        <v>0</v>
      </c>
      <c r="DP27" s="33">
        <f>IF(Buckets_12_23[[#This Row],[Capacity]]=0, 1, Buckets_12_23[[#This Row],[Final]]/Buckets_12_23[[#This Row],[Capacity]])</f>
        <v>1</v>
      </c>
      <c r="DR27" s="40">
        <f>Buckets_12_23[[#This Row],[Final]]</f>
        <v>100</v>
      </c>
      <c r="DS27" s="40">
        <f>Buckets_12_23[[#This Row],[Capacity]]</f>
        <v>100</v>
      </c>
      <c r="DT27" s="41" t="b">
        <f t="shared" si="25"/>
        <v>1</v>
      </c>
      <c r="DU27" s="42"/>
      <c r="DV27" s="42"/>
      <c r="DW27" s="42"/>
      <c r="DX27" s="42"/>
      <c r="DY27" s="43"/>
      <c r="DZ27" s="40">
        <f t="shared" si="26"/>
        <v>100</v>
      </c>
      <c r="EA27" s="40">
        <f t="shared" si="27"/>
        <v>100</v>
      </c>
      <c r="EB27" s="41" t="b">
        <f t="shared" si="4"/>
        <v>1</v>
      </c>
      <c r="ED27" s="29">
        <f t="shared" si="28"/>
        <v>100</v>
      </c>
      <c r="EE27" s="29">
        <f>GetTransactionTotal(AggregateTable2024[], AggregateTable2024[Start], ED$1, AggregateTable2024[#Headers], $D27)</f>
        <v>0</v>
      </c>
      <c r="EF27" s="29">
        <f>Buckets_1_24[[#This Row],[Start]]+Buckets_1_24[[#This Row],[Transactions]]</f>
        <v>100</v>
      </c>
      <c r="EG27" s="29">
        <f t="shared" si="29"/>
        <v>100</v>
      </c>
      <c r="EH27" s="29">
        <f>Buckets_1_24[[#This Row],[Capacity]]-Buckets_1_24[[#This Row],[After T]]</f>
        <v>0</v>
      </c>
      <c r="EI27" s="29">
        <f>MAX(-Buckets_1_24[[#This Row],[Cap Diff]], 0)</f>
        <v>0</v>
      </c>
      <c r="EJ27" s="29">
        <f>Buckets_1_24[[#This Row],[After T]]-Buckets_1_24[[#This Row],[Slush]]</f>
        <v>100</v>
      </c>
      <c r="EK27" s="29">
        <f>Buckets_1_24[[#This Row],[Capacity]]-Buckets_1_24[[#This Row],[Before Fill]]</f>
        <v>0</v>
      </c>
      <c r="EL27" t="b">
        <f>OR(EB27, Buckets_1_24[[#This Row],[After T]]&lt;0)</f>
        <v>1</v>
      </c>
      <c r="EM27" s="29">
        <f>IF(Buckets_1_24[[#This Row],[Is Crit]], Buckets_1_24[[#This Row],[S Cap Diff]], 0)</f>
        <v>0</v>
      </c>
      <c r="EN27" s="29">
        <f>Buckets_1_24[[#This Row],[Before Fill]]+Buckets_1_24[[#This Row],[Crit To Fill]]</f>
        <v>100</v>
      </c>
      <c r="EO27" s="29">
        <f>IF(NOT(Buckets_1_24[[#This Row],[Is Crit]]), Buckets_1_24[[#This Row],[S Cap Diff]], 0)</f>
        <v>0</v>
      </c>
      <c r="EP27" s="29">
        <f>ROUND(EN$41/Buckets_1_24[[#Totals],[NC To Fill]]*Buckets_1_24[[#This Row],[NC To Fill]], 2)</f>
        <v>0</v>
      </c>
      <c r="EQ27" s="31">
        <f>Buckets_1_24[[#This Row],[Pre Scale]] + IF($D27="Unexpected Fund", EN43-Buckets_1_24[[#Totals],[Pre Scale]], 0)</f>
        <v>0</v>
      </c>
      <c r="ER27" s="31">
        <f>Buckets_1_24[[#This Row],[Crit Filled]]+Buckets_1_24[[#This Row],[Scaled]]</f>
        <v>100</v>
      </c>
      <c r="ES27" s="31">
        <f>Buckets_1_24[[#This Row],[NC Filled]]</f>
        <v>100</v>
      </c>
      <c r="ET27" s="31">
        <f>Buckets_1_24[[#This Row],[Capacity]]-Buckets_1_24[[#This Row],[Final]]</f>
        <v>0</v>
      </c>
      <c r="EU27" s="33">
        <f>IF(Buckets_1_24[[#This Row],[Capacity]]=0, 1, Buckets_1_24[[#This Row],[Final]]/Buckets_1_24[[#This Row],[Capacity]])</f>
        <v>1</v>
      </c>
      <c r="EW27" s="40">
        <f>Buckets_1_24[[#This Row],[Final]]</f>
        <v>100</v>
      </c>
      <c r="EX27" s="40">
        <f>Buckets_1_24[[#This Row],[Capacity]]</f>
        <v>100</v>
      </c>
      <c r="EY27" s="41" t="b">
        <f t="shared" si="30"/>
        <v>1</v>
      </c>
      <c r="EZ27" s="42"/>
      <c r="FA27" s="42"/>
      <c r="FB27" s="42"/>
      <c r="FC27" s="42"/>
      <c r="FD27" s="43"/>
      <c r="FE27" s="40">
        <f t="shared" si="31"/>
        <v>100</v>
      </c>
      <c r="FF27" s="40">
        <f t="shared" si="32"/>
        <v>100</v>
      </c>
      <c r="FG27" s="41" t="b">
        <f t="shared" si="5"/>
        <v>1</v>
      </c>
      <c r="FI27" s="29">
        <f t="shared" si="33"/>
        <v>100</v>
      </c>
      <c r="FJ27" s="29">
        <f>GetTransactionTotal(AggregateTable2024[], AggregateTable2024[Start], FI$1, AggregateTable2024[#Headers], $D27)</f>
        <v>0</v>
      </c>
      <c r="FK27" s="29">
        <f>Buckets_2_24[[#This Row],[Start]]+Buckets_2_24[[#This Row],[Transactions]]</f>
        <v>100</v>
      </c>
      <c r="FL27" s="29">
        <f t="shared" si="34"/>
        <v>100</v>
      </c>
      <c r="FM27" s="29">
        <f>Buckets_2_24[[#This Row],[Capacity]]-Buckets_2_24[[#This Row],[After T]]</f>
        <v>0</v>
      </c>
      <c r="FN27" s="29">
        <f>MAX(-Buckets_2_24[[#This Row],[Cap Diff]], 0)</f>
        <v>0</v>
      </c>
      <c r="FO27" s="29">
        <f>Buckets_2_24[[#This Row],[After T]]-Buckets_2_24[[#This Row],[Slush]]</f>
        <v>100</v>
      </c>
      <c r="FP27" s="29">
        <f>Buckets_2_24[[#This Row],[Capacity]]-Buckets_2_24[[#This Row],[Before Fill]]</f>
        <v>0</v>
      </c>
      <c r="FQ27" t="b">
        <f>OR(FG27, Buckets_2_24[[#This Row],[After T]]&lt;0)</f>
        <v>1</v>
      </c>
      <c r="FR27" s="29">
        <f>IF(Buckets_2_24[[#This Row],[Is Crit]], Buckets_2_24[[#This Row],[S Cap Diff]], 0)</f>
        <v>0</v>
      </c>
      <c r="FS27" s="29">
        <f>Buckets_2_24[[#This Row],[Before Fill]]+Buckets_2_24[[#This Row],[Crit To Fill]]</f>
        <v>100</v>
      </c>
      <c r="FT27" s="29">
        <f>IF(NOT(Buckets_2_24[[#This Row],[Is Crit]]), Buckets_2_24[[#This Row],[S Cap Diff]], 0)</f>
        <v>0</v>
      </c>
      <c r="FU27" s="29">
        <f>ROUND(FS$41/Buckets_2_24[[#Totals],[NC To Fill]]*Buckets_2_24[[#This Row],[NC To Fill]], 2)</f>
        <v>0</v>
      </c>
      <c r="FV27" s="31">
        <f>Buckets_2_24[[#This Row],[Pre Scale]] + IF($D27="Unexpected Fund", FS43-Buckets_2_24[[#Totals],[Pre Scale]], 0)</f>
        <v>0</v>
      </c>
      <c r="FW27" s="31">
        <f>Buckets_2_24[[#This Row],[Crit Filled]]+Buckets_2_24[[#This Row],[Scaled]]</f>
        <v>100</v>
      </c>
      <c r="FX27" s="31">
        <f>Buckets_2_24[[#This Row],[NC Filled]]</f>
        <v>100</v>
      </c>
      <c r="FY27" s="31">
        <f>Buckets_2_24[[#This Row],[Capacity]]-Buckets_2_24[[#This Row],[Final]]</f>
        <v>0</v>
      </c>
      <c r="FZ27" s="33">
        <f>IF(Buckets_2_24[[#This Row],[Capacity]]=0, 1, Buckets_2_24[[#This Row],[Final]]/Buckets_2_24[[#This Row],[Capacity]])</f>
        <v>1</v>
      </c>
      <c r="GB27" s="40">
        <f>Buckets_2_24[[#This Row],[Final]]</f>
        <v>100</v>
      </c>
      <c r="GC27" s="40">
        <f>Buckets_2_24[[#This Row],[Capacity]]</f>
        <v>100</v>
      </c>
      <c r="GD27" s="41" t="b">
        <f t="shared" si="35"/>
        <v>1</v>
      </c>
      <c r="GE27" s="42"/>
      <c r="GF27" s="42"/>
      <c r="GG27" s="42"/>
      <c r="GH27" s="42"/>
      <c r="GI27" s="43"/>
      <c r="GJ27" s="40">
        <f t="shared" si="36"/>
        <v>100</v>
      </c>
      <c r="GK27" s="40">
        <f t="shared" si="37"/>
        <v>100</v>
      </c>
      <c r="GL27" s="41" t="b">
        <f t="shared" si="6"/>
        <v>1</v>
      </c>
      <c r="GN27" s="29">
        <f t="shared" si="38"/>
        <v>100</v>
      </c>
      <c r="GO27" s="29">
        <f>GetTransactionTotal(AggregateTable2024[], AggregateTable2024[Start], GN$1, AggregateTable2024[#Headers], $D27)</f>
        <v>0</v>
      </c>
      <c r="GP27" s="29">
        <f>Buckets_3_24[[#This Row],[Start]]+Buckets_3_24[[#This Row],[Transactions]]</f>
        <v>100</v>
      </c>
      <c r="GQ27" s="29">
        <f t="shared" si="39"/>
        <v>100</v>
      </c>
      <c r="GR27" s="29">
        <f>Buckets_3_24[[#This Row],[Capacity]]-Buckets_3_24[[#This Row],[After T]]</f>
        <v>0</v>
      </c>
      <c r="GS27" s="29">
        <f>MAX(-Buckets_3_24[[#This Row],[Cap Diff]], 0)</f>
        <v>0</v>
      </c>
      <c r="GT27" s="29">
        <f>Buckets_3_24[[#This Row],[After T]]-Buckets_3_24[[#This Row],[Slush]]</f>
        <v>100</v>
      </c>
      <c r="GU27" s="29">
        <f>Buckets_3_24[[#This Row],[Capacity]]-Buckets_3_24[[#This Row],[Before Fill]]</f>
        <v>0</v>
      </c>
      <c r="GV27" t="b">
        <f>OR(GL27, Buckets_3_24[[#This Row],[After T]]&lt;0)</f>
        <v>1</v>
      </c>
      <c r="GW27" s="29">
        <f>IF(Buckets_3_24[[#This Row],[Is Crit]], Buckets_3_24[[#This Row],[S Cap Diff]], 0)</f>
        <v>0</v>
      </c>
      <c r="GX27" s="29">
        <f>Buckets_3_24[[#This Row],[Before Fill]]+Buckets_3_24[[#This Row],[Crit To Fill]]</f>
        <v>100</v>
      </c>
      <c r="GY27" s="29">
        <f>IF(NOT(Buckets_3_24[[#This Row],[Is Crit]]), Buckets_3_24[[#This Row],[S Cap Diff]], 0)</f>
        <v>0</v>
      </c>
      <c r="GZ27" s="29">
        <f>ROUND(GX$41/Buckets_3_24[[#Totals],[NC To Fill]]*Buckets_3_24[[#This Row],[NC To Fill]], 2)</f>
        <v>0</v>
      </c>
      <c r="HA27" s="31">
        <f>Buckets_3_24[[#This Row],[Pre Scale]] + IF($D27="Unexpected Fund", GX43-Buckets_3_24[[#Totals],[Pre Scale]], 0)</f>
        <v>0</v>
      </c>
      <c r="HB27" s="31">
        <f>Buckets_3_24[[#This Row],[Crit Filled]]+Buckets_3_24[[#This Row],[Scaled]]</f>
        <v>100</v>
      </c>
      <c r="HC27" s="31">
        <f>Buckets_3_24[[#This Row],[NC Filled]]</f>
        <v>100</v>
      </c>
      <c r="HD27" s="31">
        <f>Buckets_3_24[[#This Row],[Capacity]]-Buckets_3_24[[#This Row],[Final]]</f>
        <v>0</v>
      </c>
      <c r="HE27" s="33">
        <f>IF(Buckets_3_24[[#This Row],[Capacity]]=0, 1, Buckets_3_24[[#This Row],[Final]]/Buckets_3_24[[#This Row],[Capacity]])</f>
        <v>1</v>
      </c>
      <c r="HG27" s="40">
        <f>Buckets_3_24[[#This Row],[Final]]</f>
        <v>100</v>
      </c>
      <c r="HH27" s="40">
        <f>Buckets_3_24[[#This Row],[Capacity]]</f>
        <v>100</v>
      </c>
      <c r="HI27" s="41" t="b">
        <f t="shared" si="40"/>
        <v>1</v>
      </c>
      <c r="HJ27" s="42"/>
      <c r="HK27" s="42"/>
      <c r="HL27" s="42"/>
      <c r="HM27" s="42"/>
      <c r="HN27" s="43"/>
      <c r="HO27" s="40">
        <f t="shared" si="41"/>
        <v>100</v>
      </c>
      <c r="HP27" s="40">
        <f t="shared" si="42"/>
        <v>100</v>
      </c>
      <c r="HQ27" s="41" t="b">
        <f t="shared" si="7"/>
        <v>1</v>
      </c>
      <c r="HS27" s="29">
        <f t="shared" si="43"/>
        <v>100</v>
      </c>
      <c r="HT27" s="29">
        <f>GetTransactionTotal(AggregateTable2024[], AggregateTable2024[Start], HS$1, AggregateTable2024[#Headers], $D27)</f>
        <v>0</v>
      </c>
      <c r="HU27" s="29">
        <f>Buckets_4_24[[#This Row],[Start]]+Buckets_4_24[[#This Row],[Transactions]]</f>
        <v>100</v>
      </c>
      <c r="HV27" s="29">
        <f t="shared" si="44"/>
        <v>100</v>
      </c>
      <c r="HW27" s="29">
        <f>Buckets_4_24[[#This Row],[Capacity]]-Buckets_4_24[[#This Row],[After T]]</f>
        <v>0</v>
      </c>
      <c r="HX27" s="29">
        <f>MAX(-Buckets_4_24[[#This Row],[Cap Diff]], 0)</f>
        <v>0</v>
      </c>
      <c r="HY27" s="29">
        <f>Buckets_4_24[[#This Row],[After T]]-Buckets_4_24[[#This Row],[Slush]]</f>
        <v>100</v>
      </c>
      <c r="HZ27" s="29">
        <f>Buckets_4_24[[#This Row],[Capacity]]-Buckets_4_24[[#This Row],[Before Fill]]</f>
        <v>0</v>
      </c>
      <c r="IA27" t="b">
        <f>OR(HQ27, Buckets_4_24[[#This Row],[After T]]&lt;0)</f>
        <v>1</v>
      </c>
      <c r="IB27" s="29">
        <f>IF(Buckets_4_24[[#This Row],[Is Crit]], Buckets_4_24[[#This Row],[S Cap Diff]], 0)</f>
        <v>0</v>
      </c>
      <c r="IC27" s="29">
        <f>Buckets_4_24[[#This Row],[Before Fill]]+Buckets_4_24[[#This Row],[Crit To Fill]]</f>
        <v>100</v>
      </c>
      <c r="ID27" s="29">
        <f>IF(NOT(Buckets_4_24[[#This Row],[Is Crit]]), Buckets_4_24[[#This Row],[S Cap Diff]], 0)</f>
        <v>0</v>
      </c>
      <c r="IE27" s="29">
        <f>ROUND(IC$41/Buckets_4_24[[#Totals],[NC To Fill]]*Buckets_4_24[[#This Row],[NC To Fill]], 2)</f>
        <v>0</v>
      </c>
      <c r="IF27" s="31">
        <f>Buckets_4_24[[#This Row],[Pre Scale]] + IF($D27="Unexpected Fund", IC43-Buckets_4_24[[#Totals],[Pre Scale]], 0)</f>
        <v>0</v>
      </c>
      <c r="IG27" s="31">
        <f>Buckets_4_24[[#This Row],[Crit Filled]]+Buckets_4_24[[#This Row],[Scaled]]</f>
        <v>100</v>
      </c>
      <c r="IH27" s="31">
        <f>Buckets_4_24[[#This Row],[NC Filled]]</f>
        <v>100</v>
      </c>
      <c r="II27" s="31">
        <f>Buckets_4_24[[#This Row],[Capacity]]-Buckets_4_24[[#This Row],[Final]]</f>
        <v>0</v>
      </c>
      <c r="IJ27" s="33">
        <f>IF(Buckets_4_24[[#This Row],[Capacity]]=0, 1, Buckets_4_24[[#This Row],[Final]]/Buckets_4_24[[#This Row],[Capacity]])</f>
        <v>1</v>
      </c>
      <c r="IL27" s="40">
        <f>Buckets_4_24[[#This Row],[Final]]</f>
        <v>100</v>
      </c>
      <c r="IM27" s="40">
        <f>Buckets_4_24[[#This Row],[Capacity]]</f>
        <v>100</v>
      </c>
      <c r="IN27" s="41" t="b">
        <f t="shared" si="45"/>
        <v>1</v>
      </c>
      <c r="IO27" s="42"/>
      <c r="IP27" s="42"/>
      <c r="IQ27" s="42"/>
      <c r="IR27" s="42"/>
      <c r="IS27" s="43"/>
      <c r="IT27" s="40">
        <f t="shared" si="46"/>
        <v>100</v>
      </c>
      <c r="IU27" s="40">
        <f t="shared" si="47"/>
        <v>100</v>
      </c>
      <c r="IV27" s="41" t="b">
        <f t="shared" si="8"/>
        <v>1</v>
      </c>
    </row>
    <row r="28" spans="1:256" x14ac:dyDescent="0.25">
      <c r="A28" s="49"/>
      <c r="B28" t="s">
        <v>321</v>
      </c>
      <c r="C28" t="s">
        <v>303</v>
      </c>
      <c r="D28" t="s">
        <v>303</v>
      </c>
      <c r="F28" s="30">
        <v>100</v>
      </c>
      <c r="G28" s="38">
        <v>250</v>
      </c>
      <c r="H28" t="b">
        <v>0</v>
      </c>
      <c r="J28" s="50">
        <f t="shared" si="9"/>
        <v>100</v>
      </c>
      <c r="K28" s="50">
        <f>GetTransactionTotal(AggregateTable2023[], AggregateTable2023[Start], J$1, AggregateTable2023[#Headers], $D28)</f>
        <v>0</v>
      </c>
      <c r="L28" s="50">
        <f>Buckets_9_23[[#This Row],[Start]]+Buckets_9_23[[#This Row],[Transactions]]</f>
        <v>100</v>
      </c>
      <c r="M28" s="50">
        <f t="shared" si="10"/>
        <v>250</v>
      </c>
      <c r="N28" s="50">
        <f>Buckets_9_23[[#This Row],[Capacity]]-Buckets_9_23[[#This Row],[After T]]</f>
        <v>150</v>
      </c>
      <c r="O28" s="50">
        <f>IF(Buckets_9_23[[#This Row],[After T]]&lt;0, Buckets_9_23[[#This Row],[After T]], IF(Buckets_9_23[[#This Row],[Cap Diff]]&lt;0, -Buckets_9_23[[#This Row],[Cap Diff]], 0))</f>
        <v>0</v>
      </c>
      <c r="P28" s="50">
        <f>Buckets_9_23[[#This Row],[After T]]-Buckets_9_23[[#This Row],[Slush]]</f>
        <v>100</v>
      </c>
      <c r="Q28" s="50">
        <f>Buckets_9_23[[#This Row],[Capacity]]-Buckets_9_23[[#This Row],[Before Fill]]</f>
        <v>150</v>
      </c>
      <c r="R28" s="31" t="b">
        <f t="shared" si="0"/>
        <v>0</v>
      </c>
      <c r="S28" s="50">
        <f>IF(Buckets_9_23[[#This Row],[Is Crit]], Buckets_9_23[[#This Row],[S Cap Diff]], 0)</f>
        <v>0</v>
      </c>
      <c r="T28" s="50">
        <f>Buckets_9_23[[#This Row],[Before Fill]]+Buckets_9_23[[#This Row],[Crit To Fill]]</f>
        <v>100</v>
      </c>
      <c r="U28" s="50">
        <f>IF(NOT(Buckets_9_23[[#This Row],[Is Crit]]), Buckets_9_23[[#This Row],[S Cap Diff]], 0)</f>
        <v>150</v>
      </c>
      <c r="V28" s="50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A28" s="51">
        <f>IF(Buckets_9_23[[#This Row],[Capacity]]=0, 1, Buckets_9_23[[#This Row],[Final]]/Buckets_9_23[[#This Row],[Capacity]])</f>
        <v>0.92367999999999995</v>
      </c>
      <c r="AC28" s="31">
        <f>Buckets_9_23[[#This Row],[Final]]</f>
        <v>230.92</v>
      </c>
      <c r="AD28" s="31">
        <f>Buckets_9_23[[#This Row],[Capacity]]</f>
        <v>250</v>
      </c>
      <c r="AE28" t="b">
        <f>H28</f>
        <v>0</v>
      </c>
      <c r="AF28" s="43"/>
      <c r="AG28" s="42"/>
      <c r="AH28" s="43"/>
      <c r="AI28" s="42"/>
      <c r="AJ28" s="43"/>
      <c r="AK28" s="40">
        <f t="shared" si="11"/>
        <v>230.92</v>
      </c>
      <c r="AL28" s="40">
        <f t="shared" si="12"/>
        <v>250</v>
      </c>
      <c r="AM28" s="41" t="b">
        <f t="shared" si="1"/>
        <v>0</v>
      </c>
      <c r="AO28" s="29">
        <f t="shared" si="13"/>
        <v>230.92</v>
      </c>
      <c r="AP28" s="29">
        <f>GetTransactionTotal(AggregateTable2023[], AggregateTable2023[Start], AO$1, AggregateTable2023[#Headers], $D28)</f>
        <v>-100</v>
      </c>
      <c r="AQ28" s="29">
        <f>Buckets_10_23[[#This Row],[Start]]+Buckets_10_23[[#This Row],[Transactions]]</f>
        <v>130.91999999999999</v>
      </c>
      <c r="AR28" s="29">
        <f t="shared" si="14"/>
        <v>250</v>
      </c>
      <c r="AS28" s="29">
        <f>Buckets_10_23[[#This Row],[Capacity]]-Buckets_10_23[[#This Row],[After T]]</f>
        <v>119.08000000000001</v>
      </c>
      <c r="AT28" s="29">
        <f>MAX(-Buckets_10_23[[#This Row],[Cap Diff]], 0)</f>
        <v>0</v>
      </c>
      <c r="AU28" s="29">
        <f>Buckets_10_23[[#This Row],[After T]]-Buckets_10_23[[#This Row],[Slush]]</f>
        <v>130.91999999999999</v>
      </c>
      <c r="AV28" s="29">
        <f>Buckets_10_23[[#This Row],[Capacity]]-Buckets_10_23[[#This Row],[Before Fill]]</f>
        <v>119.08000000000001</v>
      </c>
      <c r="AW28" t="b">
        <f>OR(AM28, Buckets_10_23[[#This Row],[After T]]&lt;0)</f>
        <v>0</v>
      </c>
      <c r="AX28" s="29">
        <f>IF(Buckets_10_23[[#This Row],[Is Crit]], Buckets_10_23[[#This Row],[S Cap Diff]], 0)</f>
        <v>0</v>
      </c>
      <c r="AY28" s="29">
        <f>Buckets_10_23[[#This Row],[Before Fill]]+Buckets_10_23[[#This Row],[Crit To Fill]]</f>
        <v>130.91999999999999</v>
      </c>
      <c r="AZ28" s="29">
        <f>IF(NOT(Buckets_10_23[[#This Row],[Is Crit]]), Buckets_10_23[[#This Row],[S Cap Diff]], 0)</f>
        <v>119.08000000000001</v>
      </c>
      <c r="BA28" s="29">
        <f>ROUND(AY$41/Buckets_10_23[[#Totals],[NC To Fill]]*Buckets_10_23[[#This Row],[NC To Fill]], 2)</f>
        <v>70.73</v>
      </c>
      <c r="BB28" s="31">
        <f>Buckets_10_23[[#This Row],[Pre Scale]] + IF($D28="Unexpected Fund", AY44-Buckets_10_23[[#Totals],[Pre Scale]], 0)</f>
        <v>70.73</v>
      </c>
      <c r="BC28" s="31">
        <f>Buckets_10_23[[#This Row],[Crit Filled]]+Buckets_10_23[[#This Row],[Scaled]]</f>
        <v>201.64999999999998</v>
      </c>
      <c r="BD28" s="31">
        <f>Buckets_10_23[[#This Row],[NC Filled]]</f>
        <v>201.64999999999998</v>
      </c>
      <c r="BE28" s="31">
        <f>Buckets_10_23[[#This Row],[Capacity]]-Buckets_10_23[[#This Row],[Final]]</f>
        <v>48.350000000000023</v>
      </c>
      <c r="BF28" s="33">
        <f>IF(Buckets_10_23[[#This Row],[Capacity]]=0, 1, Buckets_10_23[[#This Row],[Final]]/Buckets_10_23[[#This Row],[Capacity]])</f>
        <v>0.80659999999999987</v>
      </c>
      <c r="BH28" s="31">
        <f>Buckets_10_23[[#This Row],[Final]]</f>
        <v>201.64999999999998</v>
      </c>
      <c r="BI28" s="31">
        <f>Buckets_10_23[[#This Row],[Capacity]]</f>
        <v>250</v>
      </c>
      <c r="BJ28" t="b">
        <f t="shared" si="15"/>
        <v>0</v>
      </c>
      <c r="BK28" s="43"/>
      <c r="BL28" s="42"/>
      <c r="BM28" s="43"/>
      <c r="BN28" s="42"/>
      <c r="BO28" s="43"/>
      <c r="BP28" s="40">
        <f t="shared" si="16"/>
        <v>201.64999999999998</v>
      </c>
      <c r="BQ28" s="40">
        <f t="shared" si="17"/>
        <v>250</v>
      </c>
      <c r="BR28" s="41" t="b">
        <f t="shared" si="2"/>
        <v>0</v>
      </c>
      <c r="BT28" s="29">
        <f t="shared" si="18"/>
        <v>201.64999999999998</v>
      </c>
      <c r="BU28" s="29">
        <f>GetTransactionTotal(AggregateTable2023[], AggregateTable2023[Start], BT$1, AggregateTable2023[#Headers], $D28)</f>
        <v>0</v>
      </c>
      <c r="BV28" s="29">
        <f>Buckets_11_23[[#This Row],[Start]]+Buckets_11_23[[#This Row],[Transactions]]</f>
        <v>201.64999999999998</v>
      </c>
      <c r="BW28" s="29">
        <f t="shared" si="19"/>
        <v>250</v>
      </c>
      <c r="BX28" s="29">
        <f>Buckets_11_23[[#This Row],[Capacity]]-Buckets_11_23[[#This Row],[After T]]</f>
        <v>48.350000000000023</v>
      </c>
      <c r="BY28" s="29">
        <f>MAX(-Buckets_11_23[[#This Row],[Cap Diff]], 0)</f>
        <v>0</v>
      </c>
      <c r="BZ28" s="29">
        <f>Buckets_11_23[[#This Row],[After T]]-Buckets_11_23[[#This Row],[Slush]]</f>
        <v>201.64999999999998</v>
      </c>
      <c r="CA28" s="29">
        <f>Buckets_11_23[[#This Row],[Capacity]]-Buckets_11_23[[#This Row],[Before Fill]]</f>
        <v>48.350000000000023</v>
      </c>
      <c r="CB28" t="b">
        <f>OR(BR28, Buckets_11_23[[#This Row],[After T]]&lt;0)</f>
        <v>0</v>
      </c>
      <c r="CC28" s="29">
        <f>IF(Buckets_11_23[[#This Row],[Is Crit]], Buckets_11_23[[#This Row],[S Cap Diff]], 0)</f>
        <v>0</v>
      </c>
      <c r="CD28" s="29">
        <f>Buckets_11_23[[#This Row],[Before Fill]]+Buckets_11_23[[#This Row],[Crit To Fill]]</f>
        <v>201.64999999999998</v>
      </c>
      <c r="CE28" s="29">
        <f>IF(NOT(Buckets_11_23[[#This Row],[Is Crit]]), Buckets_11_23[[#This Row],[S Cap Diff]], 0)</f>
        <v>48.350000000000023</v>
      </c>
      <c r="CF28" s="29">
        <f>ROUND(CD$41/Buckets_11_23[[#Totals],[NC To Fill]]*Buckets_11_23[[#This Row],[NC To Fill]], 2)</f>
        <v>47.68</v>
      </c>
      <c r="CG28" s="31">
        <f>Buckets_11_23[[#This Row],[Pre Scale]] + IF($D28="Unexpected Fund", CD44-Buckets_11_23[[#Totals],[Pre Scale]], 0)</f>
        <v>47.68</v>
      </c>
      <c r="CH28" s="31">
        <f>Buckets_11_23[[#This Row],[Crit Filled]]+Buckets_11_23[[#This Row],[Scaled]]</f>
        <v>249.32999999999998</v>
      </c>
      <c r="CI28" s="31">
        <f>Buckets_11_23[[#This Row],[NC Filled]]</f>
        <v>249.32999999999998</v>
      </c>
      <c r="CJ28" s="31">
        <f>Buckets_11_23[[#This Row],[Capacity]]-Buckets_11_23[[#This Row],[Final]]</f>
        <v>0.67000000000001592</v>
      </c>
      <c r="CK28" s="33">
        <f>IF(Buckets_11_23[[#This Row],[Capacity]]=0, 1, Buckets_11_23[[#This Row],[Final]]/Buckets_11_23[[#This Row],[Capacity]])</f>
        <v>0.99731999999999998</v>
      </c>
      <c r="CM28" s="40">
        <f>Buckets_11_23[[#This Row],[Final]]</f>
        <v>249.32999999999998</v>
      </c>
      <c r="CN28" s="40">
        <f>Buckets_11_23[[#This Row],[Capacity]]</f>
        <v>250</v>
      </c>
      <c r="CO28" s="41" t="b">
        <f t="shared" si="20"/>
        <v>0</v>
      </c>
      <c r="CP28" s="42">
        <v>-100</v>
      </c>
      <c r="CQ28" s="42"/>
      <c r="CR28" s="42"/>
      <c r="CS28" s="42"/>
      <c r="CT28" s="43"/>
      <c r="CU28" s="40">
        <f t="shared" si="21"/>
        <v>149.32999999999998</v>
      </c>
      <c r="CV28" s="40">
        <f t="shared" si="22"/>
        <v>250</v>
      </c>
      <c r="CW28" s="41" t="b">
        <f t="shared" si="3"/>
        <v>0</v>
      </c>
      <c r="CY28" s="29">
        <f t="shared" si="23"/>
        <v>149.32999999999998</v>
      </c>
      <c r="CZ28" s="29">
        <f>GetTransactionTotal(AggregateTable2023[], AggregateTable2023[Start], CY$1, AggregateTable2023[#Headers], $D28)</f>
        <v>0</v>
      </c>
      <c r="DA28" s="29">
        <f>Buckets_12_23[[#This Row],[Start]]+Buckets_12_23[[#This Row],[Transactions]]</f>
        <v>149.32999999999998</v>
      </c>
      <c r="DB28" s="29">
        <f t="shared" si="24"/>
        <v>250</v>
      </c>
      <c r="DC28" s="29">
        <f>Buckets_12_23[[#This Row],[Capacity]]-Buckets_12_23[[#This Row],[After T]]</f>
        <v>100.67000000000002</v>
      </c>
      <c r="DD28" s="29">
        <f>MAX(-Buckets_12_23[[#This Row],[Cap Diff]], 0)</f>
        <v>0</v>
      </c>
      <c r="DE28" s="29">
        <f>Buckets_12_23[[#This Row],[After T]]-Buckets_12_23[[#This Row],[Slush]]</f>
        <v>149.32999999999998</v>
      </c>
      <c r="DF28" s="29">
        <f>Buckets_12_23[[#This Row],[Capacity]]-Buckets_12_23[[#This Row],[Before Fill]]</f>
        <v>100.67000000000002</v>
      </c>
      <c r="DG28" t="b">
        <f>OR(CW28, Buckets_12_23[[#This Row],[After T]]&lt;0)</f>
        <v>0</v>
      </c>
      <c r="DH28" s="29">
        <f>IF(Buckets_12_23[[#This Row],[Is Crit]], Buckets_12_23[[#This Row],[S Cap Diff]], 0)</f>
        <v>0</v>
      </c>
      <c r="DI28" s="29">
        <f>Buckets_12_23[[#This Row],[Before Fill]]+Buckets_12_23[[#This Row],[Crit To Fill]]</f>
        <v>149.32999999999998</v>
      </c>
      <c r="DJ28" s="29">
        <f>IF(NOT(Buckets_12_23[[#This Row],[Is Crit]]), Buckets_12_23[[#This Row],[S Cap Diff]], 0)</f>
        <v>100.67000000000002</v>
      </c>
      <c r="DK28" s="29">
        <f>ROUND(DI$41/Buckets_12_23[[#Totals],[NC To Fill]]*Buckets_12_23[[#This Row],[NC To Fill]], 2)</f>
        <v>46.03</v>
      </c>
      <c r="DL28" s="31">
        <f>Buckets_12_23[[#This Row],[Pre Scale]] + IF($D28="Unexpected Fund", DI44-Buckets_12_23[[#Totals],[Pre Scale]], 0)</f>
        <v>46.03</v>
      </c>
      <c r="DM28" s="31">
        <f>Buckets_12_23[[#This Row],[Crit Filled]]+Buckets_12_23[[#This Row],[Scaled]]</f>
        <v>195.35999999999999</v>
      </c>
      <c r="DN28" s="31">
        <f>Buckets_12_23[[#This Row],[NC Filled]]</f>
        <v>195.35999999999999</v>
      </c>
      <c r="DO28" s="31">
        <f>Buckets_12_23[[#This Row],[Capacity]]-Buckets_12_23[[#This Row],[Final]]</f>
        <v>54.640000000000015</v>
      </c>
      <c r="DP28" s="33">
        <f>IF(Buckets_12_23[[#This Row],[Capacity]]=0, 1, Buckets_12_23[[#This Row],[Final]]/Buckets_12_23[[#This Row],[Capacity]])</f>
        <v>0.78143999999999991</v>
      </c>
      <c r="DR28" s="40">
        <f>Buckets_12_23[[#This Row],[Final]]</f>
        <v>195.35999999999999</v>
      </c>
      <c r="DS28" s="40">
        <f>Buckets_12_23[[#This Row],[Capacity]]</f>
        <v>250</v>
      </c>
      <c r="DT28" s="41" t="b">
        <f t="shared" si="25"/>
        <v>0</v>
      </c>
      <c r="DU28" s="42"/>
      <c r="DV28" s="42"/>
      <c r="DW28" s="42"/>
      <c r="DX28" s="42"/>
      <c r="DY28" s="43"/>
      <c r="DZ28" s="40">
        <f t="shared" si="26"/>
        <v>195.35999999999999</v>
      </c>
      <c r="EA28" s="40">
        <f t="shared" si="27"/>
        <v>250</v>
      </c>
      <c r="EB28" s="41" t="b">
        <f t="shared" si="4"/>
        <v>0</v>
      </c>
      <c r="ED28" s="29">
        <f t="shared" si="28"/>
        <v>195.35999999999999</v>
      </c>
      <c r="EE28" s="29">
        <f>GetTransactionTotal(AggregateTable2024[], AggregateTable2024[Start], ED$1, AggregateTable2024[#Headers], $D28)</f>
        <v>0</v>
      </c>
      <c r="EF28" s="29">
        <f>Buckets_1_24[[#This Row],[Start]]+Buckets_1_24[[#This Row],[Transactions]]</f>
        <v>195.35999999999999</v>
      </c>
      <c r="EG28" s="29">
        <f t="shared" si="29"/>
        <v>250</v>
      </c>
      <c r="EH28" s="29">
        <f>Buckets_1_24[[#This Row],[Capacity]]-Buckets_1_24[[#This Row],[After T]]</f>
        <v>54.640000000000015</v>
      </c>
      <c r="EI28" s="29">
        <f>MAX(-Buckets_1_24[[#This Row],[Cap Diff]], 0)</f>
        <v>0</v>
      </c>
      <c r="EJ28" s="29">
        <f>Buckets_1_24[[#This Row],[After T]]-Buckets_1_24[[#This Row],[Slush]]</f>
        <v>195.35999999999999</v>
      </c>
      <c r="EK28" s="29">
        <f>Buckets_1_24[[#This Row],[Capacity]]-Buckets_1_24[[#This Row],[Before Fill]]</f>
        <v>54.640000000000015</v>
      </c>
      <c r="EL28" t="b">
        <f>OR(EB28, Buckets_1_24[[#This Row],[After T]]&lt;0)</f>
        <v>0</v>
      </c>
      <c r="EM28" s="29">
        <f>IF(Buckets_1_24[[#This Row],[Is Crit]], Buckets_1_24[[#This Row],[S Cap Diff]], 0)</f>
        <v>0</v>
      </c>
      <c r="EN28" s="29">
        <f>Buckets_1_24[[#This Row],[Before Fill]]+Buckets_1_24[[#This Row],[Crit To Fill]]</f>
        <v>195.35999999999999</v>
      </c>
      <c r="EO28" s="29">
        <f>IF(NOT(Buckets_1_24[[#This Row],[Is Crit]]), Buckets_1_24[[#This Row],[S Cap Diff]], 0)</f>
        <v>54.640000000000015</v>
      </c>
      <c r="EP28" s="29">
        <f>ROUND(EN$41/Buckets_1_24[[#Totals],[NC To Fill]]*Buckets_1_24[[#This Row],[NC To Fill]], 2)</f>
        <v>33.549999999999997</v>
      </c>
      <c r="EQ28" s="31">
        <f>Buckets_1_24[[#This Row],[Pre Scale]] + IF($D28="Unexpected Fund", EN44-Buckets_1_24[[#Totals],[Pre Scale]], 0)</f>
        <v>33.549999999999997</v>
      </c>
      <c r="ER28" s="31">
        <f>Buckets_1_24[[#This Row],[Crit Filled]]+Buckets_1_24[[#This Row],[Scaled]]</f>
        <v>228.90999999999997</v>
      </c>
      <c r="ES28" s="31">
        <f>Buckets_1_24[[#This Row],[NC Filled]]</f>
        <v>228.90999999999997</v>
      </c>
      <c r="ET28" s="31">
        <f>Buckets_1_24[[#This Row],[Capacity]]-Buckets_1_24[[#This Row],[Final]]</f>
        <v>21.090000000000032</v>
      </c>
      <c r="EU28" s="33">
        <f>IF(Buckets_1_24[[#This Row],[Capacity]]=0, 1, Buckets_1_24[[#This Row],[Final]]/Buckets_1_24[[#This Row],[Capacity]])</f>
        <v>0.9156399999999999</v>
      </c>
      <c r="EW28" s="40">
        <f>Buckets_1_24[[#This Row],[Final]]</f>
        <v>228.90999999999997</v>
      </c>
      <c r="EX28" s="40">
        <f>Buckets_1_24[[#This Row],[Capacity]]</f>
        <v>250</v>
      </c>
      <c r="EY28" s="41" t="b">
        <f t="shared" si="30"/>
        <v>0</v>
      </c>
      <c r="EZ28" s="42"/>
      <c r="FA28" s="42"/>
      <c r="FB28" s="42"/>
      <c r="FC28" s="42"/>
      <c r="FD28" s="43"/>
      <c r="FE28" s="40">
        <f t="shared" si="31"/>
        <v>228.90999999999997</v>
      </c>
      <c r="FF28" s="40">
        <f t="shared" si="32"/>
        <v>250</v>
      </c>
      <c r="FG28" s="41" t="b">
        <f t="shared" si="5"/>
        <v>0</v>
      </c>
      <c r="FI28" s="29">
        <f t="shared" si="33"/>
        <v>228.90999999999997</v>
      </c>
      <c r="FJ28" s="29">
        <f>GetTransactionTotal(AggregateTable2024[], AggregateTable2024[Start], FI$1, AggregateTable2024[#Headers], $D28)</f>
        <v>0</v>
      </c>
      <c r="FK28" s="29">
        <f>Buckets_2_24[[#This Row],[Start]]+Buckets_2_24[[#This Row],[Transactions]]</f>
        <v>228.90999999999997</v>
      </c>
      <c r="FL28" s="29">
        <f t="shared" si="34"/>
        <v>250</v>
      </c>
      <c r="FM28" s="29">
        <f>Buckets_2_24[[#This Row],[Capacity]]-Buckets_2_24[[#This Row],[After T]]</f>
        <v>21.090000000000032</v>
      </c>
      <c r="FN28" s="29">
        <f>MAX(-Buckets_2_24[[#This Row],[Cap Diff]], 0)</f>
        <v>0</v>
      </c>
      <c r="FO28" s="29">
        <f>Buckets_2_24[[#This Row],[After T]]-Buckets_2_24[[#This Row],[Slush]]</f>
        <v>228.90999999999997</v>
      </c>
      <c r="FP28" s="29">
        <f>Buckets_2_24[[#This Row],[Capacity]]-Buckets_2_24[[#This Row],[Before Fill]]</f>
        <v>21.090000000000032</v>
      </c>
      <c r="FQ28" t="b">
        <f>OR(FG28, Buckets_2_24[[#This Row],[After T]]&lt;0)</f>
        <v>0</v>
      </c>
      <c r="FR28" s="29">
        <f>IF(Buckets_2_24[[#This Row],[Is Crit]], Buckets_2_24[[#This Row],[S Cap Diff]], 0)</f>
        <v>0</v>
      </c>
      <c r="FS28" s="29">
        <f>Buckets_2_24[[#This Row],[Before Fill]]+Buckets_2_24[[#This Row],[Crit To Fill]]</f>
        <v>228.90999999999997</v>
      </c>
      <c r="FT28" s="29">
        <f>IF(NOT(Buckets_2_24[[#This Row],[Is Crit]]), Buckets_2_24[[#This Row],[S Cap Diff]], 0)</f>
        <v>21.090000000000032</v>
      </c>
      <c r="FU28" s="29">
        <f>ROUND(FS$41/Buckets_2_24[[#Totals],[NC To Fill]]*Buckets_2_24[[#This Row],[NC To Fill]], 2)</f>
        <v>20.32</v>
      </c>
      <c r="FV28" s="31">
        <f>Buckets_2_24[[#This Row],[Pre Scale]] + IF($D28="Unexpected Fund", FS44-Buckets_2_24[[#Totals],[Pre Scale]], 0)</f>
        <v>20.32</v>
      </c>
      <c r="FW28" s="31">
        <f>Buckets_2_24[[#This Row],[Crit Filled]]+Buckets_2_24[[#This Row],[Scaled]]</f>
        <v>249.22999999999996</v>
      </c>
      <c r="FX28" s="31">
        <f>Buckets_2_24[[#This Row],[NC Filled]]</f>
        <v>249.22999999999996</v>
      </c>
      <c r="FY28" s="31">
        <f>Buckets_2_24[[#This Row],[Capacity]]-Buckets_2_24[[#This Row],[Final]]</f>
        <v>0.77000000000003865</v>
      </c>
      <c r="FZ28" s="33">
        <f>IF(Buckets_2_24[[#This Row],[Capacity]]=0, 1, Buckets_2_24[[#This Row],[Final]]/Buckets_2_24[[#This Row],[Capacity]])</f>
        <v>0.99691999999999981</v>
      </c>
      <c r="GB28" s="40">
        <f>Buckets_2_24[[#This Row],[Final]]</f>
        <v>249.22999999999996</v>
      </c>
      <c r="GC28" s="40">
        <f>Buckets_2_24[[#This Row],[Capacity]]</f>
        <v>250</v>
      </c>
      <c r="GD28" s="41" t="b">
        <f t="shared" si="35"/>
        <v>0</v>
      </c>
      <c r="GE28" s="42"/>
      <c r="GF28" s="42"/>
      <c r="GG28" s="42"/>
      <c r="GH28" s="42"/>
      <c r="GI28" s="43"/>
      <c r="GJ28" s="40">
        <f t="shared" si="36"/>
        <v>249.22999999999996</v>
      </c>
      <c r="GK28" s="40">
        <f t="shared" si="37"/>
        <v>250</v>
      </c>
      <c r="GL28" s="41" t="b">
        <f t="shared" si="6"/>
        <v>0</v>
      </c>
      <c r="GN28" s="29">
        <f t="shared" si="38"/>
        <v>249.22999999999996</v>
      </c>
      <c r="GO28" s="29">
        <f>GetTransactionTotal(AggregateTable2024[], AggregateTable2024[Start], GN$1, AggregateTable2024[#Headers], $D28)</f>
        <v>0</v>
      </c>
      <c r="GP28" s="29">
        <f>Buckets_3_24[[#This Row],[Start]]+Buckets_3_24[[#This Row],[Transactions]]</f>
        <v>249.22999999999996</v>
      </c>
      <c r="GQ28" s="29">
        <f t="shared" si="39"/>
        <v>250</v>
      </c>
      <c r="GR28" s="29">
        <f>Buckets_3_24[[#This Row],[Capacity]]-Buckets_3_24[[#This Row],[After T]]</f>
        <v>0.77000000000003865</v>
      </c>
      <c r="GS28" s="29">
        <f>MAX(-Buckets_3_24[[#This Row],[Cap Diff]], 0)</f>
        <v>0</v>
      </c>
      <c r="GT28" s="29">
        <f>Buckets_3_24[[#This Row],[After T]]-Buckets_3_24[[#This Row],[Slush]]</f>
        <v>249.22999999999996</v>
      </c>
      <c r="GU28" s="29">
        <f>Buckets_3_24[[#This Row],[Capacity]]-Buckets_3_24[[#This Row],[Before Fill]]</f>
        <v>0.77000000000003865</v>
      </c>
      <c r="GV28" t="b">
        <f>OR(GL28, Buckets_3_24[[#This Row],[After T]]&lt;0)</f>
        <v>0</v>
      </c>
      <c r="GW28" s="29">
        <f>IF(Buckets_3_24[[#This Row],[Is Crit]], Buckets_3_24[[#This Row],[S Cap Diff]], 0)</f>
        <v>0</v>
      </c>
      <c r="GX28" s="29">
        <f>Buckets_3_24[[#This Row],[Before Fill]]+Buckets_3_24[[#This Row],[Crit To Fill]]</f>
        <v>249.22999999999996</v>
      </c>
      <c r="GY28" s="29">
        <f>IF(NOT(Buckets_3_24[[#This Row],[Is Crit]]), Buckets_3_24[[#This Row],[S Cap Diff]], 0)</f>
        <v>0.77000000000003865</v>
      </c>
      <c r="GZ28" s="29">
        <f>ROUND(GX$41/Buckets_3_24[[#Totals],[NC To Fill]]*Buckets_3_24[[#This Row],[NC To Fill]], 2)</f>
        <v>0.75</v>
      </c>
      <c r="HA28" s="31">
        <f>Buckets_3_24[[#This Row],[Pre Scale]] + IF($D28="Unexpected Fund", GX44-Buckets_3_24[[#Totals],[Pre Scale]], 0)</f>
        <v>0.75</v>
      </c>
      <c r="HB28" s="31">
        <f>Buckets_3_24[[#This Row],[Crit Filled]]+Buckets_3_24[[#This Row],[Scaled]]</f>
        <v>249.97999999999996</v>
      </c>
      <c r="HC28" s="31">
        <f>Buckets_3_24[[#This Row],[NC Filled]]</f>
        <v>249.97999999999996</v>
      </c>
      <c r="HD28" s="31">
        <f>Buckets_3_24[[#This Row],[Capacity]]-Buckets_3_24[[#This Row],[Final]]</f>
        <v>2.0000000000038654E-2</v>
      </c>
      <c r="HE28" s="33">
        <f>IF(Buckets_3_24[[#This Row],[Capacity]]=0, 1, Buckets_3_24[[#This Row],[Final]]/Buckets_3_24[[#This Row],[Capacity]])</f>
        <v>0.99991999999999981</v>
      </c>
      <c r="HG28" s="40">
        <f>Buckets_3_24[[#This Row],[Final]]</f>
        <v>249.97999999999996</v>
      </c>
      <c r="HH28" s="40">
        <f>Buckets_3_24[[#This Row],[Capacity]]</f>
        <v>250</v>
      </c>
      <c r="HI28" s="41" t="b">
        <f t="shared" si="40"/>
        <v>0</v>
      </c>
      <c r="HJ28" s="42"/>
      <c r="HK28" s="42"/>
      <c r="HL28" s="42"/>
      <c r="HM28" s="42"/>
      <c r="HN28" s="43"/>
      <c r="HO28" s="40">
        <f t="shared" si="41"/>
        <v>249.97999999999996</v>
      </c>
      <c r="HP28" s="40">
        <f t="shared" si="42"/>
        <v>250</v>
      </c>
      <c r="HQ28" s="41" t="b">
        <f t="shared" si="7"/>
        <v>0</v>
      </c>
      <c r="HS28" s="29">
        <f t="shared" si="43"/>
        <v>249.97999999999996</v>
      </c>
      <c r="HT28" s="29">
        <f>GetTransactionTotal(AggregateTable2024[], AggregateTable2024[Start], HS$1, AggregateTable2024[#Headers], $D28)</f>
        <v>0</v>
      </c>
      <c r="HU28" s="29">
        <f>Buckets_4_24[[#This Row],[Start]]+Buckets_4_24[[#This Row],[Transactions]]</f>
        <v>249.97999999999996</v>
      </c>
      <c r="HV28" s="29">
        <f t="shared" si="44"/>
        <v>250</v>
      </c>
      <c r="HW28" s="29">
        <f>Buckets_4_24[[#This Row],[Capacity]]-Buckets_4_24[[#This Row],[After T]]</f>
        <v>2.0000000000038654E-2</v>
      </c>
      <c r="HX28" s="29">
        <f>MAX(-Buckets_4_24[[#This Row],[Cap Diff]], 0)</f>
        <v>0</v>
      </c>
      <c r="HY28" s="29">
        <f>Buckets_4_24[[#This Row],[After T]]-Buckets_4_24[[#This Row],[Slush]]</f>
        <v>249.97999999999996</v>
      </c>
      <c r="HZ28" s="29">
        <f>Buckets_4_24[[#This Row],[Capacity]]-Buckets_4_24[[#This Row],[Before Fill]]</f>
        <v>2.0000000000038654E-2</v>
      </c>
      <c r="IA28" t="b">
        <f>OR(HQ28, Buckets_4_24[[#This Row],[After T]]&lt;0)</f>
        <v>0</v>
      </c>
      <c r="IB28" s="29">
        <f>IF(Buckets_4_24[[#This Row],[Is Crit]], Buckets_4_24[[#This Row],[S Cap Diff]], 0)</f>
        <v>0</v>
      </c>
      <c r="IC28" s="29">
        <f>Buckets_4_24[[#This Row],[Before Fill]]+Buckets_4_24[[#This Row],[Crit To Fill]]</f>
        <v>249.97999999999996</v>
      </c>
      <c r="ID28" s="29">
        <f>IF(NOT(Buckets_4_24[[#This Row],[Is Crit]]), Buckets_4_24[[#This Row],[S Cap Diff]], 0)</f>
        <v>2.0000000000038654E-2</v>
      </c>
      <c r="IE28" s="29">
        <f>ROUND(IC$41/Buckets_4_24[[#Totals],[NC To Fill]]*Buckets_4_24[[#This Row],[NC To Fill]], 2)</f>
        <v>0.01</v>
      </c>
      <c r="IF28" s="31">
        <f>Buckets_4_24[[#This Row],[Pre Scale]] + IF($D28="Unexpected Fund", IC44-Buckets_4_24[[#Totals],[Pre Scale]], 0)</f>
        <v>0.01</v>
      </c>
      <c r="IG28" s="31">
        <f>Buckets_4_24[[#This Row],[Crit Filled]]+Buckets_4_24[[#This Row],[Scaled]]</f>
        <v>249.98999999999995</v>
      </c>
      <c r="IH28" s="31">
        <f>Buckets_4_24[[#This Row],[NC Filled]]</f>
        <v>249.98999999999995</v>
      </c>
      <c r="II28" s="31">
        <f>Buckets_4_24[[#This Row],[Capacity]]-Buckets_4_24[[#This Row],[Final]]</f>
        <v>1.0000000000047748E-2</v>
      </c>
      <c r="IJ28" s="33">
        <f>IF(Buckets_4_24[[#This Row],[Capacity]]=0, 1, Buckets_4_24[[#This Row],[Final]]/Buckets_4_24[[#This Row],[Capacity]])</f>
        <v>0.99995999999999985</v>
      </c>
      <c r="IL28" s="40">
        <f>Buckets_4_24[[#This Row],[Final]]</f>
        <v>249.98999999999995</v>
      </c>
      <c r="IM28" s="40">
        <f>Buckets_4_24[[#This Row],[Capacity]]</f>
        <v>250</v>
      </c>
      <c r="IN28" s="41" t="b">
        <f t="shared" si="45"/>
        <v>0</v>
      </c>
      <c r="IO28" s="42"/>
      <c r="IP28" s="42"/>
      <c r="IQ28" s="42"/>
      <c r="IR28" s="42"/>
      <c r="IS28" s="43"/>
      <c r="IT28" s="40">
        <f t="shared" si="46"/>
        <v>249.98999999999995</v>
      </c>
      <c r="IU28" s="40">
        <f t="shared" si="47"/>
        <v>250</v>
      </c>
      <c r="IV28" s="41" t="b">
        <f t="shared" si="8"/>
        <v>0</v>
      </c>
    </row>
    <row r="29" spans="1:256" x14ac:dyDescent="0.25">
      <c r="A29" s="49"/>
      <c r="B29" t="s">
        <v>321</v>
      </c>
      <c r="C29" t="s">
        <v>321</v>
      </c>
      <c r="D29" t="s">
        <v>304</v>
      </c>
      <c r="F29" s="30">
        <v>50</v>
      </c>
      <c r="G29" s="38">
        <v>500</v>
      </c>
      <c r="H29" t="b">
        <v>0</v>
      </c>
      <c r="J29" s="50">
        <f t="shared" si="9"/>
        <v>50</v>
      </c>
      <c r="K29" s="50">
        <f>GetTransactionTotal(AggregateTable2023[], AggregateTable2023[Start], J$1, AggregateTable2023[#Headers], $D29)</f>
        <v>-103.84</v>
      </c>
      <c r="L29" s="50">
        <f>Buckets_9_23[[#This Row],[Start]]+Buckets_9_23[[#This Row],[Transactions]]</f>
        <v>-53.84</v>
      </c>
      <c r="M29" s="50">
        <f t="shared" si="10"/>
        <v>500</v>
      </c>
      <c r="N29" s="50">
        <f>Buckets_9_23[[#This Row],[Capacity]]-Buckets_9_23[[#This Row],[After T]]</f>
        <v>553.84</v>
      </c>
      <c r="O29" s="50">
        <f>IF(Buckets_9_23[[#This Row],[After T]]&lt;0, Buckets_9_23[[#This Row],[After T]], IF(Buckets_9_23[[#This Row],[Cap Diff]]&lt;0, -Buckets_9_23[[#This Row],[Cap Diff]], 0))</f>
        <v>-53.84</v>
      </c>
      <c r="P29" s="50">
        <f>Buckets_9_23[[#This Row],[After T]]-Buckets_9_23[[#This Row],[Slush]]</f>
        <v>0</v>
      </c>
      <c r="Q29" s="50">
        <f>Buckets_9_23[[#This Row],[Capacity]]-Buckets_9_23[[#This Row],[Before Fill]]</f>
        <v>500</v>
      </c>
      <c r="R29" s="31" t="b">
        <f t="shared" si="0"/>
        <v>0</v>
      </c>
      <c r="S29" s="50">
        <f>IF(Buckets_9_23[[#This Row],[Is Crit]], Buckets_9_23[[#This Row],[S Cap Diff]], 0)</f>
        <v>0</v>
      </c>
      <c r="T29" s="50">
        <f>Buckets_9_23[[#This Row],[Before Fill]]+Buckets_9_23[[#This Row],[Crit To Fill]]</f>
        <v>0</v>
      </c>
      <c r="U29" s="50">
        <f>IF(NOT(Buckets_9_23[[#This Row],[Is Crit]]), Buckets_9_23[[#This Row],[S Cap Diff]], 0)</f>
        <v>500</v>
      </c>
      <c r="V29" s="50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A29" s="51">
        <f>IF(Buckets_9_23[[#This Row],[Capacity]]=0, 1, Buckets_9_23[[#This Row],[Final]]/Buckets_9_23[[#This Row],[Capacity]])</f>
        <v>0.87282000000000004</v>
      </c>
      <c r="AC29" s="31">
        <f>Buckets_9_23[[#This Row],[Final]]</f>
        <v>436.41</v>
      </c>
      <c r="AD29" s="31">
        <f>Buckets_9_23[[#This Row],[Capacity]]</f>
        <v>500</v>
      </c>
      <c r="AE29" t="b">
        <f>H29</f>
        <v>0</v>
      </c>
      <c r="AF29" s="43"/>
      <c r="AG29" s="42"/>
      <c r="AH29" s="43"/>
      <c r="AI29" s="42"/>
      <c r="AJ29" s="43"/>
      <c r="AK29" s="40">
        <f t="shared" si="11"/>
        <v>436.41</v>
      </c>
      <c r="AL29" s="40">
        <f t="shared" si="12"/>
        <v>500</v>
      </c>
      <c r="AM29" s="41" t="b">
        <f t="shared" si="1"/>
        <v>0</v>
      </c>
      <c r="AO29" s="29">
        <f t="shared" si="13"/>
        <v>436.41</v>
      </c>
      <c r="AP29" s="29">
        <f>GetTransactionTotal(AggregateTable2023[], AggregateTable2023[Start], AO$1, AggregateTable2023[#Headers], $D29)</f>
        <v>-62.63</v>
      </c>
      <c r="AQ29" s="29">
        <f>Buckets_10_23[[#This Row],[Start]]+Buckets_10_23[[#This Row],[Transactions]]</f>
        <v>373.78000000000003</v>
      </c>
      <c r="AR29" s="29">
        <f t="shared" si="14"/>
        <v>500</v>
      </c>
      <c r="AS29" s="29">
        <f>Buckets_10_23[[#This Row],[Capacity]]-Buckets_10_23[[#This Row],[After T]]</f>
        <v>126.21999999999997</v>
      </c>
      <c r="AT29" s="29">
        <f>MAX(-Buckets_10_23[[#This Row],[Cap Diff]], 0)</f>
        <v>0</v>
      </c>
      <c r="AU29" s="29">
        <f>Buckets_10_23[[#This Row],[After T]]-Buckets_10_23[[#This Row],[Slush]]</f>
        <v>373.78000000000003</v>
      </c>
      <c r="AV29" s="29">
        <f>Buckets_10_23[[#This Row],[Capacity]]-Buckets_10_23[[#This Row],[Before Fill]]</f>
        <v>126.21999999999997</v>
      </c>
      <c r="AW29" t="b">
        <f>OR(AM29, Buckets_10_23[[#This Row],[After T]]&lt;0)</f>
        <v>0</v>
      </c>
      <c r="AX29" s="29">
        <f>IF(Buckets_10_23[[#This Row],[Is Crit]], Buckets_10_23[[#This Row],[S Cap Diff]], 0)</f>
        <v>0</v>
      </c>
      <c r="AY29" s="29">
        <f>Buckets_10_23[[#This Row],[Before Fill]]+Buckets_10_23[[#This Row],[Crit To Fill]]</f>
        <v>373.78000000000003</v>
      </c>
      <c r="AZ29" s="29">
        <f>IF(NOT(Buckets_10_23[[#This Row],[Is Crit]]), Buckets_10_23[[#This Row],[S Cap Diff]], 0)</f>
        <v>126.21999999999997</v>
      </c>
      <c r="BA29" s="29">
        <f>ROUND(AY$41/Buckets_10_23[[#Totals],[NC To Fill]]*Buckets_10_23[[#This Row],[NC To Fill]], 2)</f>
        <v>74.97</v>
      </c>
      <c r="BB29" s="31">
        <f>Buckets_10_23[[#This Row],[Pre Scale]] + IF($D29="Unexpected Fund", AY45-Buckets_10_23[[#Totals],[Pre Scale]], 0)</f>
        <v>74.97</v>
      </c>
      <c r="BC29" s="31">
        <f>Buckets_10_23[[#This Row],[Crit Filled]]+Buckets_10_23[[#This Row],[Scaled]]</f>
        <v>448.75</v>
      </c>
      <c r="BD29" s="31">
        <f>Buckets_10_23[[#This Row],[NC Filled]]</f>
        <v>448.75</v>
      </c>
      <c r="BE29" s="31">
        <f>Buckets_10_23[[#This Row],[Capacity]]-Buckets_10_23[[#This Row],[Final]]</f>
        <v>51.25</v>
      </c>
      <c r="BF29" s="33">
        <f>IF(Buckets_10_23[[#This Row],[Capacity]]=0, 1, Buckets_10_23[[#This Row],[Final]]/Buckets_10_23[[#This Row],[Capacity]])</f>
        <v>0.89749999999999996</v>
      </c>
      <c r="BH29" s="31">
        <f>Buckets_10_23[[#This Row],[Final]]</f>
        <v>448.75</v>
      </c>
      <c r="BI29" s="31">
        <f>Buckets_10_23[[#This Row],[Capacity]]</f>
        <v>500</v>
      </c>
      <c r="BJ29" t="b">
        <f t="shared" si="15"/>
        <v>0</v>
      </c>
      <c r="BK29" s="43"/>
      <c r="BL29" s="42"/>
      <c r="BM29" s="43"/>
      <c r="BN29" s="42"/>
      <c r="BO29" s="43"/>
      <c r="BP29" s="40">
        <f t="shared" si="16"/>
        <v>448.75</v>
      </c>
      <c r="BQ29" s="40">
        <f t="shared" si="17"/>
        <v>500</v>
      </c>
      <c r="BR29" s="41" t="b">
        <f t="shared" si="2"/>
        <v>0</v>
      </c>
      <c r="BT29" s="29">
        <f t="shared" si="18"/>
        <v>448.75</v>
      </c>
      <c r="BU29" s="29">
        <f>GetTransactionTotal(AggregateTable2023[], AggregateTable2023[Start], BT$1, AggregateTable2023[#Headers], $D29)</f>
        <v>-0.45999999999999375</v>
      </c>
      <c r="BV29" s="29">
        <f>Buckets_11_23[[#This Row],[Start]]+Buckets_11_23[[#This Row],[Transactions]]</f>
        <v>448.29</v>
      </c>
      <c r="BW29" s="29">
        <f t="shared" si="19"/>
        <v>500</v>
      </c>
      <c r="BX29" s="29">
        <f>Buckets_11_23[[#This Row],[Capacity]]-Buckets_11_23[[#This Row],[After T]]</f>
        <v>51.70999999999998</v>
      </c>
      <c r="BY29" s="29">
        <f>MAX(-Buckets_11_23[[#This Row],[Cap Diff]], 0)</f>
        <v>0</v>
      </c>
      <c r="BZ29" s="29">
        <f>Buckets_11_23[[#This Row],[After T]]-Buckets_11_23[[#This Row],[Slush]]</f>
        <v>448.29</v>
      </c>
      <c r="CA29" s="29">
        <f>Buckets_11_23[[#This Row],[Capacity]]-Buckets_11_23[[#This Row],[Before Fill]]</f>
        <v>51.70999999999998</v>
      </c>
      <c r="CB29" t="b">
        <f>OR(BR29, Buckets_11_23[[#This Row],[After T]]&lt;0)</f>
        <v>0</v>
      </c>
      <c r="CC29" s="29">
        <f>IF(Buckets_11_23[[#This Row],[Is Crit]], Buckets_11_23[[#This Row],[S Cap Diff]], 0)</f>
        <v>0</v>
      </c>
      <c r="CD29" s="29">
        <f>Buckets_11_23[[#This Row],[Before Fill]]+Buckets_11_23[[#This Row],[Crit To Fill]]</f>
        <v>448.29</v>
      </c>
      <c r="CE29" s="29">
        <f>IF(NOT(Buckets_11_23[[#This Row],[Is Crit]]), Buckets_11_23[[#This Row],[S Cap Diff]], 0)</f>
        <v>51.70999999999998</v>
      </c>
      <c r="CF29" s="29">
        <f>ROUND(CD$41/Buckets_11_23[[#Totals],[NC To Fill]]*Buckets_11_23[[#This Row],[NC To Fill]], 2)</f>
        <v>51</v>
      </c>
      <c r="CG29" s="31">
        <f>Buckets_11_23[[#This Row],[Pre Scale]] + IF($D29="Unexpected Fund", CD45-Buckets_11_23[[#Totals],[Pre Scale]], 0)</f>
        <v>51</v>
      </c>
      <c r="CH29" s="31">
        <f>Buckets_11_23[[#This Row],[Crit Filled]]+Buckets_11_23[[#This Row],[Scaled]]</f>
        <v>499.29</v>
      </c>
      <c r="CI29" s="31">
        <f>Buckets_11_23[[#This Row],[NC Filled]]</f>
        <v>499.29</v>
      </c>
      <c r="CJ29" s="31">
        <f>Buckets_11_23[[#This Row],[Capacity]]-Buckets_11_23[[#This Row],[Final]]</f>
        <v>0.70999999999997954</v>
      </c>
      <c r="CK29" s="33">
        <f>IF(Buckets_11_23[[#This Row],[Capacity]]=0, 1, Buckets_11_23[[#This Row],[Final]]/Buckets_11_23[[#This Row],[Capacity]])</f>
        <v>0.99858000000000002</v>
      </c>
      <c r="CM29" s="40">
        <f>Buckets_11_23[[#This Row],[Final]]</f>
        <v>499.29</v>
      </c>
      <c r="CN29" s="40">
        <f>Buckets_11_23[[#This Row],[Capacity]]</f>
        <v>500</v>
      </c>
      <c r="CO29" s="41" t="b">
        <f t="shared" si="20"/>
        <v>0</v>
      </c>
      <c r="CP29" s="42">
        <v>-200</v>
      </c>
      <c r="CQ29" s="42"/>
      <c r="CR29" s="42"/>
      <c r="CS29" s="42"/>
      <c r="CT29" s="43"/>
      <c r="CU29" s="40">
        <f t="shared" si="21"/>
        <v>299.29000000000002</v>
      </c>
      <c r="CV29" s="40">
        <f t="shared" si="22"/>
        <v>500</v>
      </c>
      <c r="CW29" s="41" t="b">
        <f t="shared" si="3"/>
        <v>0</v>
      </c>
      <c r="CY29" s="29">
        <f t="shared" si="23"/>
        <v>299.29000000000002</v>
      </c>
      <c r="CZ29" s="29">
        <f>GetTransactionTotal(AggregateTable2023[], AggregateTable2023[Start], CY$1, AggregateTable2023[#Headers], $D29)</f>
        <v>-182.89000000000001</v>
      </c>
      <c r="DA29" s="29">
        <f>Buckets_12_23[[#This Row],[Start]]+Buckets_12_23[[#This Row],[Transactions]]</f>
        <v>116.4</v>
      </c>
      <c r="DB29" s="29">
        <f t="shared" si="24"/>
        <v>500</v>
      </c>
      <c r="DC29" s="29">
        <f>Buckets_12_23[[#This Row],[Capacity]]-Buckets_12_23[[#This Row],[After T]]</f>
        <v>383.6</v>
      </c>
      <c r="DD29" s="29">
        <f>MAX(-Buckets_12_23[[#This Row],[Cap Diff]], 0)</f>
        <v>0</v>
      </c>
      <c r="DE29" s="29">
        <f>Buckets_12_23[[#This Row],[After T]]-Buckets_12_23[[#This Row],[Slush]]</f>
        <v>116.4</v>
      </c>
      <c r="DF29" s="29">
        <f>Buckets_12_23[[#This Row],[Capacity]]-Buckets_12_23[[#This Row],[Before Fill]]</f>
        <v>383.6</v>
      </c>
      <c r="DG29" t="b">
        <f>OR(CW29, Buckets_12_23[[#This Row],[After T]]&lt;0)</f>
        <v>0</v>
      </c>
      <c r="DH29" s="29">
        <f>IF(Buckets_12_23[[#This Row],[Is Crit]], Buckets_12_23[[#This Row],[S Cap Diff]], 0)</f>
        <v>0</v>
      </c>
      <c r="DI29" s="29">
        <f>Buckets_12_23[[#This Row],[Before Fill]]+Buckets_12_23[[#This Row],[Crit To Fill]]</f>
        <v>116.4</v>
      </c>
      <c r="DJ29" s="29">
        <f>IF(NOT(Buckets_12_23[[#This Row],[Is Crit]]), Buckets_12_23[[#This Row],[S Cap Diff]], 0)</f>
        <v>383.6</v>
      </c>
      <c r="DK29" s="29">
        <f>ROUND(DI$41/Buckets_12_23[[#Totals],[NC To Fill]]*Buckets_12_23[[#This Row],[NC To Fill]], 2)</f>
        <v>175.39</v>
      </c>
      <c r="DL29" s="31">
        <f>Buckets_12_23[[#This Row],[Pre Scale]] + IF($D29="Unexpected Fund", DI45-Buckets_12_23[[#Totals],[Pre Scale]], 0)</f>
        <v>175.39</v>
      </c>
      <c r="DM29" s="31">
        <f>Buckets_12_23[[#This Row],[Crit Filled]]+Buckets_12_23[[#This Row],[Scaled]]</f>
        <v>291.78999999999996</v>
      </c>
      <c r="DN29" s="31">
        <f>Buckets_12_23[[#This Row],[NC Filled]]</f>
        <v>291.78999999999996</v>
      </c>
      <c r="DO29" s="31">
        <f>Buckets_12_23[[#This Row],[Capacity]]-Buckets_12_23[[#This Row],[Final]]</f>
        <v>208.21000000000004</v>
      </c>
      <c r="DP29" s="33">
        <f>IF(Buckets_12_23[[#This Row],[Capacity]]=0, 1, Buckets_12_23[[#This Row],[Final]]/Buckets_12_23[[#This Row],[Capacity]])</f>
        <v>0.58357999999999988</v>
      </c>
      <c r="DR29" s="40">
        <f>Buckets_12_23[[#This Row],[Final]]</f>
        <v>291.78999999999996</v>
      </c>
      <c r="DS29" s="40">
        <f>Buckets_12_23[[#This Row],[Capacity]]</f>
        <v>500</v>
      </c>
      <c r="DT29" s="41" t="b">
        <f t="shared" si="25"/>
        <v>0</v>
      </c>
      <c r="DU29" s="42"/>
      <c r="DV29" s="42"/>
      <c r="DW29" s="42"/>
      <c r="DX29" s="42"/>
      <c r="DY29" s="43"/>
      <c r="DZ29" s="40">
        <f t="shared" si="26"/>
        <v>291.78999999999996</v>
      </c>
      <c r="EA29" s="40">
        <f t="shared" si="27"/>
        <v>500</v>
      </c>
      <c r="EB29" s="41" t="b">
        <f t="shared" si="4"/>
        <v>0</v>
      </c>
      <c r="ED29" s="29">
        <f t="shared" si="28"/>
        <v>291.78999999999996</v>
      </c>
      <c r="EE29" s="29">
        <f>GetTransactionTotal(AggregateTable2024[], AggregateTable2024[Start], ED$1, AggregateTable2024[#Headers], $D29)</f>
        <v>-30</v>
      </c>
      <c r="EF29" s="29">
        <f>Buckets_1_24[[#This Row],[Start]]+Buckets_1_24[[#This Row],[Transactions]]</f>
        <v>261.78999999999996</v>
      </c>
      <c r="EG29" s="29">
        <f t="shared" si="29"/>
        <v>500</v>
      </c>
      <c r="EH29" s="29">
        <f>Buckets_1_24[[#This Row],[Capacity]]-Buckets_1_24[[#This Row],[After T]]</f>
        <v>238.21000000000004</v>
      </c>
      <c r="EI29" s="29">
        <f>MAX(-Buckets_1_24[[#This Row],[Cap Diff]], 0)</f>
        <v>0</v>
      </c>
      <c r="EJ29" s="29">
        <f>Buckets_1_24[[#This Row],[After T]]-Buckets_1_24[[#This Row],[Slush]]</f>
        <v>261.78999999999996</v>
      </c>
      <c r="EK29" s="29">
        <f>Buckets_1_24[[#This Row],[Capacity]]-Buckets_1_24[[#This Row],[Before Fill]]</f>
        <v>238.21000000000004</v>
      </c>
      <c r="EL29" t="b">
        <f>OR(EB29, Buckets_1_24[[#This Row],[After T]]&lt;0)</f>
        <v>0</v>
      </c>
      <c r="EM29" s="29">
        <f>IF(Buckets_1_24[[#This Row],[Is Crit]], Buckets_1_24[[#This Row],[S Cap Diff]], 0)</f>
        <v>0</v>
      </c>
      <c r="EN29" s="29">
        <f>Buckets_1_24[[#This Row],[Before Fill]]+Buckets_1_24[[#This Row],[Crit To Fill]]</f>
        <v>261.78999999999996</v>
      </c>
      <c r="EO29" s="29">
        <f>IF(NOT(Buckets_1_24[[#This Row],[Is Crit]]), Buckets_1_24[[#This Row],[S Cap Diff]], 0)</f>
        <v>238.21000000000004</v>
      </c>
      <c r="EP29" s="29">
        <f>ROUND(EN$41/Buckets_1_24[[#Totals],[NC To Fill]]*Buckets_1_24[[#This Row],[NC To Fill]], 2)</f>
        <v>146.26</v>
      </c>
      <c r="EQ29" s="31">
        <f>Buckets_1_24[[#This Row],[Pre Scale]] + IF($D29="Unexpected Fund", EN45-Buckets_1_24[[#Totals],[Pre Scale]], 0)</f>
        <v>146.26</v>
      </c>
      <c r="ER29" s="31">
        <f>Buckets_1_24[[#This Row],[Crit Filled]]+Buckets_1_24[[#This Row],[Scaled]]</f>
        <v>408.04999999999995</v>
      </c>
      <c r="ES29" s="31">
        <f>Buckets_1_24[[#This Row],[NC Filled]]</f>
        <v>408.04999999999995</v>
      </c>
      <c r="ET29" s="31">
        <f>Buckets_1_24[[#This Row],[Capacity]]-Buckets_1_24[[#This Row],[Final]]</f>
        <v>91.950000000000045</v>
      </c>
      <c r="EU29" s="33">
        <f>IF(Buckets_1_24[[#This Row],[Capacity]]=0, 1, Buckets_1_24[[#This Row],[Final]]/Buckets_1_24[[#This Row],[Capacity]])</f>
        <v>0.81609999999999994</v>
      </c>
      <c r="EW29" s="40">
        <f>Buckets_1_24[[#This Row],[Final]]</f>
        <v>408.04999999999995</v>
      </c>
      <c r="EX29" s="40">
        <f>Buckets_1_24[[#This Row],[Capacity]]</f>
        <v>500</v>
      </c>
      <c r="EY29" s="41" t="b">
        <f t="shared" si="30"/>
        <v>0</v>
      </c>
      <c r="EZ29" s="42"/>
      <c r="FA29" s="42"/>
      <c r="FB29" s="42"/>
      <c r="FC29" s="42"/>
      <c r="FD29" s="43"/>
      <c r="FE29" s="40">
        <f t="shared" si="31"/>
        <v>408.04999999999995</v>
      </c>
      <c r="FF29" s="40">
        <f t="shared" si="32"/>
        <v>500</v>
      </c>
      <c r="FG29" s="41" t="b">
        <f t="shared" si="5"/>
        <v>0</v>
      </c>
      <c r="FI29" s="29">
        <f t="shared" si="33"/>
        <v>408.04999999999995</v>
      </c>
      <c r="FJ29" s="29">
        <f>GetTransactionTotal(AggregateTable2024[], AggregateTable2024[Start], FI$1, AggregateTable2024[#Headers], $D29)</f>
        <v>-30</v>
      </c>
      <c r="FK29" s="29">
        <f>Buckets_2_24[[#This Row],[Start]]+Buckets_2_24[[#This Row],[Transactions]]</f>
        <v>378.04999999999995</v>
      </c>
      <c r="FL29" s="29">
        <f t="shared" si="34"/>
        <v>500</v>
      </c>
      <c r="FM29" s="29">
        <f>Buckets_2_24[[#This Row],[Capacity]]-Buckets_2_24[[#This Row],[After T]]</f>
        <v>121.95000000000005</v>
      </c>
      <c r="FN29" s="29">
        <f>MAX(-Buckets_2_24[[#This Row],[Cap Diff]], 0)</f>
        <v>0</v>
      </c>
      <c r="FO29" s="29">
        <f>Buckets_2_24[[#This Row],[After T]]-Buckets_2_24[[#This Row],[Slush]]</f>
        <v>378.04999999999995</v>
      </c>
      <c r="FP29" s="29">
        <f>Buckets_2_24[[#This Row],[Capacity]]-Buckets_2_24[[#This Row],[Before Fill]]</f>
        <v>121.95000000000005</v>
      </c>
      <c r="FQ29" t="b">
        <f>OR(FG29, Buckets_2_24[[#This Row],[After T]]&lt;0)</f>
        <v>0</v>
      </c>
      <c r="FR29" s="29">
        <f>IF(Buckets_2_24[[#This Row],[Is Crit]], Buckets_2_24[[#This Row],[S Cap Diff]], 0)</f>
        <v>0</v>
      </c>
      <c r="FS29" s="29">
        <f>Buckets_2_24[[#This Row],[Before Fill]]+Buckets_2_24[[#This Row],[Crit To Fill]]</f>
        <v>378.04999999999995</v>
      </c>
      <c r="FT29" s="29">
        <f>IF(NOT(Buckets_2_24[[#This Row],[Is Crit]]), Buckets_2_24[[#This Row],[S Cap Diff]], 0)</f>
        <v>121.95000000000005</v>
      </c>
      <c r="FU29" s="29">
        <f>ROUND(FS$41/Buckets_2_24[[#Totals],[NC To Fill]]*Buckets_2_24[[#This Row],[NC To Fill]], 2)</f>
        <v>117.48</v>
      </c>
      <c r="FV29" s="31">
        <f>Buckets_2_24[[#This Row],[Pre Scale]] + IF($D29="Unexpected Fund", FS45-Buckets_2_24[[#Totals],[Pre Scale]], 0)</f>
        <v>117.48</v>
      </c>
      <c r="FW29" s="31">
        <f>Buckets_2_24[[#This Row],[Crit Filled]]+Buckets_2_24[[#This Row],[Scaled]]</f>
        <v>495.53</v>
      </c>
      <c r="FX29" s="31">
        <f>Buckets_2_24[[#This Row],[NC Filled]]</f>
        <v>495.53</v>
      </c>
      <c r="FY29" s="31">
        <f>Buckets_2_24[[#This Row],[Capacity]]-Buckets_2_24[[#This Row],[Final]]</f>
        <v>4.4700000000000273</v>
      </c>
      <c r="FZ29" s="33">
        <f>IF(Buckets_2_24[[#This Row],[Capacity]]=0, 1, Buckets_2_24[[#This Row],[Final]]/Buckets_2_24[[#This Row],[Capacity]])</f>
        <v>0.99105999999999994</v>
      </c>
      <c r="GB29" s="40">
        <f>Buckets_2_24[[#This Row],[Final]]</f>
        <v>495.53</v>
      </c>
      <c r="GC29" s="40">
        <f>Buckets_2_24[[#This Row],[Capacity]]</f>
        <v>500</v>
      </c>
      <c r="GD29" s="41" t="b">
        <f t="shared" si="35"/>
        <v>0</v>
      </c>
      <c r="GE29" s="42"/>
      <c r="GF29" s="42"/>
      <c r="GG29" s="42"/>
      <c r="GH29" s="42"/>
      <c r="GI29" s="43"/>
      <c r="GJ29" s="40">
        <f t="shared" si="36"/>
        <v>495.53</v>
      </c>
      <c r="GK29" s="40">
        <f t="shared" si="37"/>
        <v>500</v>
      </c>
      <c r="GL29" s="41" t="b">
        <f t="shared" si="6"/>
        <v>0</v>
      </c>
      <c r="GN29" s="29">
        <f t="shared" si="38"/>
        <v>495.53</v>
      </c>
      <c r="GO29" s="29">
        <f>GetTransactionTotal(AggregateTable2024[], AggregateTable2024[Start], GN$1, AggregateTable2024[#Headers], $D29)</f>
        <v>-30</v>
      </c>
      <c r="GP29" s="29">
        <f>Buckets_3_24[[#This Row],[Start]]+Buckets_3_24[[#This Row],[Transactions]]</f>
        <v>465.53</v>
      </c>
      <c r="GQ29" s="29">
        <f t="shared" si="39"/>
        <v>500</v>
      </c>
      <c r="GR29" s="29">
        <f>Buckets_3_24[[#This Row],[Capacity]]-Buckets_3_24[[#This Row],[After T]]</f>
        <v>34.470000000000027</v>
      </c>
      <c r="GS29" s="29">
        <f>MAX(-Buckets_3_24[[#This Row],[Cap Diff]], 0)</f>
        <v>0</v>
      </c>
      <c r="GT29" s="29">
        <f>Buckets_3_24[[#This Row],[After T]]-Buckets_3_24[[#This Row],[Slush]]</f>
        <v>465.53</v>
      </c>
      <c r="GU29" s="29">
        <f>Buckets_3_24[[#This Row],[Capacity]]-Buckets_3_24[[#This Row],[Before Fill]]</f>
        <v>34.470000000000027</v>
      </c>
      <c r="GV29" t="b">
        <f>OR(GL29, Buckets_3_24[[#This Row],[After T]]&lt;0)</f>
        <v>0</v>
      </c>
      <c r="GW29" s="29">
        <f>IF(Buckets_3_24[[#This Row],[Is Crit]], Buckets_3_24[[#This Row],[S Cap Diff]], 0)</f>
        <v>0</v>
      </c>
      <c r="GX29" s="29">
        <f>Buckets_3_24[[#This Row],[Before Fill]]+Buckets_3_24[[#This Row],[Crit To Fill]]</f>
        <v>465.53</v>
      </c>
      <c r="GY29" s="29">
        <f>IF(NOT(Buckets_3_24[[#This Row],[Is Crit]]), Buckets_3_24[[#This Row],[S Cap Diff]], 0)</f>
        <v>34.470000000000027</v>
      </c>
      <c r="GZ29" s="29">
        <f>ROUND(GX$41/Buckets_3_24[[#Totals],[NC To Fill]]*Buckets_3_24[[#This Row],[NC To Fill]], 2)</f>
        <v>33.479999999999997</v>
      </c>
      <c r="HA29" s="31">
        <f>Buckets_3_24[[#This Row],[Pre Scale]] + IF($D29="Unexpected Fund", GX45-Buckets_3_24[[#Totals],[Pre Scale]], 0)</f>
        <v>33.479999999999997</v>
      </c>
      <c r="HB29" s="31">
        <f>Buckets_3_24[[#This Row],[Crit Filled]]+Buckets_3_24[[#This Row],[Scaled]]</f>
        <v>499.01</v>
      </c>
      <c r="HC29" s="31">
        <f>Buckets_3_24[[#This Row],[NC Filled]]</f>
        <v>499.01</v>
      </c>
      <c r="HD29" s="31">
        <f>Buckets_3_24[[#This Row],[Capacity]]-Buckets_3_24[[#This Row],[Final]]</f>
        <v>0.99000000000000909</v>
      </c>
      <c r="HE29" s="33">
        <f>IF(Buckets_3_24[[#This Row],[Capacity]]=0, 1, Buckets_3_24[[#This Row],[Final]]/Buckets_3_24[[#This Row],[Capacity]])</f>
        <v>0.99802000000000002</v>
      </c>
      <c r="HG29" s="40">
        <f>Buckets_3_24[[#This Row],[Final]]</f>
        <v>499.01</v>
      </c>
      <c r="HH29" s="40">
        <f>Buckets_3_24[[#This Row],[Capacity]]</f>
        <v>500</v>
      </c>
      <c r="HI29" s="41" t="b">
        <f t="shared" si="40"/>
        <v>0</v>
      </c>
      <c r="HJ29" s="42"/>
      <c r="HK29" s="42"/>
      <c r="HL29" s="42"/>
      <c r="HM29" s="42"/>
      <c r="HN29" s="43"/>
      <c r="HO29" s="40">
        <f t="shared" si="41"/>
        <v>499.01</v>
      </c>
      <c r="HP29" s="40">
        <f t="shared" si="42"/>
        <v>500</v>
      </c>
      <c r="HQ29" s="41" t="b">
        <f t="shared" si="7"/>
        <v>0</v>
      </c>
      <c r="HS29" s="29">
        <f t="shared" si="43"/>
        <v>499.01</v>
      </c>
      <c r="HT29" s="29">
        <f>GetTransactionTotal(AggregateTable2024[], AggregateTable2024[Start], HS$1, AggregateTable2024[#Headers], $D29)</f>
        <v>-40.81</v>
      </c>
      <c r="HU29" s="29">
        <f>Buckets_4_24[[#This Row],[Start]]+Buckets_4_24[[#This Row],[Transactions]]</f>
        <v>458.2</v>
      </c>
      <c r="HV29" s="29">
        <f t="shared" si="44"/>
        <v>500</v>
      </c>
      <c r="HW29" s="29">
        <f>Buckets_4_24[[#This Row],[Capacity]]-Buckets_4_24[[#This Row],[After T]]</f>
        <v>41.800000000000011</v>
      </c>
      <c r="HX29" s="29">
        <f>MAX(-Buckets_4_24[[#This Row],[Cap Diff]], 0)</f>
        <v>0</v>
      </c>
      <c r="HY29" s="29">
        <f>Buckets_4_24[[#This Row],[After T]]-Buckets_4_24[[#This Row],[Slush]]</f>
        <v>458.2</v>
      </c>
      <c r="HZ29" s="29">
        <f>Buckets_4_24[[#This Row],[Capacity]]-Buckets_4_24[[#This Row],[Before Fill]]</f>
        <v>41.800000000000011</v>
      </c>
      <c r="IA29" t="b">
        <f>OR(HQ29, Buckets_4_24[[#This Row],[After T]]&lt;0)</f>
        <v>0</v>
      </c>
      <c r="IB29" s="29">
        <f>IF(Buckets_4_24[[#This Row],[Is Crit]], Buckets_4_24[[#This Row],[S Cap Diff]], 0)</f>
        <v>0</v>
      </c>
      <c r="IC29" s="29">
        <f>Buckets_4_24[[#This Row],[Before Fill]]+Buckets_4_24[[#This Row],[Crit To Fill]]</f>
        <v>458.2</v>
      </c>
      <c r="ID29" s="29">
        <f>IF(NOT(Buckets_4_24[[#This Row],[Is Crit]]), Buckets_4_24[[#This Row],[S Cap Diff]], 0)</f>
        <v>41.800000000000011</v>
      </c>
      <c r="IE29" s="29">
        <f>ROUND(IC$41/Buckets_4_24[[#Totals],[NC To Fill]]*Buckets_4_24[[#This Row],[NC To Fill]], 2)</f>
        <v>27.28</v>
      </c>
      <c r="IF29" s="31">
        <f>Buckets_4_24[[#This Row],[Pre Scale]] + IF($D29="Unexpected Fund", IC45-Buckets_4_24[[#Totals],[Pre Scale]], 0)</f>
        <v>27.28</v>
      </c>
      <c r="IG29" s="31">
        <f>Buckets_4_24[[#This Row],[Crit Filled]]+Buckets_4_24[[#This Row],[Scaled]]</f>
        <v>485.48</v>
      </c>
      <c r="IH29" s="31">
        <f>Buckets_4_24[[#This Row],[NC Filled]]</f>
        <v>485.48</v>
      </c>
      <c r="II29" s="31">
        <f>Buckets_4_24[[#This Row],[Capacity]]-Buckets_4_24[[#This Row],[Final]]</f>
        <v>14.519999999999982</v>
      </c>
      <c r="IJ29" s="33">
        <f>IF(Buckets_4_24[[#This Row],[Capacity]]=0, 1, Buckets_4_24[[#This Row],[Final]]/Buckets_4_24[[#This Row],[Capacity]])</f>
        <v>0.97096000000000005</v>
      </c>
      <c r="IL29" s="40">
        <f>Buckets_4_24[[#This Row],[Final]]</f>
        <v>485.48</v>
      </c>
      <c r="IM29" s="40">
        <f>Buckets_4_24[[#This Row],[Capacity]]</f>
        <v>500</v>
      </c>
      <c r="IN29" s="41" t="b">
        <f t="shared" si="45"/>
        <v>0</v>
      </c>
      <c r="IO29" s="42"/>
      <c r="IP29" s="42"/>
      <c r="IQ29" s="42"/>
      <c r="IR29" s="42"/>
      <c r="IS29" s="43"/>
      <c r="IT29" s="40">
        <f t="shared" si="46"/>
        <v>485.48</v>
      </c>
      <c r="IU29" s="40">
        <f t="shared" si="47"/>
        <v>500</v>
      </c>
      <c r="IV29" s="41" t="b">
        <f t="shared" si="8"/>
        <v>0</v>
      </c>
    </row>
    <row r="30" spans="1:256" x14ac:dyDescent="0.25">
      <c r="A30" s="49"/>
      <c r="B30" t="s">
        <v>327</v>
      </c>
      <c r="C30" t="s">
        <v>286</v>
      </c>
      <c r="D30" t="s">
        <v>286</v>
      </c>
      <c r="F30" s="30">
        <v>50</v>
      </c>
      <c r="G30" s="38">
        <v>200</v>
      </c>
      <c r="H30" t="b">
        <v>0</v>
      </c>
      <c r="J30" s="50">
        <f t="shared" si="9"/>
        <v>50</v>
      </c>
      <c r="K30" s="50">
        <f>GetTransactionTotal(AggregateTable2023[], AggregateTable2023[Start], J$1, AggregateTable2023[#Headers], $D30)</f>
        <v>0</v>
      </c>
      <c r="L30" s="50">
        <f>Buckets_9_23[[#This Row],[Start]]+Buckets_9_23[[#This Row],[Transactions]]</f>
        <v>50</v>
      </c>
      <c r="M30" s="50">
        <f t="shared" si="10"/>
        <v>200</v>
      </c>
      <c r="N30" s="50">
        <f>Buckets_9_23[[#This Row],[Capacity]]-Buckets_9_23[[#This Row],[After T]]</f>
        <v>150</v>
      </c>
      <c r="O30" s="50">
        <f>IF(Buckets_9_23[[#This Row],[After T]]&lt;0, Buckets_9_23[[#This Row],[After T]], IF(Buckets_9_23[[#This Row],[Cap Diff]]&lt;0, -Buckets_9_23[[#This Row],[Cap Diff]], 0))</f>
        <v>0</v>
      </c>
      <c r="P30" s="50">
        <f>Buckets_9_23[[#This Row],[After T]]-Buckets_9_23[[#This Row],[Slush]]</f>
        <v>50</v>
      </c>
      <c r="Q30" s="50">
        <f>Buckets_9_23[[#This Row],[Capacity]]-Buckets_9_23[[#This Row],[Before Fill]]</f>
        <v>150</v>
      </c>
      <c r="R30" s="31" t="b">
        <f t="shared" si="0"/>
        <v>0</v>
      </c>
      <c r="S30" s="50">
        <f>IF(Buckets_9_23[[#This Row],[Is Crit]], Buckets_9_23[[#This Row],[S Cap Diff]], 0)</f>
        <v>0</v>
      </c>
      <c r="T30" s="50">
        <f>Buckets_9_23[[#This Row],[Before Fill]]+Buckets_9_23[[#This Row],[Crit To Fill]]</f>
        <v>50</v>
      </c>
      <c r="U30" s="50">
        <f>IF(NOT(Buckets_9_23[[#This Row],[Is Crit]]), Buckets_9_23[[#This Row],[S Cap Diff]], 0)</f>
        <v>150</v>
      </c>
      <c r="V30" s="50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A30" s="51">
        <f>IF(Buckets_9_23[[#This Row],[Capacity]]=0, 1, Buckets_9_23[[#This Row],[Final]]/Buckets_9_23[[#This Row],[Capacity]])</f>
        <v>0.90459999999999996</v>
      </c>
      <c r="AC30" s="31">
        <f>Buckets_9_23[[#This Row],[Final]]</f>
        <v>180.92</v>
      </c>
      <c r="AD30" s="31">
        <f>Buckets_9_23[[#This Row],[Capacity]]</f>
        <v>200</v>
      </c>
      <c r="AE30" t="b">
        <f>H30</f>
        <v>0</v>
      </c>
      <c r="AF30" s="43"/>
      <c r="AG30" s="42"/>
      <c r="AH30" s="43"/>
      <c r="AI30" s="42"/>
      <c r="AJ30" s="43"/>
      <c r="AK30" s="40">
        <f t="shared" si="11"/>
        <v>180.92</v>
      </c>
      <c r="AL30" s="40">
        <f t="shared" si="12"/>
        <v>200</v>
      </c>
      <c r="AM30" s="41" t="b">
        <f t="shared" si="1"/>
        <v>0</v>
      </c>
      <c r="AO30" s="29">
        <f t="shared" si="13"/>
        <v>180.92</v>
      </c>
      <c r="AP30" s="29">
        <f>GetTransactionTotal(AggregateTable2023[], AggregateTable2023[Start], AO$1, AggregateTable2023[#Headers], $D30)</f>
        <v>-49.480000000000004</v>
      </c>
      <c r="AQ30" s="29">
        <f>Buckets_10_23[[#This Row],[Start]]+Buckets_10_23[[#This Row],[Transactions]]</f>
        <v>131.44</v>
      </c>
      <c r="AR30" s="29">
        <f t="shared" si="14"/>
        <v>200</v>
      </c>
      <c r="AS30" s="29">
        <f>Buckets_10_23[[#This Row],[Capacity]]-Buckets_10_23[[#This Row],[After T]]</f>
        <v>68.56</v>
      </c>
      <c r="AT30" s="29">
        <f>MAX(-Buckets_10_23[[#This Row],[Cap Diff]], 0)</f>
        <v>0</v>
      </c>
      <c r="AU30" s="29">
        <f>Buckets_10_23[[#This Row],[After T]]-Buckets_10_23[[#This Row],[Slush]]</f>
        <v>131.44</v>
      </c>
      <c r="AV30" s="29">
        <f>Buckets_10_23[[#This Row],[Capacity]]-Buckets_10_23[[#This Row],[Before Fill]]</f>
        <v>68.56</v>
      </c>
      <c r="AW30" t="b">
        <f>OR(AM30, Buckets_10_23[[#This Row],[After T]]&lt;0)</f>
        <v>0</v>
      </c>
      <c r="AX30" s="29">
        <f>IF(Buckets_10_23[[#This Row],[Is Crit]], Buckets_10_23[[#This Row],[S Cap Diff]], 0)</f>
        <v>0</v>
      </c>
      <c r="AY30" s="29">
        <f>Buckets_10_23[[#This Row],[Before Fill]]+Buckets_10_23[[#This Row],[Crit To Fill]]</f>
        <v>131.44</v>
      </c>
      <c r="AZ30" s="29">
        <f>IF(NOT(Buckets_10_23[[#This Row],[Is Crit]]), Buckets_10_23[[#This Row],[S Cap Diff]], 0)</f>
        <v>68.56</v>
      </c>
      <c r="BA30" s="29">
        <f>ROUND(AY$41/Buckets_10_23[[#Totals],[NC To Fill]]*Buckets_10_23[[#This Row],[NC To Fill]], 2)</f>
        <v>40.72</v>
      </c>
      <c r="BB30" s="31">
        <f>Buckets_10_23[[#This Row],[Pre Scale]] + IF($D30="Unexpected Fund", AY46-Buckets_10_23[[#Totals],[Pre Scale]], 0)</f>
        <v>40.72</v>
      </c>
      <c r="BC30" s="31">
        <f>Buckets_10_23[[#This Row],[Crit Filled]]+Buckets_10_23[[#This Row],[Scaled]]</f>
        <v>172.16</v>
      </c>
      <c r="BD30" s="31">
        <f>Buckets_10_23[[#This Row],[NC Filled]]</f>
        <v>172.16</v>
      </c>
      <c r="BE30" s="31">
        <f>Buckets_10_23[[#This Row],[Capacity]]-Buckets_10_23[[#This Row],[Final]]</f>
        <v>27.840000000000003</v>
      </c>
      <c r="BF30" s="33">
        <f>IF(Buckets_10_23[[#This Row],[Capacity]]=0, 1, Buckets_10_23[[#This Row],[Final]]/Buckets_10_23[[#This Row],[Capacity]])</f>
        <v>0.86080000000000001</v>
      </c>
      <c r="BH30" s="31">
        <f>Buckets_10_23[[#This Row],[Final]]</f>
        <v>172.16</v>
      </c>
      <c r="BI30" s="31">
        <f>Buckets_10_23[[#This Row],[Capacity]]</f>
        <v>200</v>
      </c>
      <c r="BJ30" t="b">
        <f t="shared" si="15"/>
        <v>0</v>
      </c>
      <c r="BK30" s="43"/>
      <c r="BL30" s="42"/>
      <c r="BM30" s="43"/>
      <c r="BN30" s="42"/>
      <c r="BO30" s="43"/>
      <c r="BP30" s="40">
        <f t="shared" si="16"/>
        <v>172.16</v>
      </c>
      <c r="BQ30" s="40">
        <f t="shared" si="17"/>
        <v>200</v>
      </c>
      <c r="BR30" s="41" t="b">
        <f t="shared" si="2"/>
        <v>0</v>
      </c>
      <c r="BT30" s="29">
        <f t="shared" si="18"/>
        <v>172.16</v>
      </c>
      <c r="BU30" s="29">
        <f>GetTransactionTotal(AggregateTable2023[], AggregateTable2023[Start], BT$1, AggregateTable2023[#Headers], $D30)</f>
        <v>-186.24</v>
      </c>
      <c r="BV30" s="29">
        <f>Buckets_11_23[[#This Row],[Start]]+Buckets_11_23[[#This Row],[Transactions]]</f>
        <v>-14.080000000000013</v>
      </c>
      <c r="BW30" s="29">
        <f t="shared" si="19"/>
        <v>200</v>
      </c>
      <c r="BX30" s="29">
        <f>Buckets_11_23[[#This Row],[Capacity]]-Buckets_11_23[[#This Row],[After T]]</f>
        <v>214.08</v>
      </c>
      <c r="BY30" s="29">
        <f>MAX(-Buckets_11_23[[#This Row],[Cap Diff]], 0)</f>
        <v>0</v>
      </c>
      <c r="BZ30" s="29">
        <f>Buckets_11_23[[#This Row],[After T]]-Buckets_11_23[[#This Row],[Slush]]</f>
        <v>-14.080000000000013</v>
      </c>
      <c r="CA30" s="29">
        <f>Buckets_11_23[[#This Row],[Capacity]]-Buckets_11_23[[#This Row],[Before Fill]]</f>
        <v>214.08</v>
      </c>
      <c r="CB30" t="b">
        <f>OR(BR30, Buckets_11_23[[#This Row],[After T]]&lt;0)</f>
        <v>1</v>
      </c>
      <c r="CC30" s="29">
        <f>IF(Buckets_11_23[[#This Row],[Is Crit]], Buckets_11_23[[#This Row],[S Cap Diff]], 0)</f>
        <v>214.08</v>
      </c>
      <c r="CD30" s="29">
        <f>Buckets_11_23[[#This Row],[Before Fill]]+Buckets_11_23[[#This Row],[Crit To Fill]]</f>
        <v>200</v>
      </c>
      <c r="CE30" s="29">
        <f>IF(NOT(Buckets_11_23[[#This Row],[Is Crit]]), Buckets_11_23[[#This Row],[S Cap Diff]], 0)</f>
        <v>0</v>
      </c>
      <c r="CF30" s="29">
        <f>ROUND(CD$41/Buckets_11_23[[#Totals],[NC To Fill]]*Buckets_11_23[[#This Row],[NC To Fill]], 2)</f>
        <v>0</v>
      </c>
      <c r="CG30" s="31">
        <f>Buckets_11_23[[#This Row],[Pre Scale]] + IF($D30="Unexpected Fund", CD46-Buckets_11_23[[#Totals],[Pre Scale]], 0)</f>
        <v>0</v>
      </c>
      <c r="CH30" s="31">
        <f>Buckets_11_23[[#This Row],[Crit Filled]]+Buckets_11_23[[#This Row],[Scaled]]</f>
        <v>200</v>
      </c>
      <c r="CI30" s="31">
        <f>Buckets_11_23[[#This Row],[NC Filled]]</f>
        <v>200</v>
      </c>
      <c r="CJ30" s="31">
        <f>Buckets_11_23[[#This Row],[Capacity]]-Buckets_11_23[[#This Row],[Final]]</f>
        <v>0</v>
      </c>
      <c r="CK30" s="33">
        <f>IF(Buckets_11_23[[#This Row],[Capacity]]=0, 1, Buckets_11_23[[#This Row],[Final]]/Buckets_11_23[[#This Row],[Capacity]])</f>
        <v>1</v>
      </c>
      <c r="CM30" s="40">
        <f>Buckets_11_23[[#This Row],[Final]]</f>
        <v>200</v>
      </c>
      <c r="CN30" s="40">
        <f>Buckets_11_23[[#This Row],[Capacity]]</f>
        <v>200</v>
      </c>
      <c r="CO30" s="41" t="b">
        <f t="shared" si="20"/>
        <v>0</v>
      </c>
      <c r="CP30" s="42"/>
      <c r="CQ30" s="42"/>
      <c r="CR30" s="42"/>
      <c r="CS30" s="42"/>
      <c r="CT30" s="43"/>
      <c r="CU30" s="40">
        <f t="shared" si="21"/>
        <v>200</v>
      </c>
      <c r="CV30" s="40">
        <f t="shared" si="22"/>
        <v>200</v>
      </c>
      <c r="CW30" s="41" t="b">
        <f t="shared" si="3"/>
        <v>0</v>
      </c>
      <c r="CY30" s="29">
        <f t="shared" si="23"/>
        <v>200</v>
      </c>
      <c r="CZ30" s="29">
        <f>GetTransactionTotal(AggregateTable2023[], AggregateTable2023[Start], CY$1, AggregateTable2023[#Headers], $D30)</f>
        <v>0</v>
      </c>
      <c r="DA30" s="29">
        <f>Buckets_12_23[[#This Row],[Start]]+Buckets_12_23[[#This Row],[Transactions]]</f>
        <v>200</v>
      </c>
      <c r="DB30" s="29">
        <f t="shared" si="24"/>
        <v>200</v>
      </c>
      <c r="DC30" s="29">
        <f>Buckets_12_23[[#This Row],[Capacity]]-Buckets_12_23[[#This Row],[After T]]</f>
        <v>0</v>
      </c>
      <c r="DD30" s="29">
        <f>MAX(-Buckets_12_23[[#This Row],[Cap Diff]], 0)</f>
        <v>0</v>
      </c>
      <c r="DE30" s="29">
        <f>Buckets_12_23[[#This Row],[After T]]-Buckets_12_23[[#This Row],[Slush]]</f>
        <v>200</v>
      </c>
      <c r="DF30" s="29">
        <f>Buckets_12_23[[#This Row],[Capacity]]-Buckets_12_23[[#This Row],[Before Fill]]</f>
        <v>0</v>
      </c>
      <c r="DG30" t="b">
        <f>OR(CW30, Buckets_12_23[[#This Row],[After T]]&lt;0)</f>
        <v>0</v>
      </c>
      <c r="DH30" s="29">
        <f>IF(Buckets_12_23[[#This Row],[Is Crit]], Buckets_12_23[[#This Row],[S Cap Diff]], 0)</f>
        <v>0</v>
      </c>
      <c r="DI30" s="29">
        <f>Buckets_12_23[[#This Row],[Before Fill]]+Buckets_12_23[[#This Row],[Crit To Fill]]</f>
        <v>200</v>
      </c>
      <c r="DJ30" s="29">
        <f>IF(NOT(Buckets_12_23[[#This Row],[Is Crit]]), Buckets_12_23[[#This Row],[S Cap Diff]], 0)</f>
        <v>0</v>
      </c>
      <c r="DK30" s="29">
        <f>ROUND(DI$41/Buckets_12_23[[#Totals],[NC To Fill]]*Buckets_12_23[[#This Row],[NC To Fill]], 2)</f>
        <v>0</v>
      </c>
      <c r="DL30" s="31">
        <f>Buckets_12_23[[#This Row],[Pre Scale]] + IF($D30="Unexpected Fund", DI46-Buckets_12_23[[#Totals],[Pre Scale]], 0)</f>
        <v>0</v>
      </c>
      <c r="DM30" s="31">
        <f>Buckets_12_23[[#This Row],[Crit Filled]]+Buckets_12_23[[#This Row],[Scaled]]</f>
        <v>200</v>
      </c>
      <c r="DN30" s="31">
        <f>Buckets_12_23[[#This Row],[NC Filled]]</f>
        <v>200</v>
      </c>
      <c r="DO30" s="31">
        <f>Buckets_12_23[[#This Row],[Capacity]]-Buckets_12_23[[#This Row],[Final]]</f>
        <v>0</v>
      </c>
      <c r="DP30" s="33">
        <f>IF(Buckets_12_23[[#This Row],[Capacity]]=0, 1, Buckets_12_23[[#This Row],[Final]]/Buckets_12_23[[#This Row],[Capacity]])</f>
        <v>1</v>
      </c>
      <c r="DR30" s="40">
        <f>Buckets_12_23[[#This Row],[Final]]</f>
        <v>200</v>
      </c>
      <c r="DS30" s="40">
        <f>Buckets_12_23[[#This Row],[Capacity]]</f>
        <v>200</v>
      </c>
      <c r="DT30" s="41" t="b">
        <f t="shared" si="25"/>
        <v>0</v>
      </c>
      <c r="DU30" s="42"/>
      <c r="DV30" s="42"/>
      <c r="DW30" s="42"/>
      <c r="DX30" s="42"/>
      <c r="DY30" s="43"/>
      <c r="DZ30" s="40">
        <f t="shared" si="26"/>
        <v>200</v>
      </c>
      <c r="EA30" s="40">
        <f t="shared" si="27"/>
        <v>200</v>
      </c>
      <c r="EB30" s="41" t="b">
        <f t="shared" si="4"/>
        <v>0</v>
      </c>
      <c r="ED30" s="29">
        <f t="shared" si="28"/>
        <v>200</v>
      </c>
      <c r="EE30" s="29">
        <f>GetTransactionTotal(AggregateTable2024[], AggregateTable2024[Start], ED$1, AggregateTable2024[#Headers], $D30)</f>
        <v>-56.25</v>
      </c>
      <c r="EF30" s="29">
        <f>Buckets_1_24[[#This Row],[Start]]+Buckets_1_24[[#This Row],[Transactions]]</f>
        <v>143.75</v>
      </c>
      <c r="EG30" s="29">
        <f t="shared" si="29"/>
        <v>200</v>
      </c>
      <c r="EH30" s="29">
        <f>Buckets_1_24[[#This Row],[Capacity]]-Buckets_1_24[[#This Row],[After T]]</f>
        <v>56.25</v>
      </c>
      <c r="EI30" s="29">
        <f>MAX(-Buckets_1_24[[#This Row],[Cap Diff]], 0)</f>
        <v>0</v>
      </c>
      <c r="EJ30" s="29">
        <f>Buckets_1_24[[#This Row],[After T]]-Buckets_1_24[[#This Row],[Slush]]</f>
        <v>143.75</v>
      </c>
      <c r="EK30" s="29">
        <f>Buckets_1_24[[#This Row],[Capacity]]-Buckets_1_24[[#This Row],[Before Fill]]</f>
        <v>56.25</v>
      </c>
      <c r="EL30" t="b">
        <f>OR(EB30, Buckets_1_24[[#This Row],[After T]]&lt;0)</f>
        <v>0</v>
      </c>
      <c r="EM30" s="29">
        <f>IF(Buckets_1_24[[#This Row],[Is Crit]], Buckets_1_24[[#This Row],[S Cap Diff]], 0)</f>
        <v>0</v>
      </c>
      <c r="EN30" s="29">
        <f>Buckets_1_24[[#This Row],[Before Fill]]+Buckets_1_24[[#This Row],[Crit To Fill]]</f>
        <v>143.75</v>
      </c>
      <c r="EO30" s="29">
        <f>IF(NOT(Buckets_1_24[[#This Row],[Is Crit]]), Buckets_1_24[[#This Row],[S Cap Diff]], 0)</f>
        <v>56.25</v>
      </c>
      <c r="EP30" s="29">
        <f>ROUND(EN$41/Buckets_1_24[[#Totals],[NC To Fill]]*Buckets_1_24[[#This Row],[NC To Fill]], 2)</f>
        <v>34.54</v>
      </c>
      <c r="EQ30" s="31">
        <f>Buckets_1_24[[#This Row],[Pre Scale]] + IF($D30="Unexpected Fund", EN46-Buckets_1_24[[#Totals],[Pre Scale]], 0)</f>
        <v>34.54</v>
      </c>
      <c r="ER30" s="31">
        <f>Buckets_1_24[[#This Row],[Crit Filled]]+Buckets_1_24[[#This Row],[Scaled]]</f>
        <v>178.29</v>
      </c>
      <c r="ES30" s="31">
        <f>Buckets_1_24[[#This Row],[NC Filled]]</f>
        <v>178.29</v>
      </c>
      <c r="ET30" s="31">
        <f>Buckets_1_24[[#This Row],[Capacity]]-Buckets_1_24[[#This Row],[Final]]</f>
        <v>21.710000000000008</v>
      </c>
      <c r="EU30" s="33">
        <f>IF(Buckets_1_24[[#This Row],[Capacity]]=0, 1, Buckets_1_24[[#This Row],[Final]]/Buckets_1_24[[#This Row],[Capacity]])</f>
        <v>0.89144999999999996</v>
      </c>
      <c r="EW30" s="40">
        <f>Buckets_1_24[[#This Row],[Final]]</f>
        <v>178.29</v>
      </c>
      <c r="EX30" s="40">
        <f>Buckets_1_24[[#This Row],[Capacity]]</f>
        <v>200</v>
      </c>
      <c r="EY30" s="41" t="b">
        <f t="shared" si="30"/>
        <v>0</v>
      </c>
      <c r="EZ30" s="42"/>
      <c r="FA30" s="42"/>
      <c r="FB30" s="42"/>
      <c r="FC30" s="42"/>
      <c r="FD30" s="43"/>
      <c r="FE30" s="40">
        <f t="shared" si="31"/>
        <v>178.29</v>
      </c>
      <c r="FF30" s="40">
        <f t="shared" si="32"/>
        <v>200</v>
      </c>
      <c r="FG30" s="41" t="b">
        <f t="shared" si="5"/>
        <v>0</v>
      </c>
      <c r="FI30" s="29">
        <f t="shared" si="33"/>
        <v>178.29</v>
      </c>
      <c r="FJ30" s="29">
        <f>GetTransactionTotal(AggregateTable2024[], AggregateTable2024[Start], FI$1, AggregateTable2024[#Headers], $D30)</f>
        <v>0</v>
      </c>
      <c r="FK30" s="29">
        <f>Buckets_2_24[[#This Row],[Start]]+Buckets_2_24[[#This Row],[Transactions]]</f>
        <v>178.29</v>
      </c>
      <c r="FL30" s="29">
        <f t="shared" si="34"/>
        <v>200</v>
      </c>
      <c r="FM30" s="29">
        <f>Buckets_2_24[[#This Row],[Capacity]]-Buckets_2_24[[#This Row],[After T]]</f>
        <v>21.710000000000008</v>
      </c>
      <c r="FN30" s="29">
        <f>MAX(-Buckets_2_24[[#This Row],[Cap Diff]], 0)</f>
        <v>0</v>
      </c>
      <c r="FO30" s="29">
        <f>Buckets_2_24[[#This Row],[After T]]-Buckets_2_24[[#This Row],[Slush]]</f>
        <v>178.29</v>
      </c>
      <c r="FP30" s="29">
        <f>Buckets_2_24[[#This Row],[Capacity]]-Buckets_2_24[[#This Row],[Before Fill]]</f>
        <v>21.710000000000008</v>
      </c>
      <c r="FQ30" t="b">
        <f>OR(FG30, Buckets_2_24[[#This Row],[After T]]&lt;0)</f>
        <v>0</v>
      </c>
      <c r="FR30" s="29">
        <f>IF(Buckets_2_24[[#This Row],[Is Crit]], Buckets_2_24[[#This Row],[S Cap Diff]], 0)</f>
        <v>0</v>
      </c>
      <c r="FS30" s="29">
        <f>Buckets_2_24[[#This Row],[Before Fill]]+Buckets_2_24[[#This Row],[Crit To Fill]]</f>
        <v>178.29</v>
      </c>
      <c r="FT30" s="29">
        <f>IF(NOT(Buckets_2_24[[#This Row],[Is Crit]]), Buckets_2_24[[#This Row],[S Cap Diff]], 0)</f>
        <v>21.710000000000008</v>
      </c>
      <c r="FU30" s="29">
        <f>ROUND(FS$41/Buckets_2_24[[#Totals],[NC To Fill]]*Buckets_2_24[[#This Row],[NC To Fill]], 2)</f>
        <v>20.91</v>
      </c>
      <c r="FV30" s="31">
        <f>Buckets_2_24[[#This Row],[Pre Scale]] + IF($D30="Unexpected Fund", FS46-Buckets_2_24[[#Totals],[Pre Scale]], 0)</f>
        <v>20.91</v>
      </c>
      <c r="FW30" s="31">
        <f>Buckets_2_24[[#This Row],[Crit Filled]]+Buckets_2_24[[#This Row],[Scaled]]</f>
        <v>199.2</v>
      </c>
      <c r="FX30" s="31">
        <f>Buckets_2_24[[#This Row],[NC Filled]]</f>
        <v>199.2</v>
      </c>
      <c r="FY30" s="31">
        <f>Buckets_2_24[[#This Row],[Capacity]]-Buckets_2_24[[#This Row],[Final]]</f>
        <v>0.80000000000001137</v>
      </c>
      <c r="FZ30" s="33">
        <f>IF(Buckets_2_24[[#This Row],[Capacity]]=0, 1, Buckets_2_24[[#This Row],[Final]]/Buckets_2_24[[#This Row],[Capacity]])</f>
        <v>0.996</v>
      </c>
      <c r="GB30" s="40">
        <f>Buckets_2_24[[#This Row],[Final]]</f>
        <v>199.2</v>
      </c>
      <c r="GC30" s="40">
        <f>Buckets_2_24[[#This Row],[Capacity]]</f>
        <v>200</v>
      </c>
      <c r="GD30" s="41" t="b">
        <f t="shared" si="35"/>
        <v>0</v>
      </c>
      <c r="GE30" s="42"/>
      <c r="GF30" s="42"/>
      <c r="GG30" s="42"/>
      <c r="GH30" s="42"/>
      <c r="GI30" s="43"/>
      <c r="GJ30" s="40">
        <f t="shared" si="36"/>
        <v>199.2</v>
      </c>
      <c r="GK30" s="40">
        <f t="shared" si="37"/>
        <v>200</v>
      </c>
      <c r="GL30" s="41" t="b">
        <f t="shared" si="6"/>
        <v>0</v>
      </c>
      <c r="GN30" s="29">
        <f t="shared" si="38"/>
        <v>199.2</v>
      </c>
      <c r="GO30" s="29">
        <f>GetTransactionTotal(AggregateTable2024[], AggregateTable2024[Start], GN$1, AggregateTable2024[#Headers], $D30)</f>
        <v>0</v>
      </c>
      <c r="GP30" s="29">
        <f>Buckets_3_24[[#This Row],[Start]]+Buckets_3_24[[#This Row],[Transactions]]</f>
        <v>199.2</v>
      </c>
      <c r="GQ30" s="29">
        <f t="shared" si="39"/>
        <v>200</v>
      </c>
      <c r="GR30" s="29">
        <f>Buckets_3_24[[#This Row],[Capacity]]-Buckets_3_24[[#This Row],[After T]]</f>
        <v>0.80000000000001137</v>
      </c>
      <c r="GS30" s="29">
        <f>MAX(-Buckets_3_24[[#This Row],[Cap Diff]], 0)</f>
        <v>0</v>
      </c>
      <c r="GT30" s="29">
        <f>Buckets_3_24[[#This Row],[After T]]-Buckets_3_24[[#This Row],[Slush]]</f>
        <v>199.2</v>
      </c>
      <c r="GU30" s="29">
        <f>Buckets_3_24[[#This Row],[Capacity]]-Buckets_3_24[[#This Row],[Before Fill]]</f>
        <v>0.80000000000001137</v>
      </c>
      <c r="GV30" t="b">
        <f>OR(GL30, Buckets_3_24[[#This Row],[After T]]&lt;0)</f>
        <v>0</v>
      </c>
      <c r="GW30" s="29">
        <f>IF(Buckets_3_24[[#This Row],[Is Crit]], Buckets_3_24[[#This Row],[S Cap Diff]], 0)</f>
        <v>0</v>
      </c>
      <c r="GX30" s="29">
        <f>Buckets_3_24[[#This Row],[Before Fill]]+Buckets_3_24[[#This Row],[Crit To Fill]]</f>
        <v>199.2</v>
      </c>
      <c r="GY30" s="29">
        <f>IF(NOT(Buckets_3_24[[#This Row],[Is Crit]]), Buckets_3_24[[#This Row],[S Cap Diff]], 0)</f>
        <v>0.80000000000001137</v>
      </c>
      <c r="GZ30" s="29">
        <f>ROUND(GX$41/Buckets_3_24[[#Totals],[NC To Fill]]*Buckets_3_24[[#This Row],[NC To Fill]], 2)</f>
        <v>0.78</v>
      </c>
      <c r="HA30" s="31">
        <f>Buckets_3_24[[#This Row],[Pre Scale]] + IF($D30="Unexpected Fund", GX46-Buckets_3_24[[#Totals],[Pre Scale]], 0)</f>
        <v>0.78</v>
      </c>
      <c r="HB30" s="31">
        <f>Buckets_3_24[[#This Row],[Crit Filled]]+Buckets_3_24[[#This Row],[Scaled]]</f>
        <v>199.98</v>
      </c>
      <c r="HC30" s="31">
        <f>Buckets_3_24[[#This Row],[NC Filled]]</f>
        <v>199.98</v>
      </c>
      <c r="HD30" s="31">
        <f>Buckets_3_24[[#This Row],[Capacity]]-Buckets_3_24[[#This Row],[Final]]</f>
        <v>2.0000000000010232E-2</v>
      </c>
      <c r="HE30" s="33">
        <f>IF(Buckets_3_24[[#This Row],[Capacity]]=0, 1, Buckets_3_24[[#This Row],[Final]]/Buckets_3_24[[#This Row],[Capacity]])</f>
        <v>0.9998999999999999</v>
      </c>
      <c r="HG30" s="40">
        <f>Buckets_3_24[[#This Row],[Final]]</f>
        <v>199.98</v>
      </c>
      <c r="HH30" s="40">
        <f>Buckets_3_24[[#This Row],[Capacity]]</f>
        <v>200</v>
      </c>
      <c r="HI30" s="41" t="b">
        <f t="shared" si="40"/>
        <v>0</v>
      </c>
      <c r="HJ30" s="42"/>
      <c r="HK30" s="42"/>
      <c r="HL30" s="42"/>
      <c r="HM30" s="42"/>
      <c r="HN30" s="43"/>
      <c r="HO30" s="40">
        <f t="shared" si="41"/>
        <v>199.98</v>
      </c>
      <c r="HP30" s="40">
        <f t="shared" si="42"/>
        <v>200</v>
      </c>
      <c r="HQ30" s="41" t="b">
        <f t="shared" si="7"/>
        <v>0</v>
      </c>
      <c r="HS30" s="29">
        <f t="shared" si="43"/>
        <v>199.98</v>
      </c>
      <c r="HT30" s="29">
        <f>GetTransactionTotal(AggregateTable2024[], AggregateTable2024[Start], HS$1, AggregateTable2024[#Headers], $D30)</f>
        <v>-34</v>
      </c>
      <c r="HU30" s="29">
        <f>Buckets_4_24[[#This Row],[Start]]+Buckets_4_24[[#This Row],[Transactions]]</f>
        <v>165.98</v>
      </c>
      <c r="HV30" s="29">
        <f t="shared" si="44"/>
        <v>200</v>
      </c>
      <c r="HW30" s="29">
        <f>Buckets_4_24[[#This Row],[Capacity]]-Buckets_4_24[[#This Row],[After T]]</f>
        <v>34.02000000000001</v>
      </c>
      <c r="HX30" s="29">
        <f>MAX(-Buckets_4_24[[#This Row],[Cap Diff]], 0)</f>
        <v>0</v>
      </c>
      <c r="HY30" s="29">
        <f>Buckets_4_24[[#This Row],[After T]]-Buckets_4_24[[#This Row],[Slush]]</f>
        <v>165.98</v>
      </c>
      <c r="HZ30" s="29">
        <f>Buckets_4_24[[#This Row],[Capacity]]-Buckets_4_24[[#This Row],[Before Fill]]</f>
        <v>34.02000000000001</v>
      </c>
      <c r="IA30" t="b">
        <f>OR(HQ30, Buckets_4_24[[#This Row],[After T]]&lt;0)</f>
        <v>0</v>
      </c>
      <c r="IB30" s="29">
        <f>IF(Buckets_4_24[[#This Row],[Is Crit]], Buckets_4_24[[#This Row],[S Cap Diff]], 0)</f>
        <v>0</v>
      </c>
      <c r="IC30" s="29">
        <f>Buckets_4_24[[#This Row],[Before Fill]]+Buckets_4_24[[#This Row],[Crit To Fill]]</f>
        <v>165.98</v>
      </c>
      <c r="ID30" s="29">
        <f>IF(NOT(Buckets_4_24[[#This Row],[Is Crit]]), Buckets_4_24[[#This Row],[S Cap Diff]], 0)</f>
        <v>34.02000000000001</v>
      </c>
      <c r="IE30" s="29">
        <f>ROUND(IC$41/Buckets_4_24[[#Totals],[NC To Fill]]*Buckets_4_24[[#This Row],[NC To Fill]], 2)</f>
        <v>22.2</v>
      </c>
      <c r="IF30" s="31">
        <f>Buckets_4_24[[#This Row],[Pre Scale]] + IF($D30="Unexpected Fund", IC46-Buckets_4_24[[#Totals],[Pre Scale]], 0)</f>
        <v>22.2</v>
      </c>
      <c r="IG30" s="31">
        <f>Buckets_4_24[[#This Row],[Crit Filled]]+Buckets_4_24[[#This Row],[Scaled]]</f>
        <v>188.17999999999998</v>
      </c>
      <c r="IH30" s="31">
        <f>Buckets_4_24[[#This Row],[NC Filled]]</f>
        <v>188.17999999999998</v>
      </c>
      <c r="II30" s="31">
        <f>Buckets_4_24[[#This Row],[Capacity]]-Buckets_4_24[[#This Row],[Final]]</f>
        <v>11.820000000000022</v>
      </c>
      <c r="IJ30" s="33">
        <f>IF(Buckets_4_24[[#This Row],[Capacity]]=0, 1, Buckets_4_24[[#This Row],[Final]]/Buckets_4_24[[#This Row],[Capacity]])</f>
        <v>0.94089999999999985</v>
      </c>
      <c r="IL30" s="40">
        <f>Buckets_4_24[[#This Row],[Final]]</f>
        <v>188.17999999999998</v>
      </c>
      <c r="IM30" s="40">
        <f>Buckets_4_24[[#This Row],[Capacity]]</f>
        <v>200</v>
      </c>
      <c r="IN30" s="41" t="b">
        <f t="shared" si="45"/>
        <v>0</v>
      </c>
      <c r="IO30" s="42"/>
      <c r="IP30" s="42"/>
      <c r="IQ30" s="42"/>
      <c r="IR30" s="42"/>
      <c r="IS30" s="43"/>
      <c r="IT30" s="40">
        <f t="shared" si="46"/>
        <v>188.17999999999998</v>
      </c>
      <c r="IU30" s="40">
        <f t="shared" si="47"/>
        <v>200</v>
      </c>
      <c r="IV30" s="41" t="b">
        <f t="shared" si="8"/>
        <v>0</v>
      </c>
    </row>
    <row r="31" spans="1:256" x14ac:dyDescent="0.25">
      <c r="A31" s="49" t="s">
        <v>212</v>
      </c>
      <c r="B31" t="s">
        <v>328</v>
      </c>
      <c r="C31" t="s">
        <v>309</v>
      </c>
      <c r="D31" t="s">
        <v>309</v>
      </c>
      <c r="F31" s="30">
        <v>0</v>
      </c>
      <c r="G31" s="38">
        <v>0</v>
      </c>
      <c r="H31" t="b">
        <v>0</v>
      </c>
      <c r="J31" s="50">
        <f t="shared" si="9"/>
        <v>0</v>
      </c>
      <c r="K31" s="50">
        <f>GetTransactionTotal(AggregateTable2023[], AggregateTable2023[Start], J$1, AggregateTable2023[#Headers], $D31)</f>
        <v>5000</v>
      </c>
      <c r="L31" s="50">
        <f>Buckets_9_23[[#This Row],[Start]]+Buckets_9_23[[#This Row],[Transactions]]</f>
        <v>5000</v>
      </c>
      <c r="M31" s="50">
        <f t="shared" si="10"/>
        <v>0</v>
      </c>
      <c r="N31" s="50">
        <f>Buckets_9_23[[#This Row],[Capacity]]-Buckets_9_23[[#This Row],[After T]]</f>
        <v>-5000</v>
      </c>
      <c r="O31" s="50">
        <f>IF(Buckets_9_23[[#This Row],[After T]]&lt;0, Buckets_9_23[[#This Row],[After T]], IF(Buckets_9_23[[#This Row],[Cap Diff]]&lt;0, -Buckets_9_23[[#This Row],[Cap Diff]], 0))</f>
        <v>5000</v>
      </c>
      <c r="P31" s="50">
        <f>Buckets_9_23[[#This Row],[After T]]-Buckets_9_23[[#This Row],[Slush]]</f>
        <v>0</v>
      </c>
      <c r="Q31" s="50">
        <f>Buckets_9_23[[#This Row],[Capacity]]-Buckets_9_23[[#This Row],[Before Fill]]</f>
        <v>0</v>
      </c>
      <c r="R31" s="31" t="b">
        <f t="shared" si="0"/>
        <v>0</v>
      </c>
      <c r="S31" s="50">
        <f>IF(Buckets_9_23[[#This Row],[Is Crit]], Buckets_9_23[[#This Row],[S Cap Diff]], 0)</f>
        <v>0</v>
      </c>
      <c r="T31" s="50">
        <f>Buckets_9_23[[#This Row],[Before Fill]]+Buckets_9_23[[#This Row],[Crit To Fill]]</f>
        <v>0</v>
      </c>
      <c r="U31" s="50">
        <f>IF(NOT(Buckets_9_23[[#This Row],[Is Crit]]), Buckets_9_23[[#This Row],[S Cap Diff]], 0)</f>
        <v>0</v>
      </c>
      <c r="V31" s="50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A31" s="51">
        <f>IF(Buckets_9_23[[#This Row],[Capacity]]=0, 1, Buckets_9_23[[#This Row],[Final]]/Buckets_9_23[[#This Row],[Capacity]])</f>
        <v>1</v>
      </c>
      <c r="AC31" s="31">
        <f>Buckets_9_23[[#This Row],[Final]]</f>
        <v>0</v>
      </c>
      <c r="AD31" s="31">
        <f>Buckets_9_23[[#This Row],[Capacity]]</f>
        <v>0</v>
      </c>
      <c r="AE31" t="b">
        <f>H31</f>
        <v>0</v>
      </c>
      <c r="AF31" s="43"/>
      <c r="AG31" s="42"/>
      <c r="AH31" s="43"/>
      <c r="AI31" s="42"/>
      <c r="AJ31" s="43"/>
      <c r="AK31" s="40">
        <f t="shared" si="11"/>
        <v>0</v>
      </c>
      <c r="AL31" s="40">
        <f t="shared" si="12"/>
        <v>0</v>
      </c>
      <c r="AM31" s="41" t="b">
        <f t="shared" si="1"/>
        <v>0</v>
      </c>
      <c r="AO31" s="29">
        <f t="shared" si="13"/>
        <v>0</v>
      </c>
      <c r="AP31" s="29">
        <f>GetTransactionTotal(AggregateTable2023[], AggregateTable2023[Start], AO$1, AggregateTable2023[#Headers], $D31)</f>
        <v>-1000</v>
      </c>
      <c r="AQ31" s="29">
        <f>Buckets_10_23[[#This Row],[Start]]+Buckets_10_23[[#This Row],[Transactions]]</f>
        <v>-1000</v>
      </c>
      <c r="AR31" s="29">
        <f t="shared" si="14"/>
        <v>0</v>
      </c>
      <c r="AS31" s="29">
        <f>Buckets_10_23[[#This Row],[Capacity]]-Buckets_10_23[[#This Row],[After T]]</f>
        <v>1000</v>
      </c>
      <c r="AT31" s="29">
        <f>MAX(-Buckets_10_23[[#This Row],[Cap Diff]], 0)</f>
        <v>0</v>
      </c>
      <c r="AU31" s="29">
        <f>Buckets_10_23[[#This Row],[After T]]-Buckets_10_23[[#This Row],[Slush]]</f>
        <v>-1000</v>
      </c>
      <c r="AV31" s="29">
        <f>Buckets_10_23[[#This Row],[Capacity]]-Buckets_10_23[[#This Row],[Before Fill]]</f>
        <v>1000</v>
      </c>
      <c r="AW31" t="b">
        <f>OR(AM31, Buckets_10_23[[#This Row],[After T]]&lt;0)</f>
        <v>1</v>
      </c>
      <c r="AX31" s="29">
        <f>IF(Buckets_10_23[[#This Row],[Is Crit]], Buckets_10_23[[#This Row],[S Cap Diff]], 0)</f>
        <v>1000</v>
      </c>
      <c r="AY31" s="29">
        <f>Buckets_10_23[[#This Row],[Before Fill]]+Buckets_10_23[[#This Row],[Crit To Fill]]</f>
        <v>0</v>
      </c>
      <c r="AZ31" s="29">
        <f>IF(NOT(Buckets_10_23[[#This Row],[Is Crit]]), Buckets_10_23[[#This Row],[S Cap Diff]], 0)</f>
        <v>0</v>
      </c>
      <c r="BA31" s="29">
        <f>ROUND(AY$41/Buckets_10_23[[#Totals],[NC To Fill]]*Buckets_10_23[[#This Row],[NC To Fill]], 2)</f>
        <v>0</v>
      </c>
      <c r="BB31" s="31">
        <f>Buckets_10_23[[#This Row],[Pre Scale]] + IF($D31="Unexpected Fund", AY47-Buckets_10_23[[#Totals],[Pre Scale]], 0)</f>
        <v>0</v>
      </c>
      <c r="BC31" s="31">
        <f>Buckets_10_23[[#This Row],[Crit Filled]]+Buckets_10_23[[#This Row],[Scaled]]</f>
        <v>0</v>
      </c>
      <c r="BD31" s="31">
        <f>Buckets_10_23[[#This Row],[NC Filled]]</f>
        <v>0</v>
      </c>
      <c r="BE31" s="31">
        <f>Buckets_10_23[[#This Row],[Capacity]]-Buckets_10_23[[#This Row],[Final]]</f>
        <v>0</v>
      </c>
      <c r="BF31" s="33">
        <f>IF(Buckets_10_23[[#This Row],[Capacity]]=0, 1, Buckets_10_23[[#This Row],[Final]]/Buckets_10_23[[#This Row],[Capacity]])</f>
        <v>1</v>
      </c>
      <c r="BH31" s="31">
        <f>Buckets_10_23[[#This Row],[Final]]</f>
        <v>0</v>
      </c>
      <c r="BI31" s="31">
        <f>Buckets_10_23[[#This Row],[Capacity]]</f>
        <v>0</v>
      </c>
      <c r="BJ31" t="b">
        <f t="shared" si="15"/>
        <v>0</v>
      </c>
      <c r="BK31" s="43"/>
      <c r="BL31" s="42"/>
      <c r="BM31" s="43"/>
      <c r="BN31" s="42"/>
      <c r="BO31" s="43"/>
      <c r="BP31" s="40">
        <f t="shared" si="16"/>
        <v>0</v>
      </c>
      <c r="BQ31" s="40">
        <f t="shared" si="17"/>
        <v>0</v>
      </c>
      <c r="BR31" s="41" t="b">
        <f t="shared" si="2"/>
        <v>0</v>
      </c>
      <c r="BT31" s="29">
        <f t="shared" si="18"/>
        <v>0</v>
      </c>
      <c r="BU31" s="29">
        <f>GetTransactionTotal(AggregateTable2023[], AggregateTable2023[Start], BT$1, AggregateTable2023[#Headers], $D31)</f>
        <v>0</v>
      </c>
      <c r="BV31" s="29">
        <f>Buckets_11_23[[#This Row],[Start]]+Buckets_11_23[[#This Row],[Transactions]]</f>
        <v>0</v>
      </c>
      <c r="BW31" s="29">
        <f t="shared" si="19"/>
        <v>0</v>
      </c>
      <c r="BX31" s="29">
        <f>Buckets_11_23[[#This Row],[Capacity]]-Buckets_11_23[[#This Row],[After T]]</f>
        <v>0</v>
      </c>
      <c r="BY31" s="29">
        <f>MAX(-Buckets_11_23[[#This Row],[Cap Diff]], 0)</f>
        <v>0</v>
      </c>
      <c r="BZ31" s="29">
        <f>Buckets_11_23[[#This Row],[After T]]-Buckets_11_23[[#This Row],[Slush]]</f>
        <v>0</v>
      </c>
      <c r="CA31" s="29">
        <f>Buckets_11_23[[#This Row],[Capacity]]-Buckets_11_23[[#This Row],[Before Fill]]</f>
        <v>0</v>
      </c>
      <c r="CB31" t="b">
        <f>OR(BR31, Buckets_11_23[[#This Row],[After T]]&lt;0)</f>
        <v>0</v>
      </c>
      <c r="CC31" s="29">
        <f>IF(Buckets_11_23[[#This Row],[Is Crit]], Buckets_11_23[[#This Row],[S Cap Diff]], 0)</f>
        <v>0</v>
      </c>
      <c r="CD31" s="29">
        <f>Buckets_11_23[[#This Row],[Before Fill]]+Buckets_11_23[[#This Row],[Crit To Fill]]</f>
        <v>0</v>
      </c>
      <c r="CE31" s="29">
        <f>IF(NOT(Buckets_11_23[[#This Row],[Is Crit]]), Buckets_11_23[[#This Row],[S Cap Diff]], 0)</f>
        <v>0</v>
      </c>
      <c r="CF31" s="29">
        <f>ROUND(CD$41/Buckets_11_23[[#Totals],[NC To Fill]]*Buckets_11_23[[#This Row],[NC To Fill]], 2)</f>
        <v>0</v>
      </c>
      <c r="CG31" s="31">
        <f>Buckets_11_23[[#This Row],[Pre Scale]] + IF($D31="Unexpected Fund", CD47-Buckets_11_23[[#Totals],[Pre Scale]], 0)</f>
        <v>0</v>
      </c>
      <c r="CH31" s="31">
        <f>Buckets_11_23[[#This Row],[Crit Filled]]+Buckets_11_23[[#This Row],[Scaled]]</f>
        <v>0</v>
      </c>
      <c r="CI31" s="31">
        <f>Buckets_11_23[[#This Row],[NC Filled]]</f>
        <v>0</v>
      </c>
      <c r="CJ31" s="31">
        <f>Buckets_11_23[[#This Row],[Capacity]]-Buckets_11_23[[#This Row],[Final]]</f>
        <v>0</v>
      </c>
      <c r="CK31" s="33">
        <f>IF(Buckets_11_23[[#This Row],[Capacity]]=0, 1, Buckets_11_23[[#This Row],[Final]]/Buckets_11_23[[#This Row],[Capacity]])</f>
        <v>1</v>
      </c>
      <c r="CM31" s="40">
        <f>Buckets_11_23[[#This Row],[Final]]</f>
        <v>0</v>
      </c>
      <c r="CN31" s="40">
        <f>Buckets_11_23[[#This Row],[Capacity]]</f>
        <v>0</v>
      </c>
      <c r="CO31" s="41" t="b">
        <f t="shared" si="20"/>
        <v>0</v>
      </c>
      <c r="CP31" s="42"/>
      <c r="CQ31" s="42"/>
      <c r="CR31" s="42"/>
      <c r="CS31" s="42"/>
      <c r="CT31" s="43"/>
      <c r="CU31" s="40">
        <f t="shared" si="21"/>
        <v>0</v>
      </c>
      <c r="CV31" s="40">
        <f t="shared" si="22"/>
        <v>0</v>
      </c>
      <c r="CW31" s="41" t="b">
        <f t="shared" si="3"/>
        <v>0</v>
      </c>
      <c r="CY31" s="29">
        <f t="shared" si="23"/>
        <v>0</v>
      </c>
      <c r="CZ31" s="29">
        <f>GetTransactionTotal(AggregateTable2023[], AggregateTable2023[Start], CY$1, AggregateTable2023[#Headers], $D31)</f>
        <v>0</v>
      </c>
      <c r="DA31" s="29">
        <f>Buckets_12_23[[#This Row],[Start]]+Buckets_12_23[[#This Row],[Transactions]]</f>
        <v>0</v>
      </c>
      <c r="DB31" s="29">
        <f t="shared" si="24"/>
        <v>0</v>
      </c>
      <c r="DC31" s="29">
        <f>Buckets_12_23[[#This Row],[Capacity]]-Buckets_12_23[[#This Row],[After T]]</f>
        <v>0</v>
      </c>
      <c r="DD31" s="29">
        <f>MAX(-Buckets_12_23[[#This Row],[Cap Diff]], 0)</f>
        <v>0</v>
      </c>
      <c r="DE31" s="29">
        <f>Buckets_12_23[[#This Row],[After T]]-Buckets_12_23[[#This Row],[Slush]]</f>
        <v>0</v>
      </c>
      <c r="DF31" s="29">
        <f>Buckets_12_23[[#This Row],[Capacity]]-Buckets_12_23[[#This Row],[Before Fill]]</f>
        <v>0</v>
      </c>
      <c r="DG31" t="b">
        <f>OR(CW31, Buckets_12_23[[#This Row],[After T]]&lt;0)</f>
        <v>0</v>
      </c>
      <c r="DH31" s="29">
        <f>IF(Buckets_12_23[[#This Row],[Is Crit]], Buckets_12_23[[#This Row],[S Cap Diff]], 0)</f>
        <v>0</v>
      </c>
      <c r="DI31" s="29">
        <f>Buckets_12_23[[#This Row],[Before Fill]]+Buckets_12_23[[#This Row],[Crit To Fill]]</f>
        <v>0</v>
      </c>
      <c r="DJ31" s="29">
        <f>IF(NOT(Buckets_12_23[[#This Row],[Is Crit]]), Buckets_12_23[[#This Row],[S Cap Diff]], 0)</f>
        <v>0</v>
      </c>
      <c r="DK31" s="29">
        <f>ROUND(DI$41/Buckets_12_23[[#Totals],[NC To Fill]]*Buckets_12_23[[#This Row],[NC To Fill]], 2)</f>
        <v>0</v>
      </c>
      <c r="DL31" s="31">
        <f>Buckets_12_23[[#This Row],[Pre Scale]] + IF($D31="Unexpected Fund", DI47-Buckets_12_23[[#Totals],[Pre Scale]], 0)</f>
        <v>0</v>
      </c>
      <c r="DM31" s="31">
        <f>Buckets_12_23[[#This Row],[Crit Filled]]+Buckets_12_23[[#This Row],[Scaled]]</f>
        <v>0</v>
      </c>
      <c r="DN31" s="31">
        <f>Buckets_12_23[[#This Row],[NC Filled]]</f>
        <v>0</v>
      </c>
      <c r="DO31" s="31">
        <f>Buckets_12_23[[#This Row],[Capacity]]-Buckets_12_23[[#This Row],[Final]]</f>
        <v>0</v>
      </c>
      <c r="DP31" s="33">
        <f>IF(Buckets_12_23[[#This Row],[Capacity]]=0, 1, Buckets_12_23[[#This Row],[Final]]/Buckets_12_23[[#This Row],[Capacity]])</f>
        <v>1</v>
      </c>
      <c r="DR31" s="40">
        <f>Buckets_12_23[[#This Row],[Final]]</f>
        <v>0</v>
      </c>
      <c r="DS31" s="40">
        <f>Buckets_12_23[[#This Row],[Capacity]]</f>
        <v>0</v>
      </c>
      <c r="DT31" s="41" t="b">
        <f t="shared" si="25"/>
        <v>0</v>
      </c>
      <c r="DU31" s="42"/>
      <c r="DV31" s="42"/>
      <c r="DW31" s="42"/>
      <c r="DX31" s="42"/>
      <c r="DY31" s="43"/>
      <c r="DZ31" s="40">
        <f t="shared" si="26"/>
        <v>0</v>
      </c>
      <c r="EA31" s="40">
        <f t="shared" si="27"/>
        <v>0</v>
      </c>
      <c r="EB31" s="41" t="b">
        <f t="shared" si="4"/>
        <v>0</v>
      </c>
      <c r="ED31" s="29">
        <f t="shared" si="28"/>
        <v>0</v>
      </c>
      <c r="EE31" s="29">
        <f>GetTransactionTotal(AggregateTable2024[], AggregateTable2024[Start], ED$1, AggregateTable2024[#Headers], $D31)</f>
        <v>0</v>
      </c>
      <c r="EF31" s="29">
        <f>Buckets_1_24[[#This Row],[Start]]+Buckets_1_24[[#This Row],[Transactions]]</f>
        <v>0</v>
      </c>
      <c r="EG31" s="29">
        <f t="shared" si="29"/>
        <v>0</v>
      </c>
      <c r="EH31" s="29">
        <f>Buckets_1_24[[#This Row],[Capacity]]-Buckets_1_24[[#This Row],[After T]]</f>
        <v>0</v>
      </c>
      <c r="EI31" s="29">
        <f>MAX(-Buckets_1_24[[#This Row],[Cap Diff]], 0)</f>
        <v>0</v>
      </c>
      <c r="EJ31" s="29">
        <f>Buckets_1_24[[#This Row],[After T]]-Buckets_1_24[[#This Row],[Slush]]</f>
        <v>0</v>
      </c>
      <c r="EK31" s="29">
        <f>Buckets_1_24[[#This Row],[Capacity]]-Buckets_1_24[[#This Row],[Before Fill]]</f>
        <v>0</v>
      </c>
      <c r="EL31" t="b">
        <f>OR(EB31, Buckets_1_24[[#This Row],[After T]]&lt;0)</f>
        <v>0</v>
      </c>
      <c r="EM31" s="29">
        <f>IF(Buckets_1_24[[#This Row],[Is Crit]], Buckets_1_24[[#This Row],[S Cap Diff]], 0)</f>
        <v>0</v>
      </c>
      <c r="EN31" s="29">
        <f>Buckets_1_24[[#This Row],[Before Fill]]+Buckets_1_24[[#This Row],[Crit To Fill]]</f>
        <v>0</v>
      </c>
      <c r="EO31" s="29">
        <f>IF(NOT(Buckets_1_24[[#This Row],[Is Crit]]), Buckets_1_24[[#This Row],[S Cap Diff]], 0)</f>
        <v>0</v>
      </c>
      <c r="EP31" s="29">
        <f>ROUND(EN$41/Buckets_1_24[[#Totals],[NC To Fill]]*Buckets_1_24[[#This Row],[NC To Fill]], 2)</f>
        <v>0</v>
      </c>
      <c r="EQ31" s="31">
        <f>Buckets_1_24[[#This Row],[Pre Scale]] + IF($D31="Unexpected Fund", EN47-Buckets_1_24[[#Totals],[Pre Scale]], 0)</f>
        <v>0</v>
      </c>
      <c r="ER31" s="31">
        <f>Buckets_1_24[[#This Row],[Crit Filled]]+Buckets_1_24[[#This Row],[Scaled]]</f>
        <v>0</v>
      </c>
      <c r="ES31" s="31">
        <f>Buckets_1_24[[#This Row],[NC Filled]]</f>
        <v>0</v>
      </c>
      <c r="ET31" s="31">
        <f>Buckets_1_24[[#This Row],[Capacity]]-Buckets_1_24[[#This Row],[Final]]</f>
        <v>0</v>
      </c>
      <c r="EU31" s="33">
        <f>IF(Buckets_1_24[[#This Row],[Capacity]]=0, 1, Buckets_1_24[[#This Row],[Final]]/Buckets_1_24[[#This Row],[Capacity]])</f>
        <v>1</v>
      </c>
      <c r="EW31" s="40">
        <f>Buckets_1_24[[#This Row],[Final]]</f>
        <v>0</v>
      </c>
      <c r="EX31" s="40">
        <f>Buckets_1_24[[#This Row],[Capacity]]</f>
        <v>0</v>
      </c>
      <c r="EY31" s="41" t="b">
        <f t="shared" si="30"/>
        <v>0</v>
      </c>
      <c r="EZ31" s="42"/>
      <c r="FA31" s="42"/>
      <c r="FB31" s="42"/>
      <c r="FC31" s="42"/>
      <c r="FD31" s="43"/>
      <c r="FE31" s="40">
        <f t="shared" si="31"/>
        <v>0</v>
      </c>
      <c r="FF31" s="40">
        <f t="shared" si="32"/>
        <v>0</v>
      </c>
      <c r="FG31" s="41" t="b">
        <f t="shared" si="5"/>
        <v>0</v>
      </c>
      <c r="FI31" s="29">
        <f t="shared" si="33"/>
        <v>0</v>
      </c>
      <c r="FJ31" s="29">
        <f>GetTransactionTotal(AggregateTable2024[], AggregateTable2024[Start], FI$1, AggregateTable2024[#Headers], $D31)</f>
        <v>0</v>
      </c>
      <c r="FK31" s="29">
        <f>Buckets_2_24[[#This Row],[Start]]+Buckets_2_24[[#This Row],[Transactions]]</f>
        <v>0</v>
      </c>
      <c r="FL31" s="29">
        <f t="shared" si="34"/>
        <v>0</v>
      </c>
      <c r="FM31" s="29">
        <f>Buckets_2_24[[#This Row],[Capacity]]-Buckets_2_24[[#This Row],[After T]]</f>
        <v>0</v>
      </c>
      <c r="FN31" s="29">
        <f>MAX(-Buckets_2_24[[#This Row],[Cap Diff]], 0)</f>
        <v>0</v>
      </c>
      <c r="FO31" s="29">
        <f>Buckets_2_24[[#This Row],[After T]]-Buckets_2_24[[#This Row],[Slush]]</f>
        <v>0</v>
      </c>
      <c r="FP31" s="29">
        <f>Buckets_2_24[[#This Row],[Capacity]]-Buckets_2_24[[#This Row],[Before Fill]]</f>
        <v>0</v>
      </c>
      <c r="FQ31" t="b">
        <f>OR(FG31, Buckets_2_24[[#This Row],[After T]]&lt;0)</f>
        <v>0</v>
      </c>
      <c r="FR31" s="29">
        <f>IF(Buckets_2_24[[#This Row],[Is Crit]], Buckets_2_24[[#This Row],[S Cap Diff]], 0)</f>
        <v>0</v>
      </c>
      <c r="FS31" s="29">
        <f>Buckets_2_24[[#This Row],[Before Fill]]+Buckets_2_24[[#This Row],[Crit To Fill]]</f>
        <v>0</v>
      </c>
      <c r="FT31" s="29">
        <f>IF(NOT(Buckets_2_24[[#This Row],[Is Crit]]), Buckets_2_24[[#This Row],[S Cap Diff]], 0)</f>
        <v>0</v>
      </c>
      <c r="FU31" s="29">
        <f>ROUND(FS$41/Buckets_2_24[[#Totals],[NC To Fill]]*Buckets_2_24[[#This Row],[NC To Fill]], 2)</f>
        <v>0</v>
      </c>
      <c r="FV31" s="31">
        <f>Buckets_2_24[[#This Row],[Pre Scale]] + IF($D31="Unexpected Fund", FS47-Buckets_2_24[[#Totals],[Pre Scale]], 0)</f>
        <v>0</v>
      </c>
      <c r="FW31" s="31">
        <f>Buckets_2_24[[#This Row],[Crit Filled]]+Buckets_2_24[[#This Row],[Scaled]]</f>
        <v>0</v>
      </c>
      <c r="FX31" s="31">
        <f>Buckets_2_24[[#This Row],[NC Filled]]</f>
        <v>0</v>
      </c>
      <c r="FY31" s="31">
        <f>Buckets_2_24[[#This Row],[Capacity]]-Buckets_2_24[[#This Row],[Final]]</f>
        <v>0</v>
      </c>
      <c r="FZ31" s="33">
        <f>IF(Buckets_2_24[[#This Row],[Capacity]]=0, 1, Buckets_2_24[[#This Row],[Final]]/Buckets_2_24[[#This Row],[Capacity]])</f>
        <v>1</v>
      </c>
      <c r="GB31" s="40">
        <f>Buckets_2_24[[#This Row],[Final]]</f>
        <v>0</v>
      </c>
      <c r="GC31" s="40">
        <f>Buckets_2_24[[#This Row],[Capacity]]</f>
        <v>0</v>
      </c>
      <c r="GD31" s="41" t="b">
        <f t="shared" si="35"/>
        <v>0</v>
      </c>
      <c r="GE31" s="42"/>
      <c r="GF31" s="42"/>
      <c r="GG31" s="42"/>
      <c r="GH31" s="42"/>
      <c r="GI31" s="43"/>
      <c r="GJ31" s="40">
        <f t="shared" si="36"/>
        <v>0</v>
      </c>
      <c r="GK31" s="40">
        <f t="shared" si="37"/>
        <v>0</v>
      </c>
      <c r="GL31" s="41" t="b">
        <f t="shared" si="6"/>
        <v>0</v>
      </c>
      <c r="GN31" s="29">
        <f t="shared" si="38"/>
        <v>0</v>
      </c>
      <c r="GO31" s="29">
        <f>GetTransactionTotal(AggregateTable2024[], AggregateTable2024[Start], GN$1, AggregateTable2024[#Headers], $D31)</f>
        <v>0</v>
      </c>
      <c r="GP31" s="29">
        <f>Buckets_3_24[[#This Row],[Start]]+Buckets_3_24[[#This Row],[Transactions]]</f>
        <v>0</v>
      </c>
      <c r="GQ31" s="29">
        <f t="shared" si="39"/>
        <v>0</v>
      </c>
      <c r="GR31" s="29">
        <f>Buckets_3_24[[#This Row],[Capacity]]-Buckets_3_24[[#This Row],[After T]]</f>
        <v>0</v>
      </c>
      <c r="GS31" s="29">
        <f>MAX(-Buckets_3_24[[#This Row],[Cap Diff]], 0)</f>
        <v>0</v>
      </c>
      <c r="GT31" s="29">
        <f>Buckets_3_24[[#This Row],[After T]]-Buckets_3_24[[#This Row],[Slush]]</f>
        <v>0</v>
      </c>
      <c r="GU31" s="29">
        <f>Buckets_3_24[[#This Row],[Capacity]]-Buckets_3_24[[#This Row],[Before Fill]]</f>
        <v>0</v>
      </c>
      <c r="GV31" t="b">
        <f>OR(GL31, Buckets_3_24[[#This Row],[After T]]&lt;0)</f>
        <v>0</v>
      </c>
      <c r="GW31" s="29">
        <f>IF(Buckets_3_24[[#This Row],[Is Crit]], Buckets_3_24[[#This Row],[S Cap Diff]], 0)</f>
        <v>0</v>
      </c>
      <c r="GX31" s="29">
        <f>Buckets_3_24[[#This Row],[Before Fill]]+Buckets_3_24[[#This Row],[Crit To Fill]]</f>
        <v>0</v>
      </c>
      <c r="GY31" s="29">
        <f>IF(NOT(Buckets_3_24[[#This Row],[Is Crit]]), Buckets_3_24[[#This Row],[S Cap Diff]], 0)</f>
        <v>0</v>
      </c>
      <c r="GZ31" s="29">
        <f>ROUND(GX$41/Buckets_3_24[[#Totals],[NC To Fill]]*Buckets_3_24[[#This Row],[NC To Fill]], 2)</f>
        <v>0</v>
      </c>
      <c r="HA31" s="31">
        <f>Buckets_3_24[[#This Row],[Pre Scale]] + IF($D31="Unexpected Fund", GX47-Buckets_3_24[[#Totals],[Pre Scale]], 0)</f>
        <v>0</v>
      </c>
      <c r="HB31" s="31">
        <f>Buckets_3_24[[#This Row],[Crit Filled]]+Buckets_3_24[[#This Row],[Scaled]]</f>
        <v>0</v>
      </c>
      <c r="HC31" s="31">
        <f>Buckets_3_24[[#This Row],[NC Filled]]</f>
        <v>0</v>
      </c>
      <c r="HD31" s="31">
        <f>Buckets_3_24[[#This Row],[Capacity]]-Buckets_3_24[[#This Row],[Final]]</f>
        <v>0</v>
      </c>
      <c r="HE31" s="33">
        <f>IF(Buckets_3_24[[#This Row],[Capacity]]=0, 1, Buckets_3_24[[#This Row],[Final]]/Buckets_3_24[[#This Row],[Capacity]])</f>
        <v>1</v>
      </c>
      <c r="HG31" s="40">
        <f>Buckets_3_24[[#This Row],[Final]]</f>
        <v>0</v>
      </c>
      <c r="HH31" s="40">
        <f>Buckets_3_24[[#This Row],[Capacity]]</f>
        <v>0</v>
      </c>
      <c r="HI31" s="41" t="b">
        <f t="shared" si="40"/>
        <v>0</v>
      </c>
      <c r="HJ31" s="42"/>
      <c r="HK31" s="42"/>
      <c r="HL31" s="42"/>
      <c r="HM31" s="42"/>
      <c r="HN31" s="43"/>
      <c r="HO31" s="40">
        <f t="shared" si="41"/>
        <v>0</v>
      </c>
      <c r="HP31" s="40">
        <f t="shared" si="42"/>
        <v>0</v>
      </c>
      <c r="HQ31" s="41" t="b">
        <f t="shared" si="7"/>
        <v>0</v>
      </c>
      <c r="HS31" s="29">
        <f t="shared" si="43"/>
        <v>0</v>
      </c>
      <c r="HT31" s="29">
        <f>GetTransactionTotal(AggregateTable2024[], AggregateTable2024[Start], HS$1, AggregateTable2024[#Headers], $D31)</f>
        <v>0</v>
      </c>
      <c r="HU31" s="29">
        <f>Buckets_4_24[[#This Row],[Start]]+Buckets_4_24[[#This Row],[Transactions]]</f>
        <v>0</v>
      </c>
      <c r="HV31" s="29">
        <f t="shared" si="44"/>
        <v>0</v>
      </c>
      <c r="HW31" s="29">
        <f>Buckets_4_24[[#This Row],[Capacity]]-Buckets_4_24[[#This Row],[After T]]</f>
        <v>0</v>
      </c>
      <c r="HX31" s="29">
        <f>MAX(-Buckets_4_24[[#This Row],[Cap Diff]], 0)</f>
        <v>0</v>
      </c>
      <c r="HY31" s="29">
        <f>Buckets_4_24[[#This Row],[After T]]-Buckets_4_24[[#This Row],[Slush]]</f>
        <v>0</v>
      </c>
      <c r="HZ31" s="29">
        <f>Buckets_4_24[[#This Row],[Capacity]]-Buckets_4_24[[#This Row],[Before Fill]]</f>
        <v>0</v>
      </c>
      <c r="IA31" t="b">
        <f>OR(HQ31, Buckets_4_24[[#This Row],[After T]]&lt;0)</f>
        <v>0</v>
      </c>
      <c r="IB31" s="29">
        <f>IF(Buckets_4_24[[#This Row],[Is Crit]], Buckets_4_24[[#This Row],[S Cap Diff]], 0)</f>
        <v>0</v>
      </c>
      <c r="IC31" s="29">
        <f>Buckets_4_24[[#This Row],[Before Fill]]+Buckets_4_24[[#This Row],[Crit To Fill]]</f>
        <v>0</v>
      </c>
      <c r="ID31" s="29">
        <f>IF(NOT(Buckets_4_24[[#This Row],[Is Crit]]), Buckets_4_24[[#This Row],[S Cap Diff]], 0)</f>
        <v>0</v>
      </c>
      <c r="IE31" s="29">
        <f>ROUND(IC$41/Buckets_4_24[[#Totals],[NC To Fill]]*Buckets_4_24[[#This Row],[NC To Fill]], 2)</f>
        <v>0</v>
      </c>
      <c r="IF31" s="31">
        <f>Buckets_4_24[[#This Row],[Pre Scale]] + IF($D31="Unexpected Fund", IC47-Buckets_4_24[[#Totals],[Pre Scale]], 0)</f>
        <v>0</v>
      </c>
      <c r="IG31" s="31">
        <f>Buckets_4_24[[#This Row],[Crit Filled]]+Buckets_4_24[[#This Row],[Scaled]]</f>
        <v>0</v>
      </c>
      <c r="IH31" s="31">
        <f>Buckets_4_24[[#This Row],[NC Filled]]</f>
        <v>0</v>
      </c>
      <c r="II31" s="31">
        <f>Buckets_4_24[[#This Row],[Capacity]]-Buckets_4_24[[#This Row],[Final]]</f>
        <v>0</v>
      </c>
      <c r="IJ31" s="33">
        <f>IF(Buckets_4_24[[#This Row],[Capacity]]=0, 1, Buckets_4_24[[#This Row],[Final]]/Buckets_4_24[[#This Row],[Capacity]])</f>
        <v>1</v>
      </c>
      <c r="IL31" s="40">
        <f>Buckets_4_24[[#This Row],[Final]]</f>
        <v>0</v>
      </c>
      <c r="IM31" s="40">
        <f>Buckets_4_24[[#This Row],[Capacity]]</f>
        <v>0</v>
      </c>
      <c r="IN31" s="41" t="b">
        <f t="shared" si="45"/>
        <v>0</v>
      </c>
      <c r="IO31" s="42"/>
      <c r="IP31" s="42"/>
      <c r="IQ31" s="42"/>
      <c r="IR31" s="42"/>
      <c r="IS31" s="43"/>
      <c r="IT31" s="40">
        <f t="shared" si="46"/>
        <v>0</v>
      </c>
      <c r="IU31" s="40">
        <f t="shared" si="47"/>
        <v>0</v>
      </c>
      <c r="IV31" s="41" t="b">
        <f t="shared" si="8"/>
        <v>0</v>
      </c>
    </row>
    <row r="32" spans="1:256" x14ac:dyDescent="0.25">
      <c r="A32" s="49"/>
      <c r="B32" t="s">
        <v>212</v>
      </c>
      <c r="C32" t="s">
        <v>305</v>
      </c>
      <c r="D32" t="s">
        <v>305</v>
      </c>
      <c r="F32" s="30">
        <v>0</v>
      </c>
      <c r="G32" s="38">
        <v>0</v>
      </c>
      <c r="H32" t="b">
        <v>0</v>
      </c>
      <c r="J32" s="50">
        <f t="shared" si="9"/>
        <v>0</v>
      </c>
      <c r="K32" s="50">
        <f>GetTransactionTotal(AggregateTable2023[], AggregateTable2023[Start], J$1, AggregateTable2023[#Headers], $D32)</f>
        <v>9154.32</v>
      </c>
      <c r="L32" s="50">
        <f>Buckets_9_23[[#This Row],[Start]]+Buckets_9_23[[#This Row],[Transactions]]</f>
        <v>9154.32</v>
      </c>
      <c r="M32" s="50">
        <f t="shared" si="10"/>
        <v>0</v>
      </c>
      <c r="N32" s="50">
        <f>Buckets_9_23[[#This Row],[Capacity]]-Buckets_9_23[[#This Row],[After T]]</f>
        <v>-9154.32</v>
      </c>
      <c r="O32" s="50">
        <f>IF(Buckets_9_23[[#This Row],[After T]]&lt;0, Buckets_9_23[[#This Row],[After T]], IF(Buckets_9_23[[#This Row],[Cap Diff]]&lt;0, -Buckets_9_23[[#This Row],[Cap Diff]], 0))</f>
        <v>9154.32</v>
      </c>
      <c r="P32" s="50">
        <f>Buckets_9_23[[#This Row],[After T]]-Buckets_9_23[[#This Row],[Slush]]</f>
        <v>0</v>
      </c>
      <c r="Q32" s="50">
        <f>Buckets_9_23[[#This Row],[Capacity]]-Buckets_9_23[[#This Row],[Before Fill]]</f>
        <v>0</v>
      </c>
      <c r="R32" s="31" t="b">
        <f t="shared" si="0"/>
        <v>0</v>
      </c>
      <c r="S32" s="50">
        <f>IF(Buckets_9_23[[#This Row],[Is Crit]], Buckets_9_23[[#This Row],[S Cap Diff]], 0)</f>
        <v>0</v>
      </c>
      <c r="T32" s="50">
        <f>Buckets_9_23[[#This Row],[Before Fill]]+Buckets_9_23[[#This Row],[Crit To Fill]]</f>
        <v>0</v>
      </c>
      <c r="U32" s="50">
        <f>IF(NOT(Buckets_9_23[[#This Row],[Is Crit]]), Buckets_9_23[[#This Row],[S Cap Diff]], 0)</f>
        <v>0</v>
      </c>
      <c r="V32" s="50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A32" s="51">
        <f>IF(Buckets_9_23[[#This Row],[Capacity]]=0, 1, Buckets_9_23[[#This Row],[Final]]/Buckets_9_23[[#This Row],[Capacity]])</f>
        <v>1</v>
      </c>
      <c r="AC32" s="31">
        <f>Buckets_9_23[[#This Row],[Final]]</f>
        <v>0</v>
      </c>
      <c r="AD32" s="31">
        <f>Buckets_9_23[[#This Row],[Capacity]]</f>
        <v>0</v>
      </c>
      <c r="AE32" t="b">
        <f>H32</f>
        <v>0</v>
      </c>
      <c r="AF32" s="43"/>
      <c r="AG32" s="42"/>
      <c r="AH32" s="43"/>
      <c r="AI32" s="42"/>
      <c r="AJ32" s="43"/>
      <c r="AK32" s="40">
        <f t="shared" si="11"/>
        <v>0</v>
      </c>
      <c r="AL32" s="40">
        <f t="shared" si="12"/>
        <v>0</v>
      </c>
      <c r="AM32" s="41" t="b">
        <f t="shared" si="1"/>
        <v>0</v>
      </c>
      <c r="AO32" s="29">
        <f t="shared" si="13"/>
        <v>0</v>
      </c>
      <c r="AP32" s="29">
        <f>GetTransactionTotal(AggregateTable2023[], AggregateTable2023[Start], AO$1, AggregateTable2023[#Headers], $D32)</f>
        <v>5578.98</v>
      </c>
      <c r="AQ32" s="29">
        <f>Buckets_10_23[[#This Row],[Start]]+Buckets_10_23[[#This Row],[Transactions]]</f>
        <v>5578.98</v>
      </c>
      <c r="AR32" s="29">
        <f t="shared" si="14"/>
        <v>0</v>
      </c>
      <c r="AS32" s="29">
        <f>Buckets_10_23[[#This Row],[Capacity]]-Buckets_10_23[[#This Row],[After T]]</f>
        <v>-5578.98</v>
      </c>
      <c r="AT32" s="29">
        <f>MAX(-Buckets_10_23[[#This Row],[Cap Diff]], 0)</f>
        <v>5578.98</v>
      </c>
      <c r="AU32" s="29">
        <f>Buckets_10_23[[#This Row],[After T]]-Buckets_10_23[[#This Row],[Slush]]</f>
        <v>0</v>
      </c>
      <c r="AV32" s="29">
        <f>Buckets_10_23[[#This Row],[Capacity]]-Buckets_10_23[[#This Row],[Before Fill]]</f>
        <v>0</v>
      </c>
      <c r="AW32" t="b">
        <f>OR(AM32, Buckets_10_23[[#This Row],[After T]]&lt;0)</f>
        <v>0</v>
      </c>
      <c r="AX32" s="29">
        <f>IF(Buckets_10_23[[#This Row],[Is Crit]], Buckets_10_23[[#This Row],[S Cap Diff]], 0)</f>
        <v>0</v>
      </c>
      <c r="AY32" s="29">
        <f>Buckets_10_23[[#This Row],[Before Fill]]+Buckets_10_23[[#This Row],[Crit To Fill]]</f>
        <v>0</v>
      </c>
      <c r="AZ32" s="29">
        <f>IF(NOT(Buckets_10_23[[#This Row],[Is Crit]]), Buckets_10_23[[#This Row],[S Cap Diff]], 0)</f>
        <v>0</v>
      </c>
      <c r="BA32" s="29">
        <f>ROUND(AY$41/Buckets_10_23[[#Totals],[NC To Fill]]*Buckets_10_23[[#This Row],[NC To Fill]], 2)</f>
        <v>0</v>
      </c>
      <c r="BB32" s="31">
        <f>Buckets_10_23[[#This Row],[Pre Scale]] + IF($D32="Unexpected Fund", AY48-Buckets_10_23[[#Totals],[Pre Scale]], 0)</f>
        <v>0</v>
      </c>
      <c r="BC32" s="31">
        <f>Buckets_10_23[[#This Row],[Crit Filled]]+Buckets_10_23[[#This Row],[Scaled]]</f>
        <v>0</v>
      </c>
      <c r="BD32" s="31">
        <f>Buckets_10_23[[#This Row],[NC Filled]]</f>
        <v>0</v>
      </c>
      <c r="BE32" s="31">
        <f>Buckets_10_23[[#This Row],[Capacity]]-Buckets_10_23[[#This Row],[Final]]</f>
        <v>0</v>
      </c>
      <c r="BF32" s="33">
        <f>IF(Buckets_10_23[[#This Row],[Capacity]]=0, 1, Buckets_10_23[[#This Row],[Final]]/Buckets_10_23[[#This Row],[Capacity]])</f>
        <v>1</v>
      </c>
      <c r="BH32" s="31">
        <f>Buckets_10_23[[#This Row],[Final]]</f>
        <v>0</v>
      </c>
      <c r="BI32" s="31">
        <f>Buckets_10_23[[#This Row],[Capacity]]</f>
        <v>0</v>
      </c>
      <c r="BJ32" t="b">
        <f t="shared" si="15"/>
        <v>0</v>
      </c>
      <c r="BK32" s="43"/>
      <c r="BL32" s="42"/>
      <c r="BM32" s="43"/>
      <c r="BN32" s="42"/>
      <c r="BO32" s="43"/>
      <c r="BP32" s="40">
        <f t="shared" si="16"/>
        <v>0</v>
      </c>
      <c r="BQ32" s="40">
        <f t="shared" si="17"/>
        <v>0</v>
      </c>
      <c r="BR32" s="41" t="b">
        <f t="shared" si="2"/>
        <v>0</v>
      </c>
      <c r="BT32" s="29">
        <f t="shared" si="18"/>
        <v>0</v>
      </c>
      <c r="BU32" s="29">
        <f>GetTransactionTotal(AggregateTable2023[], AggregateTable2023[Start], BT$1, AggregateTable2023[#Headers], $D32)</f>
        <v>6287.27</v>
      </c>
      <c r="BV32" s="29">
        <f>Buckets_11_23[[#This Row],[Start]]+Buckets_11_23[[#This Row],[Transactions]]</f>
        <v>6287.27</v>
      </c>
      <c r="BW32" s="29">
        <f t="shared" si="19"/>
        <v>0</v>
      </c>
      <c r="BX32" s="29">
        <f>Buckets_11_23[[#This Row],[Capacity]]-Buckets_11_23[[#This Row],[After T]]</f>
        <v>-6287.27</v>
      </c>
      <c r="BY32" s="29">
        <f>MAX(-Buckets_11_23[[#This Row],[Cap Diff]], 0)</f>
        <v>6287.27</v>
      </c>
      <c r="BZ32" s="29">
        <f>Buckets_11_23[[#This Row],[After T]]-Buckets_11_23[[#This Row],[Slush]]</f>
        <v>0</v>
      </c>
      <c r="CA32" s="29">
        <f>Buckets_11_23[[#This Row],[Capacity]]-Buckets_11_23[[#This Row],[Before Fill]]</f>
        <v>0</v>
      </c>
      <c r="CB32" t="b">
        <f>OR(BR32, Buckets_11_23[[#This Row],[After T]]&lt;0)</f>
        <v>0</v>
      </c>
      <c r="CC32" s="29">
        <f>IF(Buckets_11_23[[#This Row],[Is Crit]], Buckets_11_23[[#This Row],[S Cap Diff]], 0)</f>
        <v>0</v>
      </c>
      <c r="CD32" s="29">
        <f>Buckets_11_23[[#This Row],[Before Fill]]+Buckets_11_23[[#This Row],[Crit To Fill]]</f>
        <v>0</v>
      </c>
      <c r="CE32" s="29">
        <f>IF(NOT(Buckets_11_23[[#This Row],[Is Crit]]), Buckets_11_23[[#This Row],[S Cap Diff]], 0)</f>
        <v>0</v>
      </c>
      <c r="CF32" s="29">
        <f>ROUND(CD$41/Buckets_11_23[[#Totals],[NC To Fill]]*Buckets_11_23[[#This Row],[NC To Fill]], 2)</f>
        <v>0</v>
      </c>
      <c r="CG32" s="31">
        <f>Buckets_11_23[[#This Row],[Pre Scale]] + IF($D32="Unexpected Fund", CD48-Buckets_11_23[[#Totals],[Pre Scale]], 0)</f>
        <v>0</v>
      </c>
      <c r="CH32" s="31">
        <f>Buckets_11_23[[#This Row],[Crit Filled]]+Buckets_11_23[[#This Row],[Scaled]]</f>
        <v>0</v>
      </c>
      <c r="CI32" s="31">
        <f>Buckets_11_23[[#This Row],[NC Filled]]</f>
        <v>0</v>
      </c>
      <c r="CJ32" s="31">
        <f>Buckets_11_23[[#This Row],[Capacity]]-Buckets_11_23[[#This Row],[Final]]</f>
        <v>0</v>
      </c>
      <c r="CK32" s="33">
        <f>IF(Buckets_11_23[[#This Row],[Capacity]]=0, 1, Buckets_11_23[[#This Row],[Final]]/Buckets_11_23[[#This Row],[Capacity]])</f>
        <v>1</v>
      </c>
      <c r="CM32" s="40">
        <f>Buckets_11_23[[#This Row],[Final]]</f>
        <v>0</v>
      </c>
      <c r="CN32" s="40">
        <f>Buckets_11_23[[#This Row],[Capacity]]</f>
        <v>0</v>
      </c>
      <c r="CO32" s="41" t="b">
        <f t="shared" si="20"/>
        <v>0</v>
      </c>
      <c r="CP32" s="42"/>
      <c r="CQ32" s="42"/>
      <c r="CR32" s="42"/>
      <c r="CS32" s="42"/>
      <c r="CT32" s="43"/>
      <c r="CU32" s="40">
        <f t="shared" si="21"/>
        <v>0</v>
      </c>
      <c r="CV32" s="40">
        <f t="shared" si="22"/>
        <v>0</v>
      </c>
      <c r="CW32" s="41" t="b">
        <f t="shared" si="3"/>
        <v>0</v>
      </c>
      <c r="CY32" s="29">
        <f t="shared" si="23"/>
        <v>0</v>
      </c>
      <c r="CZ32" s="29">
        <f>GetTransactionTotal(AggregateTable2023[], AggregateTable2023[Start], CY$1, AggregateTable2023[#Headers], $D32)</f>
        <v>5579.1</v>
      </c>
      <c r="DA32" s="29">
        <f>Buckets_12_23[[#This Row],[Start]]+Buckets_12_23[[#This Row],[Transactions]]</f>
        <v>5579.1</v>
      </c>
      <c r="DB32" s="29">
        <f t="shared" si="24"/>
        <v>0</v>
      </c>
      <c r="DC32" s="29">
        <f>Buckets_12_23[[#This Row],[Capacity]]-Buckets_12_23[[#This Row],[After T]]</f>
        <v>-5579.1</v>
      </c>
      <c r="DD32" s="29">
        <f>MAX(-Buckets_12_23[[#This Row],[Cap Diff]], 0)</f>
        <v>5579.1</v>
      </c>
      <c r="DE32" s="29">
        <f>Buckets_12_23[[#This Row],[After T]]-Buckets_12_23[[#This Row],[Slush]]</f>
        <v>0</v>
      </c>
      <c r="DF32" s="29">
        <f>Buckets_12_23[[#This Row],[Capacity]]-Buckets_12_23[[#This Row],[Before Fill]]</f>
        <v>0</v>
      </c>
      <c r="DG32" t="b">
        <f>OR(CW32, Buckets_12_23[[#This Row],[After T]]&lt;0)</f>
        <v>0</v>
      </c>
      <c r="DH32" s="29">
        <f>IF(Buckets_12_23[[#This Row],[Is Crit]], Buckets_12_23[[#This Row],[S Cap Diff]], 0)</f>
        <v>0</v>
      </c>
      <c r="DI32" s="29">
        <f>Buckets_12_23[[#This Row],[Before Fill]]+Buckets_12_23[[#This Row],[Crit To Fill]]</f>
        <v>0</v>
      </c>
      <c r="DJ32" s="29">
        <f>IF(NOT(Buckets_12_23[[#This Row],[Is Crit]]), Buckets_12_23[[#This Row],[S Cap Diff]], 0)</f>
        <v>0</v>
      </c>
      <c r="DK32" s="29">
        <f>ROUND(DI$41/Buckets_12_23[[#Totals],[NC To Fill]]*Buckets_12_23[[#This Row],[NC To Fill]], 2)</f>
        <v>0</v>
      </c>
      <c r="DL32" s="31">
        <f>Buckets_12_23[[#This Row],[Pre Scale]] + IF($D32="Unexpected Fund", DI48-Buckets_12_23[[#Totals],[Pre Scale]], 0)</f>
        <v>0</v>
      </c>
      <c r="DM32" s="31">
        <f>Buckets_12_23[[#This Row],[Crit Filled]]+Buckets_12_23[[#This Row],[Scaled]]</f>
        <v>0</v>
      </c>
      <c r="DN32" s="31">
        <f>Buckets_12_23[[#This Row],[NC Filled]]</f>
        <v>0</v>
      </c>
      <c r="DO32" s="31">
        <f>Buckets_12_23[[#This Row],[Capacity]]-Buckets_12_23[[#This Row],[Final]]</f>
        <v>0</v>
      </c>
      <c r="DP32" s="33">
        <f>IF(Buckets_12_23[[#This Row],[Capacity]]=0, 1, Buckets_12_23[[#This Row],[Final]]/Buckets_12_23[[#This Row],[Capacity]])</f>
        <v>1</v>
      </c>
      <c r="DR32" s="40">
        <f>Buckets_12_23[[#This Row],[Final]]</f>
        <v>0</v>
      </c>
      <c r="DS32" s="40">
        <f>Buckets_12_23[[#This Row],[Capacity]]</f>
        <v>0</v>
      </c>
      <c r="DT32" s="41" t="b">
        <f t="shared" si="25"/>
        <v>0</v>
      </c>
      <c r="DU32" s="42"/>
      <c r="DV32" s="42"/>
      <c r="DW32" s="42"/>
      <c r="DX32" s="42"/>
      <c r="DY32" s="43"/>
      <c r="DZ32" s="40">
        <f t="shared" si="26"/>
        <v>0</v>
      </c>
      <c r="EA32" s="40">
        <f t="shared" si="27"/>
        <v>0</v>
      </c>
      <c r="EB32" s="41" t="b">
        <f t="shared" si="4"/>
        <v>0</v>
      </c>
      <c r="ED32" s="29">
        <f t="shared" si="28"/>
        <v>0</v>
      </c>
      <c r="EE32" s="29">
        <f>GetTransactionTotal(AggregateTable2024[], AggregateTable2024[Start], ED$1, AggregateTable2024[#Headers], $D32)</f>
        <v>5616.04</v>
      </c>
      <c r="EF32" s="29">
        <f>Buckets_1_24[[#This Row],[Start]]+Buckets_1_24[[#This Row],[Transactions]]</f>
        <v>5616.04</v>
      </c>
      <c r="EG32" s="29">
        <f t="shared" si="29"/>
        <v>0</v>
      </c>
      <c r="EH32" s="29">
        <f>Buckets_1_24[[#This Row],[Capacity]]-Buckets_1_24[[#This Row],[After T]]</f>
        <v>-5616.04</v>
      </c>
      <c r="EI32" s="29">
        <f>MAX(-Buckets_1_24[[#This Row],[Cap Diff]], 0)</f>
        <v>5616.04</v>
      </c>
      <c r="EJ32" s="29">
        <f>Buckets_1_24[[#This Row],[After T]]-Buckets_1_24[[#This Row],[Slush]]</f>
        <v>0</v>
      </c>
      <c r="EK32" s="29">
        <f>Buckets_1_24[[#This Row],[Capacity]]-Buckets_1_24[[#This Row],[Before Fill]]</f>
        <v>0</v>
      </c>
      <c r="EL32" t="b">
        <f>OR(EB32, Buckets_1_24[[#This Row],[After T]]&lt;0)</f>
        <v>0</v>
      </c>
      <c r="EM32" s="29">
        <f>IF(Buckets_1_24[[#This Row],[Is Crit]], Buckets_1_24[[#This Row],[S Cap Diff]], 0)</f>
        <v>0</v>
      </c>
      <c r="EN32" s="29">
        <f>Buckets_1_24[[#This Row],[Before Fill]]+Buckets_1_24[[#This Row],[Crit To Fill]]</f>
        <v>0</v>
      </c>
      <c r="EO32" s="29">
        <f>IF(NOT(Buckets_1_24[[#This Row],[Is Crit]]), Buckets_1_24[[#This Row],[S Cap Diff]], 0)</f>
        <v>0</v>
      </c>
      <c r="EP32" s="29">
        <f>ROUND(EN$41/Buckets_1_24[[#Totals],[NC To Fill]]*Buckets_1_24[[#This Row],[NC To Fill]], 2)</f>
        <v>0</v>
      </c>
      <c r="EQ32" s="31">
        <f>Buckets_1_24[[#This Row],[Pre Scale]] + IF($D32="Unexpected Fund", EN48-Buckets_1_24[[#Totals],[Pre Scale]], 0)</f>
        <v>0</v>
      </c>
      <c r="ER32" s="31">
        <f>Buckets_1_24[[#This Row],[Crit Filled]]+Buckets_1_24[[#This Row],[Scaled]]</f>
        <v>0</v>
      </c>
      <c r="ES32" s="31">
        <f>Buckets_1_24[[#This Row],[NC Filled]]</f>
        <v>0</v>
      </c>
      <c r="ET32" s="31">
        <f>Buckets_1_24[[#This Row],[Capacity]]-Buckets_1_24[[#This Row],[Final]]</f>
        <v>0</v>
      </c>
      <c r="EU32" s="33">
        <f>IF(Buckets_1_24[[#This Row],[Capacity]]=0, 1, Buckets_1_24[[#This Row],[Final]]/Buckets_1_24[[#This Row],[Capacity]])</f>
        <v>1</v>
      </c>
      <c r="EW32" s="40">
        <f>Buckets_1_24[[#This Row],[Final]]</f>
        <v>0</v>
      </c>
      <c r="EX32" s="40">
        <f>Buckets_1_24[[#This Row],[Capacity]]</f>
        <v>0</v>
      </c>
      <c r="EY32" s="41" t="b">
        <f t="shared" si="30"/>
        <v>0</v>
      </c>
      <c r="EZ32" s="42"/>
      <c r="FA32" s="42"/>
      <c r="FB32" s="42"/>
      <c r="FC32" s="42"/>
      <c r="FD32" s="43"/>
      <c r="FE32" s="40">
        <f t="shared" si="31"/>
        <v>0</v>
      </c>
      <c r="FF32" s="40">
        <f t="shared" si="32"/>
        <v>0</v>
      </c>
      <c r="FG32" s="41" t="b">
        <f t="shared" si="5"/>
        <v>0</v>
      </c>
      <c r="FI32" s="29">
        <f t="shared" si="33"/>
        <v>0</v>
      </c>
      <c r="FJ32" s="29">
        <f>GetTransactionTotal(AggregateTable2024[], AggregateTable2024[Start], FI$1, AggregateTable2024[#Headers], $D32)</f>
        <v>5616.04</v>
      </c>
      <c r="FK32" s="29">
        <f>Buckets_2_24[[#This Row],[Start]]+Buckets_2_24[[#This Row],[Transactions]]</f>
        <v>5616.04</v>
      </c>
      <c r="FL32" s="29">
        <f t="shared" si="34"/>
        <v>0</v>
      </c>
      <c r="FM32" s="29">
        <f>Buckets_2_24[[#This Row],[Capacity]]-Buckets_2_24[[#This Row],[After T]]</f>
        <v>-5616.04</v>
      </c>
      <c r="FN32" s="29">
        <f>MAX(-Buckets_2_24[[#This Row],[Cap Diff]], 0)</f>
        <v>5616.04</v>
      </c>
      <c r="FO32" s="29">
        <f>Buckets_2_24[[#This Row],[After T]]-Buckets_2_24[[#This Row],[Slush]]</f>
        <v>0</v>
      </c>
      <c r="FP32" s="29">
        <f>Buckets_2_24[[#This Row],[Capacity]]-Buckets_2_24[[#This Row],[Before Fill]]</f>
        <v>0</v>
      </c>
      <c r="FQ32" t="b">
        <f>OR(FG32, Buckets_2_24[[#This Row],[After T]]&lt;0)</f>
        <v>0</v>
      </c>
      <c r="FR32" s="29">
        <f>IF(Buckets_2_24[[#This Row],[Is Crit]], Buckets_2_24[[#This Row],[S Cap Diff]], 0)</f>
        <v>0</v>
      </c>
      <c r="FS32" s="29">
        <f>Buckets_2_24[[#This Row],[Before Fill]]+Buckets_2_24[[#This Row],[Crit To Fill]]</f>
        <v>0</v>
      </c>
      <c r="FT32" s="29">
        <f>IF(NOT(Buckets_2_24[[#This Row],[Is Crit]]), Buckets_2_24[[#This Row],[S Cap Diff]], 0)</f>
        <v>0</v>
      </c>
      <c r="FU32" s="29">
        <f>ROUND(FS$41/Buckets_2_24[[#Totals],[NC To Fill]]*Buckets_2_24[[#This Row],[NC To Fill]], 2)</f>
        <v>0</v>
      </c>
      <c r="FV32" s="31">
        <f>Buckets_2_24[[#This Row],[Pre Scale]] + IF($D32="Unexpected Fund", FS48-Buckets_2_24[[#Totals],[Pre Scale]], 0)</f>
        <v>0</v>
      </c>
      <c r="FW32" s="31">
        <f>Buckets_2_24[[#This Row],[Crit Filled]]+Buckets_2_24[[#This Row],[Scaled]]</f>
        <v>0</v>
      </c>
      <c r="FX32" s="31">
        <f>Buckets_2_24[[#This Row],[NC Filled]]</f>
        <v>0</v>
      </c>
      <c r="FY32" s="31">
        <f>Buckets_2_24[[#This Row],[Capacity]]-Buckets_2_24[[#This Row],[Final]]</f>
        <v>0</v>
      </c>
      <c r="FZ32" s="33">
        <f>IF(Buckets_2_24[[#This Row],[Capacity]]=0, 1, Buckets_2_24[[#This Row],[Final]]/Buckets_2_24[[#This Row],[Capacity]])</f>
        <v>1</v>
      </c>
      <c r="GB32" s="40">
        <f>Buckets_2_24[[#This Row],[Final]]</f>
        <v>0</v>
      </c>
      <c r="GC32" s="40">
        <f>Buckets_2_24[[#This Row],[Capacity]]</f>
        <v>0</v>
      </c>
      <c r="GD32" s="41" t="b">
        <f t="shared" si="35"/>
        <v>0</v>
      </c>
      <c r="GE32" s="42"/>
      <c r="GF32" s="42"/>
      <c r="GG32" s="42"/>
      <c r="GH32" s="42"/>
      <c r="GI32" s="43"/>
      <c r="GJ32" s="40">
        <f t="shared" si="36"/>
        <v>0</v>
      </c>
      <c r="GK32" s="40">
        <f t="shared" si="37"/>
        <v>0</v>
      </c>
      <c r="GL32" s="41" t="b">
        <f t="shared" si="6"/>
        <v>0</v>
      </c>
      <c r="GN32" s="29">
        <f t="shared" si="38"/>
        <v>0</v>
      </c>
      <c r="GO32" s="29">
        <f>GetTransactionTotal(AggregateTable2024[], AggregateTable2024[Start], GN$1, AggregateTable2024[#Headers], $D32)</f>
        <v>5616.04</v>
      </c>
      <c r="GP32" s="29">
        <f>Buckets_3_24[[#This Row],[Start]]+Buckets_3_24[[#This Row],[Transactions]]</f>
        <v>5616.04</v>
      </c>
      <c r="GQ32" s="29">
        <f t="shared" si="39"/>
        <v>0</v>
      </c>
      <c r="GR32" s="29">
        <f>Buckets_3_24[[#This Row],[Capacity]]-Buckets_3_24[[#This Row],[After T]]</f>
        <v>-5616.04</v>
      </c>
      <c r="GS32" s="29">
        <f>MAX(-Buckets_3_24[[#This Row],[Cap Diff]], 0)</f>
        <v>5616.04</v>
      </c>
      <c r="GT32" s="29">
        <f>Buckets_3_24[[#This Row],[After T]]-Buckets_3_24[[#This Row],[Slush]]</f>
        <v>0</v>
      </c>
      <c r="GU32" s="29">
        <f>Buckets_3_24[[#This Row],[Capacity]]-Buckets_3_24[[#This Row],[Before Fill]]</f>
        <v>0</v>
      </c>
      <c r="GV32" t="b">
        <f>OR(GL32, Buckets_3_24[[#This Row],[After T]]&lt;0)</f>
        <v>0</v>
      </c>
      <c r="GW32" s="29">
        <f>IF(Buckets_3_24[[#This Row],[Is Crit]], Buckets_3_24[[#This Row],[S Cap Diff]], 0)</f>
        <v>0</v>
      </c>
      <c r="GX32" s="29">
        <f>Buckets_3_24[[#This Row],[Before Fill]]+Buckets_3_24[[#This Row],[Crit To Fill]]</f>
        <v>0</v>
      </c>
      <c r="GY32" s="29">
        <f>IF(NOT(Buckets_3_24[[#This Row],[Is Crit]]), Buckets_3_24[[#This Row],[S Cap Diff]], 0)</f>
        <v>0</v>
      </c>
      <c r="GZ32" s="29">
        <f>ROUND(GX$41/Buckets_3_24[[#Totals],[NC To Fill]]*Buckets_3_24[[#This Row],[NC To Fill]], 2)</f>
        <v>0</v>
      </c>
      <c r="HA32" s="31">
        <f>Buckets_3_24[[#This Row],[Pre Scale]] + IF($D32="Unexpected Fund", GX48-Buckets_3_24[[#Totals],[Pre Scale]], 0)</f>
        <v>0</v>
      </c>
      <c r="HB32" s="31">
        <f>Buckets_3_24[[#This Row],[Crit Filled]]+Buckets_3_24[[#This Row],[Scaled]]</f>
        <v>0</v>
      </c>
      <c r="HC32" s="31">
        <f>Buckets_3_24[[#This Row],[NC Filled]]</f>
        <v>0</v>
      </c>
      <c r="HD32" s="31">
        <f>Buckets_3_24[[#This Row],[Capacity]]-Buckets_3_24[[#This Row],[Final]]</f>
        <v>0</v>
      </c>
      <c r="HE32" s="33">
        <f>IF(Buckets_3_24[[#This Row],[Capacity]]=0, 1, Buckets_3_24[[#This Row],[Final]]/Buckets_3_24[[#This Row],[Capacity]])</f>
        <v>1</v>
      </c>
      <c r="HG32" s="40">
        <f>Buckets_3_24[[#This Row],[Final]]</f>
        <v>0</v>
      </c>
      <c r="HH32" s="40">
        <f>Buckets_3_24[[#This Row],[Capacity]]</f>
        <v>0</v>
      </c>
      <c r="HI32" s="41" t="b">
        <f t="shared" si="40"/>
        <v>0</v>
      </c>
      <c r="HJ32" s="42"/>
      <c r="HK32" s="42"/>
      <c r="HL32" s="42"/>
      <c r="HM32" s="42"/>
      <c r="HN32" s="43"/>
      <c r="HO32" s="40">
        <f t="shared" si="41"/>
        <v>0</v>
      </c>
      <c r="HP32" s="40">
        <f t="shared" si="42"/>
        <v>0</v>
      </c>
      <c r="HQ32" s="41" t="b">
        <f t="shared" si="7"/>
        <v>0</v>
      </c>
      <c r="HS32" s="29">
        <f t="shared" si="43"/>
        <v>0</v>
      </c>
      <c r="HT32" s="29">
        <f>GetTransactionTotal(AggregateTable2024[], AggregateTable2024[Start], HS$1, AggregateTable2024[#Headers], $D32)</f>
        <v>5616.04</v>
      </c>
      <c r="HU32" s="29">
        <f>Buckets_4_24[[#This Row],[Start]]+Buckets_4_24[[#This Row],[Transactions]]</f>
        <v>5616.04</v>
      </c>
      <c r="HV32" s="29">
        <f t="shared" si="44"/>
        <v>0</v>
      </c>
      <c r="HW32" s="29">
        <f>Buckets_4_24[[#This Row],[Capacity]]-Buckets_4_24[[#This Row],[After T]]</f>
        <v>-5616.04</v>
      </c>
      <c r="HX32" s="29">
        <f>MAX(-Buckets_4_24[[#This Row],[Cap Diff]], 0)</f>
        <v>5616.04</v>
      </c>
      <c r="HY32" s="29">
        <f>Buckets_4_24[[#This Row],[After T]]-Buckets_4_24[[#This Row],[Slush]]</f>
        <v>0</v>
      </c>
      <c r="HZ32" s="29">
        <f>Buckets_4_24[[#This Row],[Capacity]]-Buckets_4_24[[#This Row],[Before Fill]]</f>
        <v>0</v>
      </c>
      <c r="IA32" t="b">
        <f>OR(HQ32, Buckets_4_24[[#This Row],[After T]]&lt;0)</f>
        <v>0</v>
      </c>
      <c r="IB32" s="29">
        <f>IF(Buckets_4_24[[#This Row],[Is Crit]], Buckets_4_24[[#This Row],[S Cap Diff]], 0)</f>
        <v>0</v>
      </c>
      <c r="IC32" s="29">
        <f>Buckets_4_24[[#This Row],[Before Fill]]+Buckets_4_24[[#This Row],[Crit To Fill]]</f>
        <v>0</v>
      </c>
      <c r="ID32" s="29">
        <f>IF(NOT(Buckets_4_24[[#This Row],[Is Crit]]), Buckets_4_24[[#This Row],[S Cap Diff]], 0)</f>
        <v>0</v>
      </c>
      <c r="IE32" s="29">
        <f>ROUND(IC$41/Buckets_4_24[[#Totals],[NC To Fill]]*Buckets_4_24[[#This Row],[NC To Fill]], 2)</f>
        <v>0</v>
      </c>
      <c r="IF32" s="31">
        <f>Buckets_4_24[[#This Row],[Pre Scale]] + IF($D32="Unexpected Fund", IC48-Buckets_4_24[[#Totals],[Pre Scale]], 0)</f>
        <v>0</v>
      </c>
      <c r="IG32" s="31">
        <f>Buckets_4_24[[#This Row],[Crit Filled]]+Buckets_4_24[[#This Row],[Scaled]]</f>
        <v>0</v>
      </c>
      <c r="IH32" s="31">
        <f>Buckets_4_24[[#This Row],[NC Filled]]</f>
        <v>0</v>
      </c>
      <c r="II32" s="31">
        <f>Buckets_4_24[[#This Row],[Capacity]]-Buckets_4_24[[#This Row],[Final]]</f>
        <v>0</v>
      </c>
      <c r="IJ32" s="33">
        <f>IF(Buckets_4_24[[#This Row],[Capacity]]=0, 1, Buckets_4_24[[#This Row],[Final]]/Buckets_4_24[[#This Row],[Capacity]])</f>
        <v>1</v>
      </c>
      <c r="IL32" s="40">
        <f>Buckets_4_24[[#This Row],[Final]]</f>
        <v>0</v>
      </c>
      <c r="IM32" s="40">
        <f>Buckets_4_24[[#This Row],[Capacity]]</f>
        <v>0</v>
      </c>
      <c r="IN32" s="41" t="b">
        <f t="shared" si="45"/>
        <v>0</v>
      </c>
      <c r="IO32" s="42"/>
      <c r="IP32" s="42"/>
      <c r="IQ32" s="42"/>
      <c r="IR32" s="42"/>
      <c r="IS32" s="43"/>
      <c r="IT32" s="40">
        <f t="shared" si="46"/>
        <v>0</v>
      </c>
      <c r="IU32" s="40">
        <f t="shared" si="47"/>
        <v>0</v>
      </c>
      <c r="IV32" s="41" t="b">
        <f t="shared" si="8"/>
        <v>0</v>
      </c>
    </row>
    <row r="33" spans="1:256" x14ac:dyDescent="0.25">
      <c r="A33" s="49"/>
      <c r="B33" t="s">
        <v>212</v>
      </c>
      <c r="C33" t="s">
        <v>321</v>
      </c>
      <c r="D33" t="s">
        <v>306</v>
      </c>
      <c r="F33" s="30">
        <v>0</v>
      </c>
      <c r="G33" s="38">
        <v>0</v>
      </c>
      <c r="H33" t="b">
        <v>0</v>
      </c>
      <c r="J33" s="50">
        <f t="shared" si="9"/>
        <v>0</v>
      </c>
      <c r="K33" s="50">
        <f>GetTransactionTotal(AggregateTable2023[], AggregateTable2023[Start], J$1, AggregateTable2023[#Headers], $D33)</f>
        <v>50.05</v>
      </c>
      <c r="L33" s="50">
        <f>Buckets_9_23[[#This Row],[Start]]+Buckets_9_23[[#This Row],[Transactions]]</f>
        <v>50.05</v>
      </c>
      <c r="M33" s="50">
        <f t="shared" si="10"/>
        <v>0</v>
      </c>
      <c r="N33" s="50">
        <f>Buckets_9_23[[#This Row],[Capacity]]-Buckets_9_23[[#This Row],[After T]]</f>
        <v>-50.05</v>
      </c>
      <c r="O33" s="50">
        <f>IF(Buckets_9_23[[#This Row],[After T]]&lt;0, Buckets_9_23[[#This Row],[After T]], IF(Buckets_9_23[[#This Row],[Cap Diff]]&lt;0, -Buckets_9_23[[#This Row],[Cap Diff]], 0))</f>
        <v>50.05</v>
      </c>
      <c r="P33" s="50">
        <f>Buckets_9_23[[#This Row],[After T]]-Buckets_9_23[[#This Row],[Slush]]</f>
        <v>0</v>
      </c>
      <c r="Q33" s="50">
        <f>Buckets_9_23[[#This Row],[Capacity]]-Buckets_9_23[[#This Row],[Before Fill]]</f>
        <v>0</v>
      </c>
      <c r="R33" s="31" t="b">
        <f t="shared" si="0"/>
        <v>0</v>
      </c>
      <c r="S33" s="50">
        <f>IF(Buckets_9_23[[#This Row],[Is Crit]], Buckets_9_23[[#This Row],[S Cap Diff]], 0)</f>
        <v>0</v>
      </c>
      <c r="T33" s="50">
        <f>Buckets_9_23[[#This Row],[Before Fill]]+Buckets_9_23[[#This Row],[Crit To Fill]]</f>
        <v>0</v>
      </c>
      <c r="U33" s="50">
        <f>IF(NOT(Buckets_9_23[[#This Row],[Is Crit]]), Buckets_9_23[[#This Row],[S Cap Diff]], 0)</f>
        <v>0</v>
      </c>
      <c r="V33" s="50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A33" s="51">
        <f>IF(Buckets_9_23[[#This Row],[Capacity]]=0, 1, Buckets_9_23[[#This Row],[Final]]/Buckets_9_23[[#This Row],[Capacity]])</f>
        <v>1</v>
      </c>
      <c r="AC33" s="31">
        <f>Buckets_9_23[[#This Row],[Final]]</f>
        <v>0</v>
      </c>
      <c r="AD33" s="31">
        <f>Buckets_9_23[[#This Row],[Capacity]]</f>
        <v>0</v>
      </c>
      <c r="AE33" t="b">
        <f>H33</f>
        <v>0</v>
      </c>
      <c r="AF33" s="43"/>
      <c r="AG33" s="42"/>
      <c r="AH33" s="43"/>
      <c r="AI33" s="42"/>
      <c r="AJ33" s="43"/>
      <c r="AK33" s="40">
        <f t="shared" si="11"/>
        <v>0</v>
      </c>
      <c r="AL33" s="40">
        <f t="shared" si="12"/>
        <v>0</v>
      </c>
      <c r="AM33" s="41" t="b">
        <f t="shared" si="1"/>
        <v>0</v>
      </c>
      <c r="AO33" s="29">
        <f t="shared" si="13"/>
        <v>0</v>
      </c>
      <c r="AP33" s="29">
        <f>GetTransactionTotal(AggregateTable2023[], AggregateTable2023[Start], AO$1, AggregateTable2023[#Headers], $D33)</f>
        <v>25.08</v>
      </c>
      <c r="AQ33" s="29">
        <f>Buckets_10_23[[#This Row],[Start]]+Buckets_10_23[[#This Row],[Transactions]]</f>
        <v>25.08</v>
      </c>
      <c r="AR33" s="29">
        <f t="shared" si="14"/>
        <v>0</v>
      </c>
      <c r="AS33" s="29">
        <f>Buckets_10_23[[#This Row],[Capacity]]-Buckets_10_23[[#This Row],[After T]]</f>
        <v>-25.08</v>
      </c>
      <c r="AT33" s="29">
        <f>MAX(-Buckets_10_23[[#This Row],[Cap Diff]], 0)</f>
        <v>25.08</v>
      </c>
      <c r="AU33" s="29">
        <f>Buckets_10_23[[#This Row],[After T]]-Buckets_10_23[[#This Row],[Slush]]</f>
        <v>0</v>
      </c>
      <c r="AV33" s="29">
        <f>Buckets_10_23[[#This Row],[Capacity]]-Buckets_10_23[[#This Row],[Before Fill]]</f>
        <v>0</v>
      </c>
      <c r="AW33" t="b">
        <f>OR(AM33, Buckets_10_23[[#This Row],[After T]]&lt;0)</f>
        <v>0</v>
      </c>
      <c r="AX33" s="29">
        <f>IF(Buckets_10_23[[#This Row],[Is Crit]], Buckets_10_23[[#This Row],[S Cap Diff]], 0)</f>
        <v>0</v>
      </c>
      <c r="AY33" s="29">
        <f>Buckets_10_23[[#This Row],[Before Fill]]+Buckets_10_23[[#This Row],[Crit To Fill]]</f>
        <v>0</v>
      </c>
      <c r="AZ33" s="29">
        <f>IF(NOT(Buckets_10_23[[#This Row],[Is Crit]]), Buckets_10_23[[#This Row],[S Cap Diff]], 0)</f>
        <v>0</v>
      </c>
      <c r="BA33" s="29">
        <f>ROUND(AY$41/Buckets_10_23[[#Totals],[NC To Fill]]*Buckets_10_23[[#This Row],[NC To Fill]], 2)</f>
        <v>0</v>
      </c>
      <c r="BB33" s="31">
        <f>Buckets_10_23[[#This Row],[Pre Scale]] + IF($D33="Unexpected Fund", AY49-Buckets_10_23[[#Totals],[Pre Scale]], 0)</f>
        <v>0</v>
      </c>
      <c r="BC33" s="31">
        <f>Buckets_10_23[[#This Row],[Crit Filled]]+Buckets_10_23[[#This Row],[Scaled]]</f>
        <v>0</v>
      </c>
      <c r="BD33" s="31">
        <f>Buckets_10_23[[#This Row],[NC Filled]]</f>
        <v>0</v>
      </c>
      <c r="BE33" s="31">
        <f>Buckets_10_23[[#This Row],[Capacity]]-Buckets_10_23[[#This Row],[Final]]</f>
        <v>0</v>
      </c>
      <c r="BF33" s="33">
        <f>IF(Buckets_10_23[[#This Row],[Capacity]]=0, 1, Buckets_10_23[[#This Row],[Final]]/Buckets_10_23[[#This Row],[Capacity]])</f>
        <v>1</v>
      </c>
      <c r="BH33" s="31">
        <f>Buckets_10_23[[#This Row],[Final]]</f>
        <v>0</v>
      </c>
      <c r="BI33" s="31">
        <f>Buckets_10_23[[#This Row],[Capacity]]</f>
        <v>0</v>
      </c>
      <c r="BJ33" t="b">
        <f t="shared" si="15"/>
        <v>0</v>
      </c>
      <c r="BK33" s="43"/>
      <c r="BL33" s="42"/>
      <c r="BM33" s="43"/>
      <c r="BN33" s="42"/>
      <c r="BO33" s="43"/>
      <c r="BP33" s="40">
        <f t="shared" si="16"/>
        <v>0</v>
      </c>
      <c r="BQ33" s="40">
        <f t="shared" si="17"/>
        <v>0</v>
      </c>
      <c r="BR33" s="41" t="b">
        <f t="shared" si="2"/>
        <v>0</v>
      </c>
      <c r="BT33" s="29">
        <f t="shared" si="18"/>
        <v>0</v>
      </c>
      <c r="BU33" s="29">
        <f>GetTransactionTotal(AggregateTable2023[], AggregateTable2023[Start], BT$1, AggregateTable2023[#Headers], $D33)</f>
        <v>7.0000000000000007E-2</v>
      </c>
      <c r="BV33" s="29">
        <f>Buckets_11_23[[#This Row],[Start]]+Buckets_11_23[[#This Row],[Transactions]]</f>
        <v>7.0000000000000007E-2</v>
      </c>
      <c r="BW33" s="29">
        <f t="shared" si="19"/>
        <v>0</v>
      </c>
      <c r="BX33" s="29">
        <f>Buckets_11_23[[#This Row],[Capacity]]-Buckets_11_23[[#This Row],[After T]]</f>
        <v>-7.0000000000000007E-2</v>
      </c>
      <c r="BY33" s="29">
        <f>MAX(-Buckets_11_23[[#This Row],[Cap Diff]], 0)</f>
        <v>7.0000000000000007E-2</v>
      </c>
      <c r="BZ33" s="29">
        <f>Buckets_11_23[[#This Row],[After T]]-Buckets_11_23[[#This Row],[Slush]]</f>
        <v>0</v>
      </c>
      <c r="CA33" s="29">
        <f>Buckets_11_23[[#This Row],[Capacity]]-Buckets_11_23[[#This Row],[Before Fill]]</f>
        <v>0</v>
      </c>
      <c r="CB33" t="b">
        <f>OR(BR33, Buckets_11_23[[#This Row],[After T]]&lt;0)</f>
        <v>0</v>
      </c>
      <c r="CC33" s="29">
        <f>IF(Buckets_11_23[[#This Row],[Is Crit]], Buckets_11_23[[#This Row],[S Cap Diff]], 0)</f>
        <v>0</v>
      </c>
      <c r="CD33" s="29">
        <f>Buckets_11_23[[#This Row],[Before Fill]]+Buckets_11_23[[#This Row],[Crit To Fill]]</f>
        <v>0</v>
      </c>
      <c r="CE33" s="29">
        <f>IF(NOT(Buckets_11_23[[#This Row],[Is Crit]]), Buckets_11_23[[#This Row],[S Cap Diff]], 0)</f>
        <v>0</v>
      </c>
      <c r="CF33" s="29">
        <f>ROUND(CD$41/Buckets_11_23[[#Totals],[NC To Fill]]*Buckets_11_23[[#This Row],[NC To Fill]], 2)</f>
        <v>0</v>
      </c>
      <c r="CG33" s="31">
        <f>Buckets_11_23[[#This Row],[Pre Scale]] + IF($D33="Unexpected Fund", CD49-Buckets_11_23[[#Totals],[Pre Scale]], 0)</f>
        <v>0</v>
      </c>
      <c r="CH33" s="31">
        <f>Buckets_11_23[[#This Row],[Crit Filled]]+Buckets_11_23[[#This Row],[Scaled]]</f>
        <v>0</v>
      </c>
      <c r="CI33" s="31">
        <f>Buckets_11_23[[#This Row],[NC Filled]]</f>
        <v>0</v>
      </c>
      <c r="CJ33" s="31">
        <f>Buckets_11_23[[#This Row],[Capacity]]-Buckets_11_23[[#This Row],[Final]]</f>
        <v>0</v>
      </c>
      <c r="CK33" s="33">
        <f>IF(Buckets_11_23[[#This Row],[Capacity]]=0, 1, Buckets_11_23[[#This Row],[Final]]/Buckets_11_23[[#This Row],[Capacity]])</f>
        <v>1</v>
      </c>
      <c r="CM33" s="40">
        <f>Buckets_11_23[[#This Row],[Final]]</f>
        <v>0</v>
      </c>
      <c r="CN33" s="40">
        <f>Buckets_11_23[[#This Row],[Capacity]]</f>
        <v>0</v>
      </c>
      <c r="CO33" s="41" t="b">
        <f t="shared" si="20"/>
        <v>0</v>
      </c>
      <c r="CP33" s="42"/>
      <c r="CQ33" s="42"/>
      <c r="CR33" s="42"/>
      <c r="CS33" s="42"/>
      <c r="CT33" s="43"/>
      <c r="CU33" s="40">
        <f t="shared" si="21"/>
        <v>0</v>
      </c>
      <c r="CV33" s="40">
        <f t="shared" si="22"/>
        <v>0</v>
      </c>
      <c r="CW33" s="41" t="b">
        <f t="shared" si="3"/>
        <v>0</v>
      </c>
      <c r="CY33" s="29">
        <f t="shared" si="23"/>
        <v>0</v>
      </c>
      <c r="CZ33" s="29">
        <f>GetTransactionTotal(AggregateTable2023[], AggregateTable2023[Start], CY$1, AggregateTable2023[#Headers], $D33)</f>
        <v>50.08</v>
      </c>
      <c r="DA33" s="29">
        <f>Buckets_12_23[[#This Row],[Start]]+Buckets_12_23[[#This Row],[Transactions]]</f>
        <v>50.08</v>
      </c>
      <c r="DB33" s="29">
        <f t="shared" si="24"/>
        <v>0</v>
      </c>
      <c r="DC33" s="29">
        <f>Buckets_12_23[[#This Row],[Capacity]]-Buckets_12_23[[#This Row],[After T]]</f>
        <v>-50.08</v>
      </c>
      <c r="DD33" s="29">
        <f>MAX(-Buckets_12_23[[#This Row],[Cap Diff]], 0)</f>
        <v>50.08</v>
      </c>
      <c r="DE33" s="29">
        <f>Buckets_12_23[[#This Row],[After T]]-Buckets_12_23[[#This Row],[Slush]]</f>
        <v>0</v>
      </c>
      <c r="DF33" s="29">
        <f>Buckets_12_23[[#This Row],[Capacity]]-Buckets_12_23[[#This Row],[Before Fill]]</f>
        <v>0</v>
      </c>
      <c r="DG33" t="b">
        <f>OR(CW33, Buckets_12_23[[#This Row],[After T]]&lt;0)</f>
        <v>0</v>
      </c>
      <c r="DH33" s="29">
        <f>IF(Buckets_12_23[[#This Row],[Is Crit]], Buckets_12_23[[#This Row],[S Cap Diff]], 0)</f>
        <v>0</v>
      </c>
      <c r="DI33" s="29">
        <f>Buckets_12_23[[#This Row],[Before Fill]]+Buckets_12_23[[#This Row],[Crit To Fill]]</f>
        <v>0</v>
      </c>
      <c r="DJ33" s="29">
        <f>IF(NOT(Buckets_12_23[[#This Row],[Is Crit]]), Buckets_12_23[[#This Row],[S Cap Diff]], 0)</f>
        <v>0</v>
      </c>
      <c r="DK33" s="29">
        <f>ROUND(DI$41/Buckets_12_23[[#Totals],[NC To Fill]]*Buckets_12_23[[#This Row],[NC To Fill]], 2)</f>
        <v>0</v>
      </c>
      <c r="DL33" s="31">
        <f>Buckets_12_23[[#This Row],[Pre Scale]] + IF($D33="Unexpected Fund", DI49-Buckets_12_23[[#Totals],[Pre Scale]], 0)</f>
        <v>0</v>
      </c>
      <c r="DM33" s="31">
        <f>Buckets_12_23[[#This Row],[Crit Filled]]+Buckets_12_23[[#This Row],[Scaled]]</f>
        <v>0</v>
      </c>
      <c r="DN33" s="31">
        <f>Buckets_12_23[[#This Row],[NC Filled]]</f>
        <v>0</v>
      </c>
      <c r="DO33" s="31">
        <f>Buckets_12_23[[#This Row],[Capacity]]-Buckets_12_23[[#This Row],[Final]]</f>
        <v>0</v>
      </c>
      <c r="DP33" s="33">
        <f>IF(Buckets_12_23[[#This Row],[Capacity]]=0, 1, Buckets_12_23[[#This Row],[Final]]/Buckets_12_23[[#This Row],[Capacity]])</f>
        <v>1</v>
      </c>
      <c r="DR33" s="40">
        <f>Buckets_12_23[[#This Row],[Final]]</f>
        <v>0</v>
      </c>
      <c r="DS33" s="40">
        <f>Buckets_12_23[[#This Row],[Capacity]]</f>
        <v>0</v>
      </c>
      <c r="DT33" s="41" t="b">
        <f t="shared" si="25"/>
        <v>0</v>
      </c>
      <c r="DU33" s="42"/>
      <c r="DV33" s="42"/>
      <c r="DW33" s="42"/>
      <c r="DX33" s="42"/>
      <c r="DY33" s="43"/>
      <c r="DZ33" s="40">
        <f t="shared" si="26"/>
        <v>0</v>
      </c>
      <c r="EA33" s="40">
        <f t="shared" si="27"/>
        <v>0</v>
      </c>
      <c r="EB33" s="41" t="b">
        <f t="shared" si="4"/>
        <v>0</v>
      </c>
      <c r="ED33" s="29">
        <f t="shared" si="28"/>
        <v>0</v>
      </c>
      <c r="EE33" s="29">
        <f>GetTransactionTotal(AggregateTable2024[], AggregateTable2024[Start], ED$1, AggregateTable2024[#Headers], $D33)</f>
        <v>9.9999999999999992E-2</v>
      </c>
      <c r="EF33" s="29">
        <f>Buckets_1_24[[#This Row],[Start]]+Buckets_1_24[[#This Row],[Transactions]]</f>
        <v>9.9999999999999992E-2</v>
      </c>
      <c r="EG33" s="29">
        <f t="shared" si="29"/>
        <v>0</v>
      </c>
      <c r="EH33" s="29">
        <f>Buckets_1_24[[#This Row],[Capacity]]-Buckets_1_24[[#This Row],[After T]]</f>
        <v>-9.9999999999999992E-2</v>
      </c>
      <c r="EI33" s="29">
        <f>MAX(-Buckets_1_24[[#This Row],[Cap Diff]], 0)</f>
        <v>9.9999999999999992E-2</v>
      </c>
      <c r="EJ33" s="29">
        <f>Buckets_1_24[[#This Row],[After T]]-Buckets_1_24[[#This Row],[Slush]]</f>
        <v>0</v>
      </c>
      <c r="EK33" s="29">
        <f>Buckets_1_24[[#This Row],[Capacity]]-Buckets_1_24[[#This Row],[Before Fill]]</f>
        <v>0</v>
      </c>
      <c r="EL33" t="b">
        <f>OR(EB33, Buckets_1_24[[#This Row],[After T]]&lt;0)</f>
        <v>0</v>
      </c>
      <c r="EM33" s="29">
        <f>IF(Buckets_1_24[[#This Row],[Is Crit]], Buckets_1_24[[#This Row],[S Cap Diff]], 0)</f>
        <v>0</v>
      </c>
      <c r="EN33" s="29">
        <f>Buckets_1_24[[#This Row],[Before Fill]]+Buckets_1_24[[#This Row],[Crit To Fill]]</f>
        <v>0</v>
      </c>
      <c r="EO33" s="29">
        <f>IF(NOT(Buckets_1_24[[#This Row],[Is Crit]]), Buckets_1_24[[#This Row],[S Cap Diff]], 0)</f>
        <v>0</v>
      </c>
      <c r="EP33" s="29">
        <f>ROUND(EN$41/Buckets_1_24[[#Totals],[NC To Fill]]*Buckets_1_24[[#This Row],[NC To Fill]], 2)</f>
        <v>0</v>
      </c>
      <c r="EQ33" s="31">
        <f>Buckets_1_24[[#This Row],[Pre Scale]] + IF($D33="Unexpected Fund", EN49-Buckets_1_24[[#Totals],[Pre Scale]], 0)</f>
        <v>0</v>
      </c>
      <c r="ER33" s="31">
        <f>Buckets_1_24[[#This Row],[Crit Filled]]+Buckets_1_24[[#This Row],[Scaled]]</f>
        <v>0</v>
      </c>
      <c r="ES33" s="31">
        <f>Buckets_1_24[[#This Row],[NC Filled]]</f>
        <v>0</v>
      </c>
      <c r="ET33" s="31">
        <f>Buckets_1_24[[#This Row],[Capacity]]-Buckets_1_24[[#This Row],[Final]]</f>
        <v>0</v>
      </c>
      <c r="EU33" s="33">
        <f>IF(Buckets_1_24[[#This Row],[Capacity]]=0, 1, Buckets_1_24[[#This Row],[Final]]/Buckets_1_24[[#This Row],[Capacity]])</f>
        <v>1</v>
      </c>
      <c r="EW33" s="40">
        <f>Buckets_1_24[[#This Row],[Final]]</f>
        <v>0</v>
      </c>
      <c r="EX33" s="40">
        <f>Buckets_1_24[[#This Row],[Capacity]]</f>
        <v>0</v>
      </c>
      <c r="EY33" s="41" t="b">
        <f t="shared" si="30"/>
        <v>0</v>
      </c>
      <c r="EZ33" s="42"/>
      <c r="FA33" s="42"/>
      <c r="FB33" s="42"/>
      <c r="FC33" s="42"/>
      <c r="FD33" s="43"/>
      <c r="FE33" s="40">
        <f t="shared" si="31"/>
        <v>0</v>
      </c>
      <c r="FF33" s="40">
        <f t="shared" si="32"/>
        <v>0</v>
      </c>
      <c r="FG33" s="41" t="b">
        <f t="shared" si="5"/>
        <v>0</v>
      </c>
      <c r="FI33" s="29">
        <f t="shared" si="33"/>
        <v>0</v>
      </c>
      <c r="FJ33" s="29">
        <f>GetTransactionTotal(AggregateTable2024[], AggregateTable2024[Start], FI$1, AggregateTable2024[#Headers], $D33)</f>
        <v>1194.9199999999998</v>
      </c>
      <c r="FK33" s="29">
        <f>Buckets_2_24[[#This Row],[Start]]+Buckets_2_24[[#This Row],[Transactions]]</f>
        <v>1194.9199999999998</v>
      </c>
      <c r="FL33" s="29">
        <f t="shared" si="34"/>
        <v>0</v>
      </c>
      <c r="FM33" s="29">
        <f>Buckets_2_24[[#This Row],[Capacity]]-Buckets_2_24[[#This Row],[After T]]</f>
        <v>-1194.9199999999998</v>
      </c>
      <c r="FN33" s="29">
        <f>MAX(-Buckets_2_24[[#This Row],[Cap Diff]], 0)</f>
        <v>1194.9199999999998</v>
      </c>
      <c r="FO33" s="29">
        <f>Buckets_2_24[[#This Row],[After T]]-Buckets_2_24[[#This Row],[Slush]]</f>
        <v>0</v>
      </c>
      <c r="FP33" s="29">
        <f>Buckets_2_24[[#This Row],[Capacity]]-Buckets_2_24[[#This Row],[Before Fill]]</f>
        <v>0</v>
      </c>
      <c r="FQ33" t="b">
        <f>OR(FG33, Buckets_2_24[[#This Row],[After T]]&lt;0)</f>
        <v>0</v>
      </c>
      <c r="FR33" s="29">
        <f>IF(Buckets_2_24[[#This Row],[Is Crit]], Buckets_2_24[[#This Row],[S Cap Diff]], 0)</f>
        <v>0</v>
      </c>
      <c r="FS33" s="29">
        <f>Buckets_2_24[[#This Row],[Before Fill]]+Buckets_2_24[[#This Row],[Crit To Fill]]</f>
        <v>0</v>
      </c>
      <c r="FT33" s="29">
        <f>IF(NOT(Buckets_2_24[[#This Row],[Is Crit]]), Buckets_2_24[[#This Row],[S Cap Diff]], 0)</f>
        <v>0</v>
      </c>
      <c r="FU33" s="29">
        <f>ROUND(FS$41/Buckets_2_24[[#Totals],[NC To Fill]]*Buckets_2_24[[#This Row],[NC To Fill]], 2)</f>
        <v>0</v>
      </c>
      <c r="FV33" s="31">
        <f>Buckets_2_24[[#This Row],[Pre Scale]] + IF($D33="Unexpected Fund", FS49-Buckets_2_24[[#Totals],[Pre Scale]], 0)</f>
        <v>0</v>
      </c>
      <c r="FW33" s="31">
        <f>Buckets_2_24[[#This Row],[Crit Filled]]+Buckets_2_24[[#This Row],[Scaled]]</f>
        <v>0</v>
      </c>
      <c r="FX33" s="31">
        <f>Buckets_2_24[[#This Row],[NC Filled]]</f>
        <v>0</v>
      </c>
      <c r="FY33" s="31">
        <f>Buckets_2_24[[#This Row],[Capacity]]-Buckets_2_24[[#This Row],[Final]]</f>
        <v>0</v>
      </c>
      <c r="FZ33" s="33">
        <f>IF(Buckets_2_24[[#This Row],[Capacity]]=0, 1, Buckets_2_24[[#This Row],[Final]]/Buckets_2_24[[#This Row],[Capacity]])</f>
        <v>1</v>
      </c>
      <c r="GB33" s="40">
        <f>Buckets_2_24[[#This Row],[Final]]</f>
        <v>0</v>
      </c>
      <c r="GC33" s="40">
        <f>Buckets_2_24[[#This Row],[Capacity]]</f>
        <v>0</v>
      </c>
      <c r="GD33" s="41" t="b">
        <f t="shared" si="35"/>
        <v>0</v>
      </c>
      <c r="GE33" s="42"/>
      <c r="GF33" s="42"/>
      <c r="GG33" s="42"/>
      <c r="GH33" s="42"/>
      <c r="GI33" s="43"/>
      <c r="GJ33" s="40">
        <f t="shared" si="36"/>
        <v>0</v>
      </c>
      <c r="GK33" s="40">
        <f t="shared" si="37"/>
        <v>0</v>
      </c>
      <c r="GL33" s="41" t="b">
        <f t="shared" si="6"/>
        <v>0</v>
      </c>
      <c r="GN33" s="29">
        <f t="shared" si="38"/>
        <v>0</v>
      </c>
      <c r="GO33" s="29">
        <f>GetTransactionTotal(AggregateTable2024[], AggregateTable2024[Start], GN$1, AggregateTable2024[#Headers], $D33)</f>
        <v>0.12</v>
      </c>
      <c r="GP33" s="29">
        <f>Buckets_3_24[[#This Row],[Start]]+Buckets_3_24[[#This Row],[Transactions]]</f>
        <v>0.12</v>
      </c>
      <c r="GQ33" s="29">
        <f t="shared" si="39"/>
        <v>0</v>
      </c>
      <c r="GR33" s="29">
        <f>Buckets_3_24[[#This Row],[Capacity]]-Buckets_3_24[[#This Row],[After T]]</f>
        <v>-0.12</v>
      </c>
      <c r="GS33" s="29">
        <f>MAX(-Buckets_3_24[[#This Row],[Cap Diff]], 0)</f>
        <v>0.12</v>
      </c>
      <c r="GT33" s="29">
        <f>Buckets_3_24[[#This Row],[After T]]-Buckets_3_24[[#This Row],[Slush]]</f>
        <v>0</v>
      </c>
      <c r="GU33" s="29">
        <f>Buckets_3_24[[#This Row],[Capacity]]-Buckets_3_24[[#This Row],[Before Fill]]</f>
        <v>0</v>
      </c>
      <c r="GV33" t="b">
        <f>OR(GL33, Buckets_3_24[[#This Row],[After T]]&lt;0)</f>
        <v>0</v>
      </c>
      <c r="GW33" s="29">
        <f>IF(Buckets_3_24[[#This Row],[Is Crit]], Buckets_3_24[[#This Row],[S Cap Diff]], 0)</f>
        <v>0</v>
      </c>
      <c r="GX33" s="29">
        <f>Buckets_3_24[[#This Row],[Before Fill]]+Buckets_3_24[[#This Row],[Crit To Fill]]</f>
        <v>0</v>
      </c>
      <c r="GY33" s="29">
        <f>IF(NOT(Buckets_3_24[[#This Row],[Is Crit]]), Buckets_3_24[[#This Row],[S Cap Diff]], 0)</f>
        <v>0</v>
      </c>
      <c r="GZ33" s="29">
        <f>ROUND(GX$41/Buckets_3_24[[#Totals],[NC To Fill]]*Buckets_3_24[[#This Row],[NC To Fill]], 2)</f>
        <v>0</v>
      </c>
      <c r="HA33" s="31">
        <f>Buckets_3_24[[#This Row],[Pre Scale]] + IF($D33="Unexpected Fund", GX49-Buckets_3_24[[#Totals],[Pre Scale]], 0)</f>
        <v>0</v>
      </c>
      <c r="HB33" s="31">
        <f>Buckets_3_24[[#This Row],[Crit Filled]]+Buckets_3_24[[#This Row],[Scaled]]</f>
        <v>0</v>
      </c>
      <c r="HC33" s="31">
        <f>Buckets_3_24[[#This Row],[NC Filled]]</f>
        <v>0</v>
      </c>
      <c r="HD33" s="31">
        <f>Buckets_3_24[[#This Row],[Capacity]]-Buckets_3_24[[#This Row],[Final]]</f>
        <v>0</v>
      </c>
      <c r="HE33" s="33">
        <f>IF(Buckets_3_24[[#This Row],[Capacity]]=0, 1, Buckets_3_24[[#This Row],[Final]]/Buckets_3_24[[#This Row],[Capacity]])</f>
        <v>1</v>
      </c>
      <c r="HG33" s="40">
        <f>Buckets_3_24[[#This Row],[Final]]</f>
        <v>0</v>
      </c>
      <c r="HH33" s="40">
        <f>Buckets_3_24[[#This Row],[Capacity]]</f>
        <v>0</v>
      </c>
      <c r="HI33" s="41" t="b">
        <f t="shared" si="40"/>
        <v>0</v>
      </c>
      <c r="HJ33" s="42"/>
      <c r="HK33" s="42"/>
      <c r="HL33" s="42"/>
      <c r="HM33" s="42"/>
      <c r="HN33" s="43"/>
      <c r="HO33" s="40">
        <f t="shared" si="41"/>
        <v>0</v>
      </c>
      <c r="HP33" s="40">
        <f t="shared" si="42"/>
        <v>0</v>
      </c>
      <c r="HQ33" s="41" t="b">
        <f t="shared" si="7"/>
        <v>0</v>
      </c>
      <c r="HS33" s="29">
        <f t="shared" si="43"/>
        <v>0</v>
      </c>
      <c r="HT33" s="29">
        <f>GetTransactionTotal(AggregateTable2024[], AggregateTable2024[Start], HS$1, AggregateTable2024[#Headers], $D33)</f>
        <v>5283.13</v>
      </c>
      <c r="HU33" s="29">
        <f>Buckets_4_24[[#This Row],[Start]]+Buckets_4_24[[#This Row],[Transactions]]</f>
        <v>5283.13</v>
      </c>
      <c r="HV33" s="29">
        <f t="shared" si="44"/>
        <v>0</v>
      </c>
      <c r="HW33" s="29">
        <f>Buckets_4_24[[#This Row],[Capacity]]-Buckets_4_24[[#This Row],[After T]]</f>
        <v>-5283.13</v>
      </c>
      <c r="HX33" s="29">
        <f>MAX(-Buckets_4_24[[#This Row],[Cap Diff]], 0)</f>
        <v>5283.13</v>
      </c>
      <c r="HY33" s="29">
        <f>Buckets_4_24[[#This Row],[After T]]-Buckets_4_24[[#This Row],[Slush]]</f>
        <v>0</v>
      </c>
      <c r="HZ33" s="29">
        <f>Buckets_4_24[[#This Row],[Capacity]]-Buckets_4_24[[#This Row],[Before Fill]]</f>
        <v>0</v>
      </c>
      <c r="IA33" t="b">
        <f>OR(HQ33, Buckets_4_24[[#This Row],[After T]]&lt;0)</f>
        <v>0</v>
      </c>
      <c r="IB33" s="29">
        <f>IF(Buckets_4_24[[#This Row],[Is Crit]], Buckets_4_24[[#This Row],[S Cap Diff]], 0)</f>
        <v>0</v>
      </c>
      <c r="IC33" s="29">
        <f>Buckets_4_24[[#This Row],[Before Fill]]+Buckets_4_24[[#This Row],[Crit To Fill]]</f>
        <v>0</v>
      </c>
      <c r="ID33" s="29">
        <f>IF(NOT(Buckets_4_24[[#This Row],[Is Crit]]), Buckets_4_24[[#This Row],[S Cap Diff]], 0)</f>
        <v>0</v>
      </c>
      <c r="IE33" s="29">
        <f>ROUND(IC$41/Buckets_4_24[[#Totals],[NC To Fill]]*Buckets_4_24[[#This Row],[NC To Fill]], 2)</f>
        <v>0</v>
      </c>
      <c r="IF33" s="31">
        <f>Buckets_4_24[[#This Row],[Pre Scale]] + IF($D33="Unexpected Fund", IC49-Buckets_4_24[[#Totals],[Pre Scale]], 0)</f>
        <v>0</v>
      </c>
      <c r="IG33" s="31">
        <f>Buckets_4_24[[#This Row],[Crit Filled]]+Buckets_4_24[[#This Row],[Scaled]]</f>
        <v>0</v>
      </c>
      <c r="IH33" s="31">
        <f>Buckets_4_24[[#This Row],[NC Filled]]</f>
        <v>0</v>
      </c>
      <c r="II33" s="31">
        <f>Buckets_4_24[[#This Row],[Capacity]]-Buckets_4_24[[#This Row],[Final]]</f>
        <v>0</v>
      </c>
      <c r="IJ33" s="33">
        <f>IF(Buckets_4_24[[#This Row],[Capacity]]=0, 1, Buckets_4_24[[#This Row],[Final]]/Buckets_4_24[[#This Row],[Capacity]])</f>
        <v>1</v>
      </c>
      <c r="IL33" s="40">
        <f>Buckets_4_24[[#This Row],[Final]]</f>
        <v>0</v>
      </c>
      <c r="IM33" s="40">
        <f>Buckets_4_24[[#This Row],[Capacity]]</f>
        <v>0</v>
      </c>
      <c r="IN33" s="41" t="b">
        <f t="shared" si="45"/>
        <v>0</v>
      </c>
      <c r="IO33" s="42"/>
      <c r="IP33" s="42"/>
      <c r="IQ33" s="42"/>
      <c r="IR33" s="42"/>
      <c r="IS33" s="43"/>
      <c r="IT33" s="40">
        <f t="shared" si="46"/>
        <v>0</v>
      </c>
      <c r="IU33" s="40">
        <f t="shared" si="47"/>
        <v>0</v>
      </c>
      <c r="IV33" s="41" t="b">
        <f t="shared" si="8"/>
        <v>0</v>
      </c>
    </row>
    <row r="34" spans="1:256" x14ac:dyDescent="0.25">
      <c r="A34" s="48" t="s">
        <v>317</v>
      </c>
      <c r="B34" t="s">
        <v>308</v>
      </c>
      <c r="C34" t="s">
        <v>307</v>
      </c>
      <c r="D34" t="s">
        <v>307</v>
      </c>
      <c r="F34" s="30">
        <v>0</v>
      </c>
      <c r="G34" s="38">
        <v>0</v>
      </c>
      <c r="H34" t="b">
        <v>0</v>
      </c>
      <c r="J34" s="50">
        <f t="shared" si="9"/>
        <v>0</v>
      </c>
      <c r="K34" s="50">
        <f>GetTransactionTotal(AggregateTable2023[], AggregateTable2023[Start], J$1, AggregateTable2023[#Headers], $D34)</f>
        <v>0</v>
      </c>
      <c r="L34" s="50">
        <f>Buckets_9_23[[#This Row],[Start]]+Buckets_9_23[[#This Row],[Transactions]]</f>
        <v>0</v>
      </c>
      <c r="M34" s="50">
        <f t="shared" si="10"/>
        <v>0</v>
      </c>
      <c r="N34" s="50">
        <f>Buckets_9_23[[#This Row],[Capacity]]-Buckets_9_23[[#This Row],[After T]]</f>
        <v>0</v>
      </c>
      <c r="O34" s="50">
        <f>IF(Buckets_9_23[[#This Row],[After T]]&lt;0, Buckets_9_23[[#This Row],[After T]], IF(Buckets_9_23[[#This Row],[Cap Diff]]&lt;0, -Buckets_9_23[[#This Row],[Cap Diff]], 0))</f>
        <v>0</v>
      </c>
      <c r="P34" s="50">
        <f>Buckets_9_23[[#This Row],[After T]]-Buckets_9_23[[#This Row],[Slush]]</f>
        <v>0</v>
      </c>
      <c r="Q34" s="50">
        <f>Buckets_9_23[[#This Row],[Capacity]]-Buckets_9_23[[#This Row],[Before Fill]]</f>
        <v>0</v>
      </c>
      <c r="R34" s="31" t="b">
        <f t="shared" si="0"/>
        <v>0</v>
      </c>
      <c r="S34" s="50">
        <f>IF(Buckets_9_23[[#This Row],[Is Crit]], Buckets_9_23[[#This Row],[S Cap Diff]], 0)</f>
        <v>0</v>
      </c>
      <c r="T34" s="50">
        <f>Buckets_9_23[[#This Row],[Before Fill]]+Buckets_9_23[[#This Row],[Crit To Fill]]</f>
        <v>0</v>
      </c>
      <c r="U34" s="50">
        <f>IF(NOT(Buckets_9_23[[#This Row],[Is Crit]]), Buckets_9_23[[#This Row],[S Cap Diff]], 0)</f>
        <v>0</v>
      </c>
      <c r="V34" s="50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A34" s="51">
        <f>IF(Buckets_9_23[[#This Row],[Capacity]]=0, 1, Buckets_9_23[[#This Row],[Final]]/Buckets_9_23[[#This Row],[Capacity]])</f>
        <v>1</v>
      </c>
      <c r="AC34" s="31">
        <f>Buckets_9_23[[#This Row],[Final]]</f>
        <v>0</v>
      </c>
      <c r="AD34" s="31">
        <f>Buckets_9_23[[#This Row],[Capacity]]</f>
        <v>0</v>
      </c>
      <c r="AE34" t="b">
        <f>H34</f>
        <v>0</v>
      </c>
      <c r="AF34" s="43"/>
      <c r="AG34" s="42"/>
      <c r="AH34" s="43"/>
      <c r="AI34" s="42"/>
      <c r="AJ34" s="43"/>
      <c r="AK34" s="40">
        <f t="shared" si="11"/>
        <v>0</v>
      </c>
      <c r="AL34" s="40">
        <f t="shared" si="12"/>
        <v>0</v>
      </c>
      <c r="AM34" s="41" t="b">
        <f t="shared" si="1"/>
        <v>0</v>
      </c>
      <c r="AO34" s="29">
        <f t="shared" si="13"/>
        <v>0</v>
      </c>
      <c r="AP34" s="29">
        <f>GetTransactionTotal(AggregateTable2023[], AggregateTable2023[Start], AO$1, AggregateTable2023[#Headers], $D34)</f>
        <v>0</v>
      </c>
      <c r="AQ34" s="29">
        <f>Buckets_10_23[[#This Row],[Start]]+Buckets_10_23[[#This Row],[Transactions]]</f>
        <v>0</v>
      </c>
      <c r="AR34" s="29">
        <f t="shared" si="14"/>
        <v>0</v>
      </c>
      <c r="AS34" s="29">
        <f>Buckets_10_23[[#This Row],[Capacity]]-Buckets_10_23[[#This Row],[After T]]</f>
        <v>0</v>
      </c>
      <c r="AT34" s="29">
        <f>MAX(-Buckets_10_23[[#This Row],[Cap Diff]], 0)</f>
        <v>0</v>
      </c>
      <c r="AU34" s="29">
        <f>Buckets_10_23[[#This Row],[After T]]-Buckets_10_23[[#This Row],[Slush]]</f>
        <v>0</v>
      </c>
      <c r="AV34" s="29">
        <f>Buckets_10_23[[#This Row],[Capacity]]-Buckets_10_23[[#This Row],[Before Fill]]</f>
        <v>0</v>
      </c>
      <c r="AW34" t="b">
        <f>OR(AM34, Buckets_10_23[[#This Row],[After T]]&lt;0)</f>
        <v>0</v>
      </c>
      <c r="AX34" s="29">
        <f>IF(Buckets_10_23[[#This Row],[Is Crit]], Buckets_10_23[[#This Row],[S Cap Diff]], 0)</f>
        <v>0</v>
      </c>
      <c r="AY34" s="29">
        <f>Buckets_10_23[[#This Row],[Before Fill]]+Buckets_10_23[[#This Row],[Crit To Fill]]</f>
        <v>0</v>
      </c>
      <c r="AZ34" s="29">
        <f>IF(NOT(Buckets_10_23[[#This Row],[Is Crit]]), Buckets_10_23[[#This Row],[S Cap Diff]], 0)</f>
        <v>0</v>
      </c>
      <c r="BA34" s="29">
        <f>ROUND(AY$41/Buckets_10_23[[#Totals],[NC To Fill]]*Buckets_10_23[[#This Row],[NC To Fill]], 2)</f>
        <v>0</v>
      </c>
      <c r="BB34" s="31">
        <f>Buckets_10_23[[#This Row],[Pre Scale]] + IF($D34="Unexpected Fund", AY50-Buckets_10_23[[#Totals],[Pre Scale]], 0)</f>
        <v>0</v>
      </c>
      <c r="BC34" s="31">
        <f>Buckets_10_23[[#This Row],[Crit Filled]]+Buckets_10_23[[#This Row],[Scaled]]</f>
        <v>0</v>
      </c>
      <c r="BD34" s="31">
        <f>Buckets_10_23[[#This Row],[NC Filled]]</f>
        <v>0</v>
      </c>
      <c r="BE34" s="31">
        <f>Buckets_10_23[[#This Row],[Capacity]]-Buckets_10_23[[#This Row],[Final]]</f>
        <v>0</v>
      </c>
      <c r="BF34" s="33">
        <f>IF(Buckets_10_23[[#This Row],[Capacity]]=0, 1, Buckets_10_23[[#This Row],[Final]]/Buckets_10_23[[#This Row],[Capacity]])</f>
        <v>1</v>
      </c>
      <c r="BH34" s="31">
        <f>Buckets_10_23[[#This Row],[Final]]</f>
        <v>0</v>
      </c>
      <c r="BI34" s="31">
        <f>Buckets_10_23[[#This Row],[Capacity]]</f>
        <v>0</v>
      </c>
      <c r="BJ34" t="b">
        <f t="shared" si="15"/>
        <v>0</v>
      </c>
      <c r="BK34" s="43"/>
      <c r="BL34" s="42"/>
      <c r="BM34" s="43"/>
      <c r="BN34" s="42"/>
      <c r="BO34" s="43"/>
      <c r="BP34" s="40">
        <f t="shared" si="16"/>
        <v>0</v>
      </c>
      <c r="BQ34" s="40">
        <f t="shared" si="17"/>
        <v>0</v>
      </c>
      <c r="BR34" s="41" t="b">
        <f t="shared" si="2"/>
        <v>0</v>
      </c>
      <c r="BT34" s="29">
        <f t="shared" si="18"/>
        <v>0</v>
      </c>
      <c r="BU34" s="29">
        <f>GetTransactionTotal(AggregateTable2023[], AggregateTable2023[Start], BT$1, AggregateTable2023[#Headers], $D34)</f>
        <v>0</v>
      </c>
      <c r="BV34" s="29">
        <f>Buckets_11_23[[#This Row],[Start]]+Buckets_11_23[[#This Row],[Transactions]]</f>
        <v>0</v>
      </c>
      <c r="BW34" s="29">
        <f t="shared" si="19"/>
        <v>0</v>
      </c>
      <c r="BX34" s="29">
        <f>Buckets_11_23[[#This Row],[Capacity]]-Buckets_11_23[[#This Row],[After T]]</f>
        <v>0</v>
      </c>
      <c r="BY34" s="29">
        <f>MAX(-Buckets_11_23[[#This Row],[Cap Diff]], 0)</f>
        <v>0</v>
      </c>
      <c r="BZ34" s="29">
        <f>Buckets_11_23[[#This Row],[After T]]-Buckets_11_23[[#This Row],[Slush]]</f>
        <v>0</v>
      </c>
      <c r="CA34" s="29">
        <f>Buckets_11_23[[#This Row],[Capacity]]-Buckets_11_23[[#This Row],[Before Fill]]</f>
        <v>0</v>
      </c>
      <c r="CB34" t="b">
        <f>OR(BR34, Buckets_11_23[[#This Row],[After T]]&lt;0)</f>
        <v>0</v>
      </c>
      <c r="CC34" s="29">
        <f>IF(Buckets_11_23[[#This Row],[Is Crit]], Buckets_11_23[[#This Row],[S Cap Diff]], 0)</f>
        <v>0</v>
      </c>
      <c r="CD34" s="29">
        <f>Buckets_11_23[[#This Row],[Before Fill]]+Buckets_11_23[[#This Row],[Crit To Fill]]</f>
        <v>0</v>
      </c>
      <c r="CE34" s="29">
        <f>IF(NOT(Buckets_11_23[[#This Row],[Is Crit]]), Buckets_11_23[[#This Row],[S Cap Diff]], 0)</f>
        <v>0</v>
      </c>
      <c r="CF34" s="29">
        <f>ROUND(CD$41/Buckets_11_23[[#Totals],[NC To Fill]]*Buckets_11_23[[#This Row],[NC To Fill]], 2)</f>
        <v>0</v>
      </c>
      <c r="CG34" s="31">
        <f>Buckets_11_23[[#This Row],[Pre Scale]] + IF($D34="Unexpected Fund", CD50-Buckets_11_23[[#Totals],[Pre Scale]], 0)</f>
        <v>0</v>
      </c>
      <c r="CH34" s="31">
        <f>Buckets_11_23[[#This Row],[Crit Filled]]+Buckets_11_23[[#This Row],[Scaled]]</f>
        <v>0</v>
      </c>
      <c r="CI34" s="31">
        <f>Buckets_11_23[[#This Row],[NC Filled]]</f>
        <v>0</v>
      </c>
      <c r="CJ34" s="31">
        <f>Buckets_11_23[[#This Row],[Capacity]]-Buckets_11_23[[#This Row],[Final]]</f>
        <v>0</v>
      </c>
      <c r="CK34" s="33">
        <f>IF(Buckets_11_23[[#This Row],[Capacity]]=0, 1, Buckets_11_23[[#This Row],[Final]]/Buckets_11_23[[#This Row],[Capacity]])</f>
        <v>1</v>
      </c>
      <c r="CM34" s="40">
        <f>Buckets_11_23[[#This Row],[Final]]</f>
        <v>0</v>
      </c>
      <c r="CN34" s="40">
        <f>Buckets_11_23[[#This Row],[Capacity]]</f>
        <v>0</v>
      </c>
      <c r="CO34" s="41" t="b">
        <f t="shared" si="20"/>
        <v>0</v>
      </c>
      <c r="CP34" s="42"/>
      <c r="CQ34" s="42"/>
      <c r="CR34" s="42"/>
      <c r="CS34" s="42"/>
      <c r="CT34" s="43"/>
      <c r="CU34" s="40">
        <f t="shared" si="21"/>
        <v>0</v>
      </c>
      <c r="CV34" s="40">
        <f t="shared" si="22"/>
        <v>0</v>
      </c>
      <c r="CW34" s="41" t="b">
        <f t="shared" si="3"/>
        <v>0</v>
      </c>
      <c r="CY34" s="29">
        <f t="shared" si="23"/>
        <v>0</v>
      </c>
      <c r="CZ34" s="29">
        <f>GetTransactionTotal(AggregateTable2023[], AggregateTable2023[Start], CY$1, AggregateTable2023[#Headers], $D34)</f>
        <v>0</v>
      </c>
      <c r="DA34" s="29">
        <f>Buckets_12_23[[#This Row],[Start]]+Buckets_12_23[[#This Row],[Transactions]]</f>
        <v>0</v>
      </c>
      <c r="DB34" s="29">
        <f t="shared" si="24"/>
        <v>0</v>
      </c>
      <c r="DC34" s="29">
        <f>Buckets_12_23[[#This Row],[Capacity]]-Buckets_12_23[[#This Row],[After T]]</f>
        <v>0</v>
      </c>
      <c r="DD34" s="29">
        <f>MAX(-Buckets_12_23[[#This Row],[Cap Diff]], 0)</f>
        <v>0</v>
      </c>
      <c r="DE34" s="29">
        <f>Buckets_12_23[[#This Row],[After T]]-Buckets_12_23[[#This Row],[Slush]]</f>
        <v>0</v>
      </c>
      <c r="DF34" s="29">
        <f>Buckets_12_23[[#This Row],[Capacity]]-Buckets_12_23[[#This Row],[Before Fill]]</f>
        <v>0</v>
      </c>
      <c r="DG34" t="b">
        <f>OR(CW34, Buckets_12_23[[#This Row],[After T]]&lt;0)</f>
        <v>0</v>
      </c>
      <c r="DH34" s="29">
        <f>IF(Buckets_12_23[[#This Row],[Is Crit]], Buckets_12_23[[#This Row],[S Cap Diff]], 0)</f>
        <v>0</v>
      </c>
      <c r="DI34" s="29">
        <f>Buckets_12_23[[#This Row],[Before Fill]]+Buckets_12_23[[#This Row],[Crit To Fill]]</f>
        <v>0</v>
      </c>
      <c r="DJ34" s="29">
        <f>IF(NOT(Buckets_12_23[[#This Row],[Is Crit]]), Buckets_12_23[[#This Row],[S Cap Diff]], 0)</f>
        <v>0</v>
      </c>
      <c r="DK34" s="29">
        <f>ROUND(DI$41/Buckets_12_23[[#Totals],[NC To Fill]]*Buckets_12_23[[#This Row],[NC To Fill]], 2)</f>
        <v>0</v>
      </c>
      <c r="DL34" s="31">
        <f>Buckets_12_23[[#This Row],[Pre Scale]] + IF($D34="Unexpected Fund", DI50-Buckets_12_23[[#Totals],[Pre Scale]], 0)</f>
        <v>0</v>
      </c>
      <c r="DM34" s="31">
        <f>Buckets_12_23[[#This Row],[Crit Filled]]+Buckets_12_23[[#This Row],[Scaled]]</f>
        <v>0</v>
      </c>
      <c r="DN34" s="31">
        <f>Buckets_12_23[[#This Row],[NC Filled]]</f>
        <v>0</v>
      </c>
      <c r="DO34" s="31">
        <f>Buckets_12_23[[#This Row],[Capacity]]-Buckets_12_23[[#This Row],[Final]]</f>
        <v>0</v>
      </c>
      <c r="DP34" s="33">
        <f>IF(Buckets_12_23[[#This Row],[Capacity]]=0, 1, Buckets_12_23[[#This Row],[Final]]/Buckets_12_23[[#This Row],[Capacity]])</f>
        <v>1</v>
      </c>
      <c r="DR34" s="40">
        <f>Buckets_12_23[[#This Row],[Final]]</f>
        <v>0</v>
      </c>
      <c r="DS34" s="40">
        <f>Buckets_12_23[[#This Row],[Capacity]]</f>
        <v>0</v>
      </c>
      <c r="DT34" s="41" t="b">
        <f t="shared" si="25"/>
        <v>0</v>
      </c>
      <c r="DU34" s="42"/>
      <c r="DV34" s="42"/>
      <c r="DW34" s="42"/>
      <c r="DX34" s="42"/>
      <c r="DY34" s="43"/>
      <c r="DZ34" s="40">
        <f t="shared" si="26"/>
        <v>0</v>
      </c>
      <c r="EA34" s="40">
        <f t="shared" si="27"/>
        <v>0</v>
      </c>
      <c r="EB34" s="41" t="b">
        <f t="shared" si="4"/>
        <v>0</v>
      </c>
      <c r="ED34" s="29">
        <f t="shared" si="28"/>
        <v>0</v>
      </c>
      <c r="EE34" s="29">
        <f>GetTransactionTotal(AggregateTable2024[], AggregateTable2024[Start], ED$1, AggregateTable2024[#Headers], $D34)</f>
        <v>0</v>
      </c>
      <c r="EF34" s="29">
        <f>Buckets_1_24[[#This Row],[Start]]+Buckets_1_24[[#This Row],[Transactions]]</f>
        <v>0</v>
      </c>
      <c r="EG34" s="29">
        <f t="shared" si="29"/>
        <v>0</v>
      </c>
      <c r="EH34" s="29">
        <f>Buckets_1_24[[#This Row],[Capacity]]-Buckets_1_24[[#This Row],[After T]]</f>
        <v>0</v>
      </c>
      <c r="EI34" s="29">
        <f>MAX(-Buckets_1_24[[#This Row],[Cap Diff]], 0)</f>
        <v>0</v>
      </c>
      <c r="EJ34" s="29">
        <f>Buckets_1_24[[#This Row],[After T]]-Buckets_1_24[[#This Row],[Slush]]</f>
        <v>0</v>
      </c>
      <c r="EK34" s="29">
        <f>Buckets_1_24[[#This Row],[Capacity]]-Buckets_1_24[[#This Row],[Before Fill]]</f>
        <v>0</v>
      </c>
      <c r="EL34" t="b">
        <f>OR(EB34, Buckets_1_24[[#This Row],[After T]]&lt;0)</f>
        <v>0</v>
      </c>
      <c r="EM34" s="29">
        <f>IF(Buckets_1_24[[#This Row],[Is Crit]], Buckets_1_24[[#This Row],[S Cap Diff]], 0)</f>
        <v>0</v>
      </c>
      <c r="EN34" s="29">
        <f>Buckets_1_24[[#This Row],[Before Fill]]+Buckets_1_24[[#This Row],[Crit To Fill]]</f>
        <v>0</v>
      </c>
      <c r="EO34" s="29">
        <f>IF(NOT(Buckets_1_24[[#This Row],[Is Crit]]), Buckets_1_24[[#This Row],[S Cap Diff]], 0)</f>
        <v>0</v>
      </c>
      <c r="EP34" s="29">
        <f>ROUND(EN$41/Buckets_1_24[[#Totals],[NC To Fill]]*Buckets_1_24[[#This Row],[NC To Fill]], 2)</f>
        <v>0</v>
      </c>
      <c r="EQ34" s="31">
        <f>Buckets_1_24[[#This Row],[Pre Scale]] + IF($D34="Unexpected Fund", EN50-Buckets_1_24[[#Totals],[Pre Scale]], 0)</f>
        <v>0</v>
      </c>
      <c r="ER34" s="31">
        <f>Buckets_1_24[[#This Row],[Crit Filled]]+Buckets_1_24[[#This Row],[Scaled]]</f>
        <v>0</v>
      </c>
      <c r="ES34" s="31">
        <f>Buckets_1_24[[#This Row],[NC Filled]]</f>
        <v>0</v>
      </c>
      <c r="ET34" s="31">
        <f>Buckets_1_24[[#This Row],[Capacity]]-Buckets_1_24[[#This Row],[Final]]</f>
        <v>0</v>
      </c>
      <c r="EU34" s="33">
        <f>IF(Buckets_1_24[[#This Row],[Capacity]]=0, 1, Buckets_1_24[[#This Row],[Final]]/Buckets_1_24[[#This Row],[Capacity]])</f>
        <v>1</v>
      </c>
      <c r="EW34" s="40">
        <f>Buckets_1_24[[#This Row],[Final]]</f>
        <v>0</v>
      </c>
      <c r="EX34" s="40">
        <f>Buckets_1_24[[#This Row],[Capacity]]</f>
        <v>0</v>
      </c>
      <c r="EY34" s="41" t="b">
        <f t="shared" si="30"/>
        <v>0</v>
      </c>
      <c r="EZ34" s="42"/>
      <c r="FA34" s="42"/>
      <c r="FB34" s="42"/>
      <c r="FC34" s="42"/>
      <c r="FD34" s="43"/>
      <c r="FE34" s="40">
        <f t="shared" si="31"/>
        <v>0</v>
      </c>
      <c r="FF34" s="40">
        <f t="shared" si="32"/>
        <v>0</v>
      </c>
      <c r="FG34" s="41" t="b">
        <f t="shared" si="5"/>
        <v>0</v>
      </c>
      <c r="FI34" s="29">
        <f t="shared" si="33"/>
        <v>0</v>
      </c>
      <c r="FJ34" s="29">
        <f>GetTransactionTotal(AggregateTable2024[], AggregateTable2024[Start], FI$1, AggregateTable2024[#Headers], $D34)</f>
        <v>0</v>
      </c>
      <c r="FK34" s="29">
        <f>Buckets_2_24[[#This Row],[Start]]+Buckets_2_24[[#This Row],[Transactions]]</f>
        <v>0</v>
      </c>
      <c r="FL34" s="29">
        <f t="shared" si="34"/>
        <v>0</v>
      </c>
      <c r="FM34" s="29">
        <f>Buckets_2_24[[#This Row],[Capacity]]-Buckets_2_24[[#This Row],[After T]]</f>
        <v>0</v>
      </c>
      <c r="FN34" s="29">
        <f>MAX(-Buckets_2_24[[#This Row],[Cap Diff]], 0)</f>
        <v>0</v>
      </c>
      <c r="FO34" s="29">
        <f>Buckets_2_24[[#This Row],[After T]]-Buckets_2_24[[#This Row],[Slush]]</f>
        <v>0</v>
      </c>
      <c r="FP34" s="29">
        <f>Buckets_2_24[[#This Row],[Capacity]]-Buckets_2_24[[#This Row],[Before Fill]]</f>
        <v>0</v>
      </c>
      <c r="FQ34" t="b">
        <f>OR(FG34, Buckets_2_24[[#This Row],[After T]]&lt;0)</f>
        <v>0</v>
      </c>
      <c r="FR34" s="29">
        <f>IF(Buckets_2_24[[#This Row],[Is Crit]], Buckets_2_24[[#This Row],[S Cap Diff]], 0)</f>
        <v>0</v>
      </c>
      <c r="FS34" s="29">
        <f>Buckets_2_24[[#This Row],[Before Fill]]+Buckets_2_24[[#This Row],[Crit To Fill]]</f>
        <v>0</v>
      </c>
      <c r="FT34" s="29">
        <f>IF(NOT(Buckets_2_24[[#This Row],[Is Crit]]), Buckets_2_24[[#This Row],[S Cap Diff]], 0)</f>
        <v>0</v>
      </c>
      <c r="FU34" s="29">
        <f>ROUND(FS$41/Buckets_2_24[[#Totals],[NC To Fill]]*Buckets_2_24[[#This Row],[NC To Fill]], 2)</f>
        <v>0</v>
      </c>
      <c r="FV34" s="31">
        <f>Buckets_2_24[[#This Row],[Pre Scale]] + IF($D34="Unexpected Fund", FS50-Buckets_2_24[[#Totals],[Pre Scale]], 0)</f>
        <v>0</v>
      </c>
      <c r="FW34" s="31">
        <f>Buckets_2_24[[#This Row],[Crit Filled]]+Buckets_2_24[[#This Row],[Scaled]]</f>
        <v>0</v>
      </c>
      <c r="FX34" s="31">
        <f>Buckets_2_24[[#This Row],[NC Filled]]</f>
        <v>0</v>
      </c>
      <c r="FY34" s="31">
        <f>Buckets_2_24[[#This Row],[Capacity]]-Buckets_2_24[[#This Row],[Final]]</f>
        <v>0</v>
      </c>
      <c r="FZ34" s="33">
        <f>IF(Buckets_2_24[[#This Row],[Capacity]]=0, 1, Buckets_2_24[[#This Row],[Final]]/Buckets_2_24[[#This Row],[Capacity]])</f>
        <v>1</v>
      </c>
      <c r="GB34" s="40">
        <f>Buckets_2_24[[#This Row],[Final]]</f>
        <v>0</v>
      </c>
      <c r="GC34" s="40">
        <f>Buckets_2_24[[#This Row],[Capacity]]</f>
        <v>0</v>
      </c>
      <c r="GD34" s="41" t="b">
        <f t="shared" si="35"/>
        <v>0</v>
      </c>
      <c r="GE34" s="42"/>
      <c r="GF34" s="42"/>
      <c r="GG34" s="42"/>
      <c r="GH34" s="42"/>
      <c r="GI34" s="43"/>
      <c r="GJ34" s="40">
        <f t="shared" si="36"/>
        <v>0</v>
      </c>
      <c r="GK34" s="40">
        <f t="shared" si="37"/>
        <v>0</v>
      </c>
      <c r="GL34" s="41" t="b">
        <f t="shared" si="6"/>
        <v>0</v>
      </c>
      <c r="GN34" s="29">
        <f t="shared" si="38"/>
        <v>0</v>
      </c>
      <c r="GO34" s="29">
        <f>GetTransactionTotal(AggregateTable2024[], AggregateTable2024[Start], GN$1, AggregateTable2024[#Headers], $D34)</f>
        <v>0</v>
      </c>
      <c r="GP34" s="29">
        <f>Buckets_3_24[[#This Row],[Start]]+Buckets_3_24[[#This Row],[Transactions]]</f>
        <v>0</v>
      </c>
      <c r="GQ34" s="29">
        <f t="shared" si="39"/>
        <v>0</v>
      </c>
      <c r="GR34" s="29">
        <f>Buckets_3_24[[#This Row],[Capacity]]-Buckets_3_24[[#This Row],[After T]]</f>
        <v>0</v>
      </c>
      <c r="GS34" s="29">
        <f>MAX(-Buckets_3_24[[#This Row],[Cap Diff]], 0)</f>
        <v>0</v>
      </c>
      <c r="GT34" s="29">
        <f>Buckets_3_24[[#This Row],[After T]]-Buckets_3_24[[#This Row],[Slush]]</f>
        <v>0</v>
      </c>
      <c r="GU34" s="29">
        <f>Buckets_3_24[[#This Row],[Capacity]]-Buckets_3_24[[#This Row],[Before Fill]]</f>
        <v>0</v>
      </c>
      <c r="GV34" t="b">
        <f>OR(GL34, Buckets_3_24[[#This Row],[After T]]&lt;0)</f>
        <v>0</v>
      </c>
      <c r="GW34" s="29">
        <f>IF(Buckets_3_24[[#This Row],[Is Crit]], Buckets_3_24[[#This Row],[S Cap Diff]], 0)</f>
        <v>0</v>
      </c>
      <c r="GX34" s="29">
        <f>Buckets_3_24[[#This Row],[Before Fill]]+Buckets_3_24[[#This Row],[Crit To Fill]]</f>
        <v>0</v>
      </c>
      <c r="GY34" s="29">
        <f>IF(NOT(Buckets_3_24[[#This Row],[Is Crit]]), Buckets_3_24[[#This Row],[S Cap Diff]], 0)</f>
        <v>0</v>
      </c>
      <c r="GZ34" s="29">
        <f>ROUND(GX$41/Buckets_3_24[[#Totals],[NC To Fill]]*Buckets_3_24[[#This Row],[NC To Fill]], 2)</f>
        <v>0</v>
      </c>
      <c r="HA34" s="31">
        <f>Buckets_3_24[[#This Row],[Pre Scale]] + IF($D34="Unexpected Fund", GX50-Buckets_3_24[[#Totals],[Pre Scale]], 0)</f>
        <v>0</v>
      </c>
      <c r="HB34" s="31">
        <f>Buckets_3_24[[#This Row],[Crit Filled]]+Buckets_3_24[[#This Row],[Scaled]]</f>
        <v>0</v>
      </c>
      <c r="HC34" s="31">
        <f>Buckets_3_24[[#This Row],[NC Filled]]</f>
        <v>0</v>
      </c>
      <c r="HD34" s="31">
        <f>Buckets_3_24[[#This Row],[Capacity]]-Buckets_3_24[[#This Row],[Final]]</f>
        <v>0</v>
      </c>
      <c r="HE34" s="33">
        <f>IF(Buckets_3_24[[#This Row],[Capacity]]=0, 1, Buckets_3_24[[#This Row],[Final]]/Buckets_3_24[[#This Row],[Capacity]])</f>
        <v>1</v>
      </c>
      <c r="HG34" s="40">
        <f>Buckets_3_24[[#This Row],[Final]]</f>
        <v>0</v>
      </c>
      <c r="HH34" s="40">
        <f>Buckets_3_24[[#This Row],[Capacity]]</f>
        <v>0</v>
      </c>
      <c r="HI34" s="41" t="b">
        <f t="shared" si="40"/>
        <v>0</v>
      </c>
      <c r="HJ34" s="42"/>
      <c r="HK34" s="42"/>
      <c r="HL34" s="42"/>
      <c r="HM34" s="42"/>
      <c r="HN34" s="43"/>
      <c r="HO34" s="40">
        <f t="shared" si="41"/>
        <v>0</v>
      </c>
      <c r="HP34" s="40">
        <f t="shared" si="42"/>
        <v>0</v>
      </c>
      <c r="HQ34" s="41" t="b">
        <f t="shared" si="7"/>
        <v>0</v>
      </c>
      <c r="HS34" s="29">
        <f t="shared" si="43"/>
        <v>0</v>
      </c>
      <c r="HT34" s="29">
        <f>GetTransactionTotal(AggregateTable2024[], AggregateTable2024[Start], HS$1, AggregateTable2024[#Headers], $D34)</f>
        <v>0</v>
      </c>
      <c r="HU34" s="29">
        <f>Buckets_4_24[[#This Row],[Start]]+Buckets_4_24[[#This Row],[Transactions]]</f>
        <v>0</v>
      </c>
      <c r="HV34" s="29">
        <f t="shared" si="44"/>
        <v>0</v>
      </c>
      <c r="HW34" s="29">
        <f>Buckets_4_24[[#This Row],[Capacity]]-Buckets_4_24[[#This Row],[After T]]</f>
        <v>0</v>
      </c>
      <c r="HX34" s="29">
        <f>MAX(-Buckets_4_24[[#This Row],[Cap Diff]], 0)</f>
        <v>0</v>
      </c>
      <c r="HY34" s="29">
        <f>Buckets_4_24[[#This Row],[After T]]-Buckets_4_24[[#This Row],[Slush]]</f>
        <v>0</v>
      </c>
      <c r="HZ34" s="29">
        <f>Buckets_4_24[[#This Row],[Capacity]]-Buckets_4_24[[#This Row],[Before Fill]]</f>
        <v>0</v>
      </c>
      <c r="IA34" t="b">
        <f>OR(HQ34, Buckets_4_24[[#This Row],[After T]]&lt;0)</f>
        <v>0</v>
      </c>
      <c r="IB34" s="29">
        <f>IF(Buckets_4_24[[#This Row],[Is Crit]], Buckets_4_24[[#This Row],[S Cap Diff]], 0)</f>
        <v>0</v>
      </c>
      <c r="IC34" s="29">
        <f>Buckets_4_24[[#This Row],[Before Fill]]+Buckets_4_24[[#This Row],[Crit To Fill]]</f>
        <v>0</v>
      </c>
      <c r="ID34" s="29">
        <f>IF(NOT(Buckets_4_24[[#This Row],[Is Crit]]), Buckets_4_24[[#This Row],[S Cap Diff]], 0)</f>
        <v>0</v>
      </c>
      <c r="IE34" s="29">
        <f>ROUND(IC$41/Buckets_4_24[[#Totals],[NC To Fill]]*Buckets_4_24[[#This Row],[NC To Fill]], 2)</f>
        <v>0</v>
      </c>
      <c r="IF34" s="31">
        <f>Buckets_4_24[[#This Row],[Pre Scale]] + IF($D34="Unexpected Fund", IC50-Buckets_4_24[[#Totals],[Pre Scale]], 0)</f>
        <v>0</v>
      </c>
      <c r="IG34" s="31">
        <f>Buckets_4_24[[#This Row],[Crit Filled]]+Buckets_4_24[[#This Row],[Scaled]]</f>
        <v>0</v>
      </c>
      <c r="IH34" s="31">
        <f>Buckets_4_24[[#This Row],[NC Filled]]</f>
        <v>0</v>
      </c>
      <c r="II34" s="31">
        <f>Buckets_4_24[[#This Row],[Capacity]]-Buckets_4_24[[#This Row],[Final]]</f>
        <v>0</v>
      </c>
      <c r="IJ34" s="33">
        <f>IF(Buckets_4_24[[#This Row],[Capacity]]=0, 1, Buckets_4_24[[#This Row],[Final]]/Buckets_4_24[[#This Row],[Capacity]])</f>
        <v>1</v>
      </c>
      <c r="IL34" s="40">
        <f>Buckets_4_24[[#This Row],[Final]]</f>
        <v>0</v>
      </c>
      <c r="IM34" s="40">
        <f>Buckets_4_24[[#This Row],[Capacity]]</f>
        <v>0</v>
      </c>
      <c r="IN34" s="41" t="b">
        <f t="shared" si="45"/>
        <v>0</v>
      </c>
      <c r="IO34" s="42"/>
      <c r="IP34" s="42"/>
      <c r="IQ34" s="42"/>
      <c r="IR34" s="42"/>
      <c r="IS34" s="43"/>
      <c r="IT34" s="40">
        <f t="shared" si="46"/>
        <v>0</v>
      </c>
      <c r="IU34" s="40">
        <f t="shared" si="47"/>
        <v>0</v>
      </c>
      <c r="IV34" s="41" t="b">
        <f t="shared" si="8"/>
        <v>0</v>
      </c>
    </row>
    <row r="35" spans="1:256" ht="15.75" thickBot="1" x14ac:dyDescent="0.3">
      <c r="A35" s="48"/>
      <c r="B35" t="s">
        <v>308</v>
      </c>
      <c r="C35" t="s">
        <v>308</v>
      </c>
      <c r="D35" t="s">
        <v>308</v>
      </c>
      <c r="F35" s="30">
        <v>0</v>
      </c>
      <c r="G35" s="38">
        <v>0</v>
      </c>
      <c r="H35" t="b">
        <v>0</v>
      </c>
      <c r="J35" s="50">
        <f t="shared" si="9"/>
        <v>0</v>
      </c>
      <c r="K35" s="50">
        <f>GetTransactionTotal(AggregateTable2023[], AggregateTable2023[Start], J$1, AggregateTable2023[#Headers], $D35)</f>
        <v>0</v>
      </c>
      <c r="L35" s="50">
        <f>Buckets_9_23[[#This Row],[Start]]+Buckets_9_23[[#This Row],[Transactions]]</f>
        <v>0</v>
      </c>
      <c r="M35" s="50">
        <f t="shared" si="10"/>
        <v>0</v>
      </c>
      <c r="N35" s="50">
        <f>Buckets_9_23[[#This Row],[Capacity]]-Buckets_9_23[[#This Row],[After T]]</f>
        <v>0</v>
      </c>
      <c r="O35" s="50">
        <f>IF(Buckets_9_23[[#This Row],[After T]]&lt;0, Buckets_9_23[[#This Row],[After T]], IF(Buckets_9_23[[#This Row],[Cap Diff]]&lt;0, -Buckets_9_23[[#This Row],[Cap Diff]], 0))</f>
        <v>0</v>
      </c>
      <c r="P35" s="50">
        <f>Buckets_9_23[[#This Row],[After T]]-Buckets_9_23[[#This Row],[Slush]]</f>
        <v>0</v>
      </c>
      <c r="Q35" s="50">
        <f>Buckets_9_23[[#This Row],[Capacity]]-Buckets_9_23[[#This Row],[Before Fill]]</f>
        <v>0</v>
      </c>
      <c r="R35" s="31" t="b">
        <f t="shared" si="0"/>
        <v>0</v>
      </c>
      <c r="S35" s="50">
        <f>IF(Buckets_9_23[[#This Row],[Is Crit]], Buckets_9_23[[#This Row],[S Cap Diff]], 0)</f>
        <v>0</v>
      </c>
      <c r="T35" s="50">
        <f>Buckets_9_23[[#This Row],[Before Fill]]+Buckets_9_23[[#This Row],[Crit To Fill]]</f>
        <v>0</v>
      </c>
      <c r="U35" s="50">
        <f>IF(NOT(Buckets_9_23[[#This Row],[Is Crit]]), Buckets_9_23[[#This Row],[S Cap Diff]], 0)</f>
        <v>0</v>
      </c>
      <c r="V35" s="50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A35" s="51">
        <f>IF(Buckets_9_23[[#This Row],[Capacity]]=0, 1, Buckets_9_23[[#This Row],[Final]]/Buckets_9_23[[#This Row],[Capacity]])</f>
        <v>1</v>
      </c>
      <c r="AC35" s="31">
        <f>Buckets_9_23[[#This Row],[Final]]</f>
        <v>0</v>
      </c>
      <c r="AD35" s="31">
        <f>Buckets_9_23[[#This Row],[Capacity]]</f>
        <v>0</v>
      </c>
      <c r="AE35" t="b">
        <f>H35</f>
        <v>0</v>
      </c>
      <c r="AF35" s="43"/>
      <c r="AG35" s="42"/>
      <c r="AH35" s="43"/>
      <c r="AI35" s="42"/>
      <c r="AJ35" s="43"/>
      <c r="AK35" s="40">
        <f t="shared" si="11"/>
        <v>0</v>
      </c>
      <c r="AL35" s="40">
        <f t="shared" si="12"/>
        <v>0</v>
      </c>
      <c r="AM35" s="41" t="b">
        <f t="shared" si="1"/>
        <v>0</v>
      </c>
      <c r="AO35" s="29">
        <f t="shared" si="13"/>
        <v>0</v>
      </c>
      <c r="AP35" s="29">
        <f>GetTransactionTotal(AggregateTable2023[], AggregateTable2023[Start], AO$1, AggregateTable2023[#Headers], $D35)</f>
        <v>0</v>
      </c>
      <c r="AQ35" s="29">
        <f>Buckets_10_23[[#This Row],[Start]]+Buckets_10_23[[#This Row],[Transactions]]</f>
        <v>0</v>
      </c>
      <c r="AR35" s="29">
        <f t="shared" si="14"/>
        <v>0</v>
      </c>
      <c r="AS35" s="29">
        <f>Buckets_10_23[[#This Row],[Capacity]]-Buckets_10_23[[#This Row],[After T]]</f>
        <v>0</v>
      </c>
      <c r="AT35" s="29">
        <f>MAX(-Buckets_10_23[[#This Row],[Cap Diff]], 0)</f>
        <v>0</v>
      </c>
      <c r="AU35" s="29">
        <f>Buckets_10_23[[#This Row],[After T]]-Buckets_10_23[[#This Row],[Slush]]</f>
        <v>0</v>
      </c>
      <c r="AV35" s="29">
        <f>Buckets_10_23[[#This Row],[Capacity]]-Buckets_10_23[[#This Row],[Before Fill]]</f>
        <v>0</v>
      </c>
      <c r="AW35" t="b">
        <f>OR(AM35, Buckets_10_23[[#This Row],[After T]]&lt;0)</f>
        <v>0</v>
      </c>
      <c r="AX35" s="29">
        <f>IF(Buckets_10_23[[#This Row],[Is Crit]], Buckets_10_23[[#This Row],[S Cap Diff]], 0)</f>
        <v>0</v>
      </c>
      <c r="AY35" s="29">
        <f>Buckets_10_23[[#This Row],[Before Fill]]+Buckets_10_23[[#This Row],[Crit To Fill]]</f>
        <v>0</v>
      </c>
      <c r="AZ35" s="29">
        <f>IF(NOT(Buckets_10_23[[#This Row],[Is Crit]]), Buckets_10_23[[#This Row],[S Cap Diff]], 0)</f>
        <v>0</v>
      </c>
      <c r="BA35" s="29">
        <f>ROUND(AY$41/Buckets_10_23[[#Totals],[NC To Fill]]*Buckets_10_23[[#This Row],[NC To Fill]], 2)</f>
        <v>0</v>
      </c>
      <c r="BB35" s="31">
        <f>Buckets_10_23[[#This Row],[Pre Scale]] + IF($D35="Unexpected Fund", AY51-Buckets_10_23[[#Totals],[Pre Scale]], 0)</f>
        <v>0</v>
      </c>
      <c r="BC35" s="31">
        <f>Buckets_10_23[[#This Row],[Crit Filled]]+Buckets_10_23[[#This Row],[Scaled]]</f>
        <v>0</v>
      </c>
      <c r="BD35" s="31">
        <f>Buckets_10_23[[#This Row],[NC Filled]]</f>
        <v>0</v>
      </c>
      <c r="BE35" s="31">
        <f>Buckets_10_23[[#This Row],[Capacity]]-Buckets_10_23[[#This Row],[Final]]</f>
        <v>0</v>
      </c>
      <c r="BF35" s="33">
        <f>IF(Buckets_10_23[[#This Row],[Capacity]]=0, 1, Buckets_10_23[[#This Row],[Final]]/Buckets_10_23[[#This Row],[Capacity]])</f>
        <v>1</v>
      </c>
      <c r="BH35" s="31">
        <f>Buckets_10_23[[#This Row],[Final]]</f>
        <v>0</v>
      </c>
      <c r="BI35" s="31">
        <f>Buckets_10_23[[#This Row],[Capacity]]</f>
        <v>0</v>
      </c>
      <c r="BJ35" t="b">
        <f t="shared" si="15"/>
        <v>0</v>
      </c>
      <c r="BK35" s="43"/>
      <c r="BL35" s="42"/>
      <c r="BM35" s="43"/>
      <c r="BN35" s="42"/>
      <c r="BO35" s="43"/>
      <c r="BP35" s="40">
        <f t="shared" si="16"/>
        <v>0</v>
      </c>
      <c r="BQ35" s="40">
        <f t="shared" si="17"/>
        <v>0</v>
      </c>
      <c r="BR35" s="41" t="b">
        <f t="shared" si="2"/>
        <v>0</v>
      </c>
      <c r="BT35" s="29">
        <f t="shared" si="18"/>
        <v>0</v>
      </c>
      <c r="BU35" s="29">
        <f>GetTransactionTotal(AggregateTable2023[], AggregateTable2023[Start], BT$1, AggregateTable2023[#Headers], $D35)</f>
        <v>0</v>
      </c>
      <c r="BV35" s="29">
        <f>Buckets_11_23[[#This Row],[Start]]+Buckets_11_23[[#This Row],[Transactions]]</f>
        <v>0</v>
      </c>
      <c r="BW35" s="29">
        <f t="shared" si="19"/>
        <v>0</v>
      </c>
      <c r="BX35" s="29">
        <f>Buckets_11_23[[#This Row],[Capacity]]-Buckets_11_23[[#This Row],[After T]]</f>
        <v>0</v>
      </c>
      <c r="BY35" s="29">
        <f>MAX(-Buckets_11_23[[#This Row],[Cap Diff]], 0)</f>
        <v>0</v>
      </c>
      <c r="BZ35" s="29">
        <f>Buckets_11_23[[#This Row],[After T]]-Buckets_11_23[[#This Row],[Slush]]</f>
        <v>0</v>
      </c>
      <c r="CA35" s="29">
        <f>Buckets_11_23[[#This Row],[Capacity]]-Buckets_11_23[[#This Row],[Before Fill]]</f>
        <v>0</v>
      </c>
      <c r="CB35" t="b">
        <f>OR(BR35, Buckets_11_23[[#This Row],[After T]]&lt;0)</f>
        <v>0</v>
      </c>
      <c r="CC35" s="29">
        <f>IF(Buckets_11_23[[#This Row],[Is Crit]], Buckets_11_23[[#This Row],[S Cap Diff]], 0)</f>
        <v>0</v>
      </c>
      <c r="CD35" s="29">
        <f>Buckets_11_23[[#This Row],[Before Fill]]+Buckets_11_23[[#This Row],[Crit To Fill]]</f>
        <v>0</v>
      </c>
      <c r="CE35" s="29">
        <f>IF(NOT(Buckets_11_23[[#This Row],[Is Crit]]), Buckets_11_23[[#This Row],[S Cap Diff]], 0)</f>
        <v>0</v>
      </c>
      <c r="CF35" s="29">
        <f>ROUND(CD$41/Buckets_11_23[[#Totals],[NC To Fill]]*Buckets_11_23[[#This Row],[NC To Fill]], 2)</f>
        <v>0</v>
      </c>
      <c r="CG35" s="31">
        <f>Buckets_11_23[[#This Row],[Pre Scale]] + IF($D35="Unexpected Fund", CD51-Buckets_11_23[[#Totals],[Pre Scale]], 0)</f>
        <v>0</v>
      </c>
      <c r="CH35" s="31">
        <f>Buckets_11_23[[#This Row],[Crit Filled]]+Buckets_11_23[[#This Row],[Scaled]]</f>
        <v>0</v>
      </c>
      <c r="CI35" s="31">
        <f>Buckets_11_23[[#This Row],[NC Filled]]</f>
        <v>0</v>
      </c>
      <c r="CJ35" s="31">
        <f>Buckets_11_23[[#This Row],[Capacity]]-Buckets_11_23[[#This Row],[Final]]</f>
        <v>0</v>
      </c>
      <c r="CK35" s="33">
        <f>IF(Buckets_11_23[[#This Row],[Capacity]]=0, 1, Buckets_11_23[[#This Row],[Final]]/Buckets_11_23[[#This Row],[Capacity]])</f>
        <v>1</v>
      </c>
      <c r="CM35" s="40">
        <f>Buckets_11_23[[#This Row],[Final]]</f>
        <v>0</v>
      </c>
      <c r="CN35" s="40">
        <f>Buckets_11_23[[#This Row],[Capacity]]</f>
        <v>0</v>
      </c>
      <c r="CO35" s="41" t="b">
        <f t="shared" si="20"/>
        <v>0</v>
      </c>
      <c r="CP35" s="42"/>
      <c r="CQ35" s="42"/>
      <c r="CR35" s="42"/>
      <c r="CS35" s="42"/>
      <c r="CT35" s="43"/>
      <c r="CU35" s="40">
        <f t="shared" si="21"/>
        <v>0</v>
      </c>
      <c r="CV35" s="40">
        <f t="shared" si="22"/>
        <v>0</v>
      </c>
      <c r="CW35" s="41" t="b">
        <f t="shared" si="3"/>
        <v>0</v>
      </c>
      <c r="CY35" s="29">
        <f t="shared" si="23"/>
        <v>0</v>
      </c>
      <c r="CZ35" s="29">
        <f>GetTransactionTotal(AggregateTable2023[], AggregateTable2023[Start], CY$1, AggregateTable2023[#Headers], $D35)</f>
        <v>0</v>
      </c>
      <c r="DA35" s="29">
        <f>Buckets_12_23[[#This Row],[Start]]+Buckets_12_23[[#This Row],[Transactions]]</f>
        <v>0</v>
      </c>
      <c r="DB35" s="29">
        <f t="shared" si="24"/>
        <v>0</v>
      </c>
      <c r="DC35" s="29">
        <f>Buckets_12_23[[#This Row],[Capacity]]-Buckets_12_23[[#This Row],[After T]]</f>
        <v>0</v>
      </c>
      <c r="DD35" s="29">
        <f>MAX(-Buckets_12_23[[#This Row],[Cap Diff]], 0)</f>
        <v>0</v>
      </c>
      <c r="DE35" s="29">
        <f>Buckets_12_23[[#This Row],[After T]]-Buckets_12_23[[#This Row],[Slush]]</f>
        <v>0</v>
      </c>
      <c r="DF35" s="29">
        <f>Buckets_12_23[[#This Row],[Capacity]]-Buckets_12_23[[#This Row],[Before Fill]]</f>
        <v>0</v>
      </c>
      <c r="DG35" t="b">
        <f>OR(CW35, Buckets_12_23[[#This Row],[After T]]&lt;0)</f>
        <v>0</v>
      </c>
      <c r="DH35" s="29">
        <f>IF(Buckets_12_23[[#This Row],[Is Crit]], Buckets_12_23[[#This Row],[S Cap Diff]], 0)</f>
        <v>0</v>
      </c>
      <c r="DI35" s="29">
        <f>Buckets_12_23[[#This Row],[Before Fill]]+Buckets_12_23[[#This Row],[Crit To Fill]]</f>
        <v>0</v>
      </c>
      <c r="DJ35" s="29">
        <f>IF(NOT(Buckets_12_23[[#This Row],[Is Crit]]), Buckets_12_23[[#This Row],[S Cap Diff]], 0)</f>
        <v>0</v>
      </c>
      <c r="DK35" s="29">
        <f>ROUND(DI$41/Buckets_12_23[[#Totals],[NC To Fill]]*Buckets_12_23[[#This Row],[NC To Fill]], 2)</f>
        <v>0</v>
      </c>
      <c r="DL35" s="31">
        <f>Buckets_12_23[[#This Row],[Pre Scale]] + IF($D35="Unexpected Fund", DI51-Buckets_12_23[[#Totals],[Pre Scale]], 0)</f>
        <v>0</v>
      </c>
      <c r="DM35" s="31">
        <f>Buckets_12_23[[#This Row],[Crit Filled]]+Buckets_12_23[[#This Row],[Scaled]]</f>
        <v>0</v>
      </c>
      <c r="DN35" s="31">
        <f>Buckets_12_23[[#This Row],[NC Filled]]</f>
        <v>0</v>
      </c>
      <c r="DO35" s="31">
        <f>Buckets_12_23[[#This Row],[Capacity]]-Buckets_12_23[[#This Row],[Final]]</f>
        <v>0</v>
      </c>
      <c r="DP35" s="33">
        <f>IF(Buckets_12_23[[#This Row],[Capacity]]=0, 1, Buckets_12_23[[#This Row],[Final]]/Buckets_12_23[[#This Row],[Capacity]])</f>
        <v>1</v>
      </c>
      <c r="DR35" s="40">
        <f>Buckets_12_23[[#This Row],[Final]]</f>
        <v>0</v>
      </c>
      <c r="DS35" s="40">
        <f>Buckets_12_23[[#This Row],[Capacity]]</f>
        <v>0</v>
      </c>
      <c r="DT35" s="41" t="b">
        <f t="shared" si="25"/>
        <v>0</v>
      </c>
      <c r="DU35" s="42"/>
      <c r="DV35" s="42"/>
      <c r="DW35" s="42"/>
      <c r="DX35" s="42"/>
      <c r="DY35" s="43"/>
      <c r="DZ35" s="40">
        <f t="shared" si="26"/>
        <v>0</v>
      </c>
      <c r="EA35" s="40">
        <f t="shared" si="27"/>
        <v>0</v>
      </c>
      <c r="EB35" s="41" t="b">
        <f t="shared" si="4"/>
        <v>0</v>
      </c>
      <c r="ED35" s="29">
        <f t="shared" si="28"/>
        <v>0</v>
      </c>
      <c r="EE35" s="29">
        <f>GetTransactionTotal(AggregateTable2024[], AggregateTable2024[Start], ED$1, AggregateTable2024[#Headers], $D35)</f>
        <v>0</v>
      </c>
      <c r="EF35" s="29">
        <f>Buckets_1_24[[#This Row],[Start]]+Buckets_1_24[[#This Row],[Transactions]]</f>
        <v>0</v>
      </c>
      <c r="EG35" s="29">
        <f t="shared" si="29"/>
        <v>0</v>
      </c>
      <c r="EH35" s="29">
        <f>Buckets_1_24[[#This Row],[Capacity]]-Buckets_1_24[[#This Row],[After T]]</f>
        <v>0</v>
      </c>
      <c r="EI35" s="29">
        <f>MAX(-Buckets_1_24[[#This Row],[Cap Diff]], 0)</f>
        <v>0</v>
      </c>
      <c r="EJ35" s="29">
        <f>Buckets_1_24[[#This Row],[After T]]-Buckets_1_24[[#This Row],[Slush]]</f>
        <v>0</v>
      </c>
      <c r="EK35" s="29">
        <f>Buckets_1_24[[#This Row],[Capacity]]-Buckets_1_24[[#This Row],[Before Fill]]</f>
        <v>0</v>
      </c>
      <c r="EL35" t="b">
        <f>OR(EB35, Buckets_1_24[[#This Row],[After T]]&lt;0)</f>
        <v>0</v>
      </c>
      <c r="EM35" s="29">
        <f>IF(Buckets_1_24[[#This Row],[Is Crit]], Buckets_1_24[[#This Row],[S Cap Diff]], 0)</f>
        <v>0</v>
      </c>
      <c r="EN35" s="29">
        <f>Buckets_1_24[[#This Row],[Before Fill]]+Buckets_1_24[[#This Row],[Crit To Fill]]</f>
        <v>0</v>
      </c>
      <c r="EO35" s="29">
        <f>IF(NOT(Buckets_1_24[[#This Row],[Is Crit]]), Buckets_1_24[[#This Row],[S Cap Diff]], 0)</f>
        <v>0</v>
      </c>
      <c r="EP35" s="29">
        <f>ROUND(EN$41/Buckets_1_24[[#Totals],[NC To Fill]]*Buckets_1_24[[#This Row],[NC To Fill]], 2)</f>
        <v>0</v>
      </c>
      <c r="EQ35" s="31">
        <f>Buckets_1_24[[#This Row],[Pre Scale]] + IF($D35="Unexpected Fund", EN51-Buckets_1_24[[#Totals],[Pre Scale]], 0)</f>
        <v>0</v>
      </c>
      <c r="ER35" s="31">
        <f>Buckets_1_24[[#This Row],[Crit Filled]]+Buckets_1_24[[#This Row],[Scaled]]</f>
        <v>0</v>
      </c>
      <c r="ES35" s="31">
        <f>Buckets_1_24[[#This Row],[NC Filled]]</f>
        <v>0</v>
      </c>
      <c r="ET35" s="31">
        <f>Buckets_1_24[[#This Row],[Capacity]]-Buckets_1_24[[#This Row],[Final]]</f>
        <v>0</v>
      </c>
      <c r="EU35" s="33">
        <f>IF(Buckets_1_24[[#This Row],[Capacity]]=0, 1, Buckets_1_24[[#This Row],[Final]]/Buckets_1_24[[#This Row],[Capacity]])</f>
        <v>1</v>
      </c>
      <c r="EW35" s="40">
        <f>Buckets_1_24[[#This Row],[Final]]</f>
        <v>0</v>
      </c>
      <c r="EX35" s="40">
        <f>Buckets_1_24[[#This Row],[Capacity]]</f>
        <v>0</v>
      </c>
      <c r="EY35" s="41" t="b">
        <f t="shared" si="30"/>
        <v>0</v>
      </c>
      <c r="EZ35" s="42"/>
      <c r="FA35" s="42"/>
      <c r="FB35" s="42"/>
      <c r="FC35" s="42"/>
      <c r="FD35" s="43"/>
      <c r="FE35" s="40">
        <f t="shared" si="31"/>
        <v>0</v>
      </c>
      <c r="FF35" s="40">
        <f t="shared" si="32"/>
        <v>0</v>
      </c>
      <c r="FG35" s="41" t="b">
        <f t="shared" si="5"/>
        <v>0</v>
      </c>
      <c r="FI35" s="29">
        <f t="shared" si="33"/>
        <v>0</v>
      </c>
      <c r="FJ35" s="29">
        <f>GetTransactionTotal(AggregateTable2024[], AggregateTable2024[Start], FI$1, AggregateTable2024[#Headers], $D35)</f>
        <v>0</v>
      </c>
      <c r="FK35" s="29">
        <f>Buckets_2_24[[#This Row],[Start]]+Buckets_2_24[[#This Row],[Transactions]]</f>
        <v>0</v>
      </c>
      <c r="FL35" s="29">
        <f t="shared" si="34"/>
        <v>0</v>
      </c>
      <c r="FM35" s="29">
        <f>Buckets_2_24[[#This Row],[Capacity]]-Buckets_2_24[[#This Row],[After T]]</f>
        <v>0</v>
      </c>
      <c r="FN35" s="29">
        <f>MAX(-Buckets_2_24[[#This Row],[Cap Diff]], 0)</f>
        <v>0</v>
      </c>
      <c r="FO35" s="29">
        <f>Buckets_2_24[[#This Row],[After T]]-Buckets_2_24[[#This Row],[Slush]]</f>
        <v>0</v>
      </c>
      <c r="FP35" s="29">
        <f>Buckets_2_24[[#This Row],[Capacity]]-Buckets_2_24[[#This Row],[Before Fill]]</f>
        <v>0</v>
      </c>
      <c r="FQ35" t="b">
        <f>OR(FG35, Buckets_2_24[[#This Row],[After T]]&lt;0)</f>
        <v>0</v>
      </c>
      <c r="FR35" s="29">
        <f>IF(Buckets_2_24[[#This Row],[Is Crit]], Buckets_2_24[[#This Row],[S Cap Diff]], 0)</f>
        <v>0</v>
      </c>
      <c r="FS35" s="29">
        <f>Buckets_2_24[[#This Row],[Before Fill]]+Buckets_2_24[[#This Row],[Crit To Fill]]</f>
        <v>0</v>
      </c>
      <c r="FT35" s="29">
        <f>IF(NOT(Buckets_2_24[[#This Row],[Is Crit]]), Buckets_2_24[[#This Row],[S Cap Diff]], 0)</f>
        <v>0</v>
      </c>
      <c r="FU35" s="29">
        <f>ROUND(FS$41/Buckets_2_24[[#Totals],[NC To Fill]]*Buckets_2_24[[#This Row],[NC To Fill]], 2)</f>
        <v>0</v>
      </c>
      <c r="FV35" s="31">
        <f>Buckets_2_24[[#This Row],[Pre Scale]] + IF($D35="Unexpected Fund", FS51-Buckets_2_24[[#Totals],[Pre Scale]], 0)</f>
        <v>0</v>
      </c>
      <c r="FW35" s="31">
        <f>Buckets_2_24[[#This Row],[Crit Filled]]+Buckets_2_24[[#This Row],[Scaled]]</f>
        <v>0</v>
      </c>
      <c r="FX35" s="31">
        <f>Buckets_2_24[[#This Row],[NC Filled]]</f>
        <v>0</v>
      </c>
      <c r="FY35" s="31">
        <f>Buckets_2_24[[#This Row],[Capacity]]-Buckets_2_24[[#This Row],[Final]]</f>
        <v>0</v>
      </c>
      <c r="FZ35" s="33">
        <f>IF(Buckets_2_24[[#This Row],[Capacity]]=0, 1, Buckets_2_24[[#This Row],[Final]]/Buckets_2_24[[#This Row],[Capacity]])</f>
        <v>1</v>
      </c>
      <c r="GB35" s="40">
        <f>Buckets_2_24[[#This Row],[Final]]</f>
        <v>0</v>
      </c>
      <c r="GC35" s="40">
        <f>Buckets_2_24[[#This Row],[Capacity]]</f>
        <v>0</v>
      </c>
      <c r="GD35" s="41" t="b">
        <f t="shared" si="35"/>
        <v>0</v>
      </c>
      <c r="GE35" s="42"/>
      <c r="GF35" s="42"/>
      <c r="GG35" s="42"/>
      <c r="GH35" s="42"/>
      <c r="GI35" s="43"/>
      <c r="GJ35" s="40">
        <f t="shared" si="36"/>
        <v>0</v>
      </c>
      <c r="GK35" s="40">
        <f t="shared" si="37"/>
        <v>0</v>
      </c>
      <c r="GL35" s="41" t="b">
        <f t="shared" si="6"/>
        <v>0</v>
      </c>
      <c r="GN35" s="29">
        <f t="shared" si="38"/>
        <v>0</v>
      </c>
      <c r="GO35" s="29">
        <f>GetTransactionTotal(AggregateTable2024[], AggregateTable2024[Start], GN$1, AggregateTable2024[#Headers], $D35)</f>
        <v>0</v>
      </c>
      <c r="GP35" s="29">
        <f>Buckets_3_24[[#This Row],[Start]]+Buckets_3_24[[#This Row],[Transactions]]</f>
        <v>0</v>
      </c>
      <c r="GQ35" s="29">
        <f t="shared" si="39"/>
        <v>0</v>
      </c>
      <c r="GR35" s="29">
        <f>Buckets_3_24[[#This Row],[Capacity]]-Buckets_3_24[[#This Row],[After T]]</f>
        <v>0</v>
      </c>
      <c r="GS35" s="29">
        <f>MAX(-Buckets_3_24[[#This Row],[Cap Diff]], 0)</f>
        <v>0</v>
      </c>
      <c r="GT35" s="29">
        <f>Buckets_3_24[[#This Row],[After T]]-Buckets_3_24[[#This Row],[Slush]]</f>
        <v>0</v>
      </c>
      <c r="GU35" s="29">
        <f>Buckets_3_24[[#This Row],[Capacity]]-Buckets_3_24[[#This Row],[Before Fill]]</f>
        <v>0</v>
      </c>
      <c r="GV35" t="b">
        <f>OR(GL35, Buckets_3_24[[#This Row],[After T]]&lt;0)</f>
        <v>0</v>
      </c>
      <c r="GW35" s="29">
        <f>IF(Buckets_3_24[[#This Row],[Is Crit]], Buckets_3_24[[#This Row],[S Cap Diff]], 0)</f>
        <v>0</v>
      </c>
      <c r="GX35" s="29">
        <f>Buckets_3_24[[#This Row],[Before Fill]]+Buckets_3_24[[#This Row],[Crit To Fill]]</f>
        <v>0</v>
      </c>
      <c r="GY35" s="29">
        <f>IF(NOT(Buckets_3_24[[#This Row],[Is Crit]]), Buckets_3_24[[#This Row],[S Cap Diff]], 0)</f>
        <v>0</v>
      </c>
      <c r="GZ35" s="29">
        <f>ROUND(GX$41/Buckets_3_24[[#Totals],[NC To Fill]]*Buckets_3_24[[#This Row],[NC To Fill]], 2)</f>
        <v>0</v>
      </c>
      <c r="HA35" s="31">
        <f>Buckets_3_24[[#This Row],[Pre Scale]] + IF($D35="Unexpected Fund", GX51-Buckets_3_24[[#Totals],[Pre Scale]], 0)</f>
        <v>0</v>
      </c>
      <c r="HB35" s="31">
        <f>Buckets_3_24[[#This Row],[Crit Filled]]+Buckets_3_24[[#This Row],[Scaled]]</f>
        <v>0</v>
      </c>
      <c r="HC35" s="31">
        <f>Buckets_3_24[[#This Row],[NC Filled]]</f>
        <v>0</v>
      </c>
      <c r="HD35" s="31">
        <f>Buckets_3_24[[#This Row],[Capacity]]-Buckets_3_24[[#This Row],[Final]]</f>
        <v>0</v>
      </c>
      <c r="HE35" s="33">
        <f>IF(Buckets_3_24[[#This Row],[Capacity]]=0, 1, Buckets_3_24[[#This Row],[Final]]/Buckets_3_24[[#This Row],[Capacity]])</f>
        <v>1</v>
      </c>
      <c r="HG35" s="40">
        <f>Buckets_3_24[[#This Row],[Final]]</f>
        <v>0</v>
      </c>
      <c r="HH35" s="40">
        <f>Buckets_3_24[[#This Row],[Capacity]]</f>
        <v>0</v>
      </c>
      <c r="HI35" s="41" t="b">
        <f t="shared" si="40"/>
        <v>0</v>
      </c>
      <c r="HJ35" s="42"/>
      <c r="HK35" s="42"/>
      <c r="HL35" s="42"/>
      <c r="HM35" s="42"/>
      <c r="HN35" s="43"/>
      <c r="HO35" s="40">
        <f t="shared" si="41"/>
        <v>0</v>
      </c>
      <c r="HP35" s="40">
        <f t="shared" si="42"/>
        <v>0</v>
      </c>
      <c r="HQ35" s="41" t="b">
        <f t="shared" si="7"/>
        <v>0</v>
      </c>
      <c r="HS35" s="29">
        <f t="shared" si="43"/>
        <v>0</v>
      </c>
      <c r="HT35" s="29">
        <f>GetTransactionTotal(AggregateTable2024[], AggregateTable2024[Start], HS$1, AggregateTable2024[#Headers], $D35)</f>
        <v>0</v>
      </c>
      <c r="HU35" s="29">
        <f>Buckets_4_24[[#This Row],[Start]]+Buckets_4_24[[#This Row],[Transactions]]</f>
        <v>0</v>
      </c>
      <c r="HV35" s="29">
        <f t="shared" si="44"/>
        <v>0</v>
      </c>
      <c r="HW35" s="29">
        <f>Buckets_4_24[[#This Row],[Capacity]]-Buckets_4_24[[#This Row],[After T]]</f>
        <v>0</v>
      </c>
      <c r="HX35" s="29">
        <f>MAX(-Buckets_4_24[[#This Row],[Cap Diff]], 0)</f>
        <v>0</v>
      </c>
      <c r="HY35" s="29">
        <f>Buckets_4_24[[#This Row],[After T]]-Buckets_4_24[[#This Row],[Slush]]</f>
        <v>0</v>
      </c>
      <c r="HZ35" s="29">
        <f>Buckets_4_24[[#This Row],[Capacity]]-Buckets_4_24[[#This Row],[Before Fill]]</f>
        <v>0</v>
      </c>
      <c r="IA35" t="b">
        <f>OR(HQ35, Buckets_4_24[[#This Row],[After T]]&lt;0)</f>
        <v>0</v>
      </c>
      <c r="IB35" s="29">
        <f>IF(Buckets_4_24[[#This Row],[Is Crit]], Buckets_4_24[[#This Row],[S Cap Diff]], 0)</f>
        <v>0</v>
      </c>
      <c r="IC35" s="29">
        <f>Buckets_4_24[[#This Row],[Before Fill]]+Buckets_4_24[[#This Row],[Crit To Fill]]</f>
        <v>0</v>
      </c>
      <c r="ID35" s="29">
        <f>IF(NOT(Buckets_4_24[[#This Row],[Is Crit]]), Buckets_4_24[[#This Row],[S Cap Diff]], 0)</f>
        <v>0</v>
      </c>
      <c r="IE35" s="29">
        <f>ROUND(IC$41/Buckets_4_24[[#Totals],[NC To Fill]]*Buckets_4_24[[#This Row],[NC To Fill]], 2)</f>
        <v>0</v>
      </c>
      <c r="IF35" s="31">
        <f>Buckets_4_24[[#This Row],[Pre Scale]] + IF($D35="Unexpected Fund", IC51-Buckets_4_24[[#Totals],[Pre Scale]], 0)</f>
        <v>0</v>
      </c>
      <c r="IG35" s="31">
        <f>Buckets_4_24[[#This Row],[Crit Filled]]+Buckets_4_24[[#This Row],[Scaled]]</f>
        <v>0</v>
      </c>
      <c r="IH35" s="31">
        <f>Buckets_4_24[[#This Row],[NC Filled]]</f>
        <v>0</v>
      </c>
      <c r="II35" s="31">
        <f>Buckets_4_24[[#This Row],[Capacity]]-Buckets_4_24[[#This Row],[Final]]</f>
        <v>0</v>
      </c>
      <c r="IJ35" s="33">
        <f>IF(Buckets_4_24[[#This Row],[Capacity]]=0, 1, Buckets_4_24[[#This Row],[Final]]/Buckets_4_24[[#This Row],[Capacity]])</f>
        <v>1</v>
      </c>
      <c r="IL35" s="40">
        <f>Buckets_4_24[[#This Row],[Final]]</f>
        <v>0</v>
      </c>
      <c r="IM35" s="40">
        <f>Buckets_4_24[[#This Row],[Capacity]]</f>
        <v>0</v>
      </c>
      <c r="IN35" s="41" t="b">
        <f t="shared" si="45"/>
        <v>0</v>
      </c>
      <c r="IO35" s="42"/>
      <c r="IP35" s="42"/>
      <c r="IQ35" s="42"/>
      <c r="IR35" s="42"/>
      <c r="IS35" s="43"/>
      <c r="IT35" s="40">
        <f t="shared" si="46"/>
        <v>0</v>
      </c>
      <c r="IU35" s="40">
        <f t="shared" si="47"/>
        <v>0</v>
      </c>
      <c r="IV35" s="41" t="b">
        <f t="shared" si="8"/>
        <v>0</v>
      </c>
    </row>
    <row r="36" spans="1:256" ht="15.75" thickTop="1" x14ac:dyDescent="0.25">
      <c r="A36" s="24"/>
      <c r="F36" s="37">
        <f>SUM(F4:F35)</f>
        <v>3570</v>
      </c>
      <c r="G36" s="37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A36" s="51">
        <f>Buckets_9_23[[#Totals],[Final]]/Buckets_9_23[[#Totals],[Capacity]]</f>
        <v>0.91729688814129517</v>
      </c>
      <c r="AC36" s="39">
        <f>SUM(AC4:AC35)</f>
        <v>10906.66</v>
      </c>
      <c r="AD36" s="39">
        <f>SUM(AD4:AD35)</f>
        <v>11890</v>
      </c>
      <c r="AG36" s="31"/>
      <c r="AH36" s="31"/>
      <c r="AI36" s="31"/>
      <c r="AK36" s="39">
        <f>SUM(AK4:AK35)</f>
        <v>10906.66</v>
      </c>
      <c r="AL36" s="39">
        <f>SUM(AL4:AL35)</f>
        <v>12890</v>
      </c>
      <c r="AO36" s="31">
        <f>SUBTOTAL(9, Buckets_10_23[Start])</f>
        <v>10906.66</v>
      </c>
      <c r="AP36" s="31">
        <f>SUBTOTAL(9, Buckets_10_23[Transactions])</f>
        <v>588.02999999999895</v>
      </c>
      <c r="AQ36" s="31">
        <f>SUBTOTAL(9, Buckets_10_23[After T])</f>
        <v>11494.689999999997</v>
      </c>
      <c r="AR36" s="31">
        <f>SUBTOTAL(9, Buckets_10_23[Capacity])</f>
        <v>12890</v>
      </c>
      <c r="AS36" s="31">
        <f>SUBTOTAL(9, Buckets_10_23[Cap Diff])</f>
        <v>1395.3100000000013</v>
      </c>
      <c r="AT36" s="31">
        <f>SUBTOTAL(9, Buckets_10_23[Slush])</f>
        <v>5604.0599999999995</v>
      </c>
      <c r="AX36" s="31">
        <f>SUBTOTAL(9, Buckets_10_23[Crit To Fill])</f>
        <v>3562.88</v>
      </c>
      <c r="AZ36" s="31">
        <f>SUBTOTAL(9,Buckets_10_23[NC To Fill])</f>
        <v>3436.4900000000002</v>
      </c>
      <c r="BA36" s="52">
        <f>SUBTOTAL(109,Buckets_10_23[Pre Scale])</f>
        <v>2041.1699999999998</v>
      </c>
      <c r="BB36" s="31">
        <f>SUBTOTAL(9, Buckets_10_23[Scaled])</f>
        <v>2041.1799999999994</v>
      </c>
      <c r="BD36" s="31">
        <f>SUBTOTAL(9, Buckets_10_23[Final])</f>
        <v>11494.689999999999</v>
      </c>
      <c r="BE36" s="31">
        <f>SUBTOTAL(9, Buckets_10_23[Unfilled])</f>
        <v>1395.3100000000006</v>
      </c>
      <c r="BF36" s="53">
        <f>Buckets_10_23[[#Totals],[Final]]/Buckets_10_23[[#Totals],[Capacity]]</f>
        <v>0.89175252133436766</v>
      </c>
      <c r="BH36" s="39">
        <f>SUM(BH4:BH35)</f>
        <v>11494.689999999999</v>
      </c>
      <c r="BI36" s="39">
        <f>SUM(BI4:BI35)</f>
        <v>12890</v>
      </c>
      <c r="BL36" s="31"/>
      <c r="BM36" s="31"/>
      <c r="BN36" s="31"/>
      <c r="BP36" s="39">
        <f>SUM(BP4:BP35)</f>
        <v>11494.689999999999</v>
      </c>
      <c r="BQ36" s="39">
        <f>SUM(BQ4:BQ35)</f>
        <v>13390</v>
      </c>
      <c r="BT36" s="31">
        <f>SUBTOTAL(9, Buckets_11_23[Start])</f>
        <v>11494.689999999999</v>
      </c>
      <c r="BU36" s="31">
        <f>SUBTOTAL(9, Buckets_11_23[Transactions])</f>
        <v>1849.1100000000008</v>
      </c>
      <c r="BV36" s="31">
        <f>SUBTOTAL(9, Buckets_11_23[After T])</f>
        <v>13343.8</v>
      </c>
      <c r="BW36" s="31">
        <f>SUBTOTAL(9, Buckets_11_23[Capacity])</f>
        <v>13390</v>
      </c>
      <c r="BX36" s="31">
        <f>SUBTOTAL(9, Buckets_11_23[Cap Diff])</f>
        <v>46.200000000001346</v>
      </c>
      <c r="BY36" s="31">
        <f>SUBTOTAL(9, Buckets_11_23[Slush])</f>
        <v>6344.03</v>
      </c>
      <c r="CC36" s="31">
        <f>SUBTOTAL(9, Buckets_11_23[Crit To Fill])</f>
        <v>3041.67</v>
      </c>
      <c r="CE36" s="31">
        <f>SUBTOTAL(9,Buckets_11_23[NC To Fill])</f>
        <v>3348.5600000000013</v>
      </c>
      <c r="CF36" s="52">
        <f>SUBTOTAL(109,Buckets_11_23[Pre Scale])</f>
        <v>3302.3700000000003</v>
      </c>
      <c r="CG36" s="31">
        <f>SUBTOTAL(9, Buckets_11_23[Scaled])</f>
        <v>3302.3599999999997</v>
      </c>
      <c r="CI36" s="31">
        <f>SUBTOTAL(9, Buckets_11_23[Final])</f>
        <v>13343.800000000001</v>
      </c>
      <c r="CJ36" s="31">
        <f>SUBTOTAL(9, Buckets_11_23[Unfilled])</f>
        <v>46.200000000001637</v>
      </c>
      <c r="CK36" s="53">
        <f>Buckets_11_23[[#Totals],[Final]]/Buckets_11_23[[#Totals],[Capacity]]</f>
        <v>0.9965496639283048</v>
      </c>
      <c r="CM36" s="39">
        <f>SUM(CM4:CM35)</f>
        <v>13343.800000000001</v>
      </c>
      <c r="CN36" s="31">
        <f>SUM(CN4:CN35)</f>
        <v>13390</v>
      </c>
      <c r="CP36" s="31"/>
      <c r="CQ36" s="31"/>
      <c r="CR36" s="31"/>
      <c r="CS36" s="31"/>
      <c r="CU36" s="39">
        <f>SUM(CU4:CU35)</f>
        <v>13343.800000000001</v>
      </c>
      <c r="CV36" s="31">
        <f>SUM(CV4:CV35)</f>
        <v>15590</v>
      </c>
      <c r="CY36" s="31">
        <f>SUBTOTAL(9, Buckets_12_23[Start])</f>
        <v>13343.800000000001</v>
      </c>
      <c r="CZ36" s="31">
        <f>SUBTOTAL(9, Buckets_12_23[Transactions])</f>
        <v>-47.700000000000657</v>
      </c>
      <c r="DA36" s="31">
        <f>SUBTOTAL(9, Buckets_12_23[After T])</f>
        <v>13296.099999999999</v>
      </c>
      <c r="DB36" s="31">
        <f>SUBTOTAL(9, Buckets_12_23[Capacity])</f>
        <v>15590</v>
      </c>
      <c r="DC36" s="31">
        <f>SUBTOTAL(9, Buckets_12_23[Cap Diff])</f>
        <v>2293.9000000000015</v>
      </c>
      <c r="DD36" s="31">
        <f>SUBTOTAL(9, Buckets_12_23[Slush])</f>
        <v>5629.18</v>
      </c>
      <c r="DH36" s="31">
        <f>SUBTOTAL(9, Buckets_12_23[Crit To Fill])</f>
        <v>3696.87</v>
      </c>
      <c r="DJ36" s="31">
        <f>SUBTOTAL(9,Buckets_12_23[NC To Fill])</f>
        <v>4226.2100000000019</v>
      </c>
      <c r="DK36" s="52">
        <f>SUBTOTAL(109,Buckets_12_23[Pre Scale])</f>
        <v>1932.3200000000002</v>
      </c>
      <c r="DL36" s="31">
        <f>SUBTOTAL(9, Buckets_12_23[Scaled])</f>
        <v>1932.3100000000004</v>
      </c>
      <c r="DN36" s="31">
        <f>SUBTOTAL(9, Buckets_12_23[Final])</f>
        <v>13296.099999999999</v>
      </c>
      <c r="DO36" s="31">
        <f>SUBTOTAL(9, Buckets_12_23[Unfilled])</f>
        <v>2293.9000000000015</v>
      </c>
      <c r="DP36" s="53">
        <f>Buckets_12_23[[#Totals],[Final]]/Buckets_12_23[[#Totals],[Capacity]]</f>
        <v>0.85286080821039123</v>
      </c>
      <c r="DR36" s="39">
        <f>SUM(DR4:DR35)</f>
        <v>13296.099999999999</v>
      </c>
      <c r="DS36" s="31">
        <f>SUM(DS4:DS35)</f>
        <v>15590</v>
      </c>
      <c r="DU36" s="31"/>
      <c r="DV36" s="31"/>
      <c r="DW36" s="31"/>
      <c r="DX36" s="31"/>
      <c r="DZ36" s="39">
        <f>SUM(DZ4:DZ35)</f>
        <v>13296.099999999999</v>
      </c>
      <c r="EA36" s="31">
        <f>SUM(EA4:EA35)</f>
        <v>16190</v>
      </c>
      <c r="ED36" s="31">
        <f>SUBTOTAL(9, Buckets_1_24[Start])</f>
        <v>13296.099999999999</v>
      </c>
      <c r="EE36" s="31">
        <f>SUBTOTAL(9, Buckets_1_24[Transactions])</f>
        <v>1723.2199999999993</v>
      </c>
      <c r="EF36" s="31">
        <f>SUBTOTAL(9, Buckets_1_24[After T])</f>
        <v>15019.320000000002</v>
      </c>
      <c r="EG36" s="31">
        <f>SUBTOTAL(9, Buckets_1_24[Capacity])</f>
        <v>16190</v>
      </c>
      <c r="EH36" s="31">
        <f>SUBTOTAL(9, Buckets_1_24[Cap Diff])</f>
        <v>1170.6800000000026</v>
      </c>
      <c r="EI36" s="31">
        <f>SUBTOTAL(9, Buckets_1_24[Slush])</f>
        <v>5616.14</v>
      </c>
      <c r="EM36" s="31">
        <f>SUBTOTAL(9, Buckets_1_24[Crit To Fill])</f>
        <v>3754.0299999999997</v>
      </c>
      <c r="EO36" s="31">
        <f>SUBTOTAL(9,Buckets_1_24[NC To Fill])</f>
        <v>3032.7900000000013</v>
      </c>
      <c r="EP36" s="31">
        <f>SUBTOTAL(109,Buckets_1_24[Pre Scale])</f>
        <v>1862.1099999999997</v>
      </c>
      <c r="EQ36" s="31">
        <f>SUBTOTAL(9, Buckets_1_24[Scaled])</f>
        <v>1862.1100000000006</v>
      </c>
      <c r="ES36" s="31">
        <f>SUBTOTAL(9, Buckets_1_24[Final])</f>
        <v>15019.320000000002</v>
      </c>
      <c r="ET36" s="31">
        <f>SUBTOTAL(9, Buckets_1_24[Unfilled])</f>
        <v>1170.6800000000005</v>
      </c>
      <c r="EU36" s="53">
        <f>Buckets_1_24[[#Totals],[Final]]/Buckets_1_24[[#Totals],[Capacity]]</f>
        <v>0.92769116738727619</v>
      </c>
      <c r="EW36" s="39">
        <f>SUM(EW4:EW35)</f>
        <v>15019.320000000002</v>
      </c>
      <c r="EX36" s="31">
        <f>SUM(EX4:EX35)</f>
        <v>16190</v>
      </c>
      <c r="EZ36" s="31"/>
      <c r="FA36" s="31"/>
      <c r="FB36" s="31"/>
      <c r="FC36" s="31"/>
      <c r="FE36" s="39">
        <f>SUM(FE4:FE35)</f>
        <v>15019.320000000002</v>
      </c>
      <c r="FF36" s="31">
        <f>SUM(FF4:FF35)</f>
        <v>18650</v>
      </c>
      <c r="FI36" s="31">
        <f>SUBTOTAL(9, Buckets_2_24[Start])</f>
        <v>15019.320000000002</v>
      </c>
      <c r="FJ36" s="31">
        <f>SUBTOTAL(9, Buckets_2_24[Transactions])</f>
        <v>3444.9399999999996</v>
      </c>
      <c r="FK36" s="31">
        <f>SUBTOTAL(9, Buckets_2_24[After T])</f>
        <v>18464.259999999998</v>
      </c>
      <c r="FL36" s="31">
        <f>SUBTOTAL(9, Buckets_2_24[Capacity])</f>
        <v>18650</v>
      </c>
      <c r="FM36" s="31">
        <f>SUBTOTAL(9, Buckets_2_24[Cap Diff])</f>
        <v>185.74000000000092</v>
      </c>
      <c r="FN36" s="31">
        <f>SUBTOTAL(9, Buckets_2_24[Slush])</f>
        <v>7450.96</v>
      </c>
      <c r="FR36" s="31">
        <f>SUBTOTAL(9, Buckets_2_24[Crit To Fill])</f>
        <v>2569.35</v>
      </c>
      <c r="FT36" s="31">
        <f>SUBTOTAL(9,Buckets_2_24[NC To Fill])</f>
        <v>5067.3500000000004</v>
      </c>
      <c r="FU36" s="31">
        <f>SUBTOTAL(109,Buckets_2_24[Pre Scale])</f>
        <v>4881.5999999999985</v>
      </c>
      <c r="FV36" s="31">
        <f>SUBTOTAL(9, Buckets_2_24[Scaled])</f>
        <v>4881.6100000000006</v>
      </c>
      <c r="FX36" s="31">
        <f>SUBTOTAL(9, Buckets_2_24[Final])</f>
        <v>18464.260000000002</v>
      </c>
      <c r="FY36" s="31">
        <f>SUBTOTAL(9, Buckets_2_24[Unfilled])</f>
        <v>185.73999999999859</v>
      </c>
      <c r="FZ36" s="53">
        <f>Buckets_2_24[[#Totals],[Final]]/Buckets_2_24[[#Totals],[Capacity]]</f>
        <v>0.99004075067024144</v>
      </c>
      <c r="GB36" s="39">
        <f>SUM(GB4:GB35)</f>
        <v>18464.260000000002</v>
      </c>
      <c r="GC36" s="31">
        <f>SUM(GC4:GC35)</f>
        <v>18650</v>
      </c>
      <c r="GE36" s="31"/>
      <c r="GF36" s="31"/>
      <c r="GG36" s="31"/>
      <c r="GH36" s="31"/>
      <c r="GJ36" s="39">
        <f>SUM(GJ4:GJ35)</f>
        <v>18464.260000000002</v>
      </c>
      <c r="GK36" s="31">
        <f>SUM(GK4:GK35)</f>
        <v>20650</v>
      </c>
      <c r="GN36" s="31">
        <f>SUBTOTAL(9, Buckets_3_24[Start])</f>
        <v>18464.260000000002</v>
      </c>
      <c r="GO36" s="31">
        <f>SUBTOTAL(9, Buckets_3_24[Transactions])</f>
        <v>2120.89</v>
      </c>
      <c r="GP36" s="31">
        <f>SUBTOTAL(9, Buckets_3_24[After T])</f>
        <v>20585.150000000001</v>
      </c>
      <c r="GQ36" s="31">
        <f>SUBTOTAL(9, Buckets_3_24[Capacity])</f>
        <v>20650</v>
      </c>
      <c r="GR36" s="31">
        <f>SUBTOTAL(9, Buckets_3_24[Cap Diff])</f>
        <v>64.849999999999341</v>
      </c>
      <c r="GS36" s="31">
        <f>SUBTOTAL(9, Buckets_3_24[Slush])</f>
        <v>5616.16</v>
      </c>
      <c r="GW36" s="31">
        <f>SUBTOTAL(9, Buckets_3_24[Crit To Fill])</f>
        <v>3426.24</v>
      </c>
      <c r="GY36" s="31">
        <f>SUBTOTAL(9,Buckets_3_24[NC To Fill])</f>
        <v>2254.7699999999986</v>
      </c>
      <c r="GZ36" s="31">
        <f>SUBTOTAL(109,Buckets_3_24[Pre Scale])</f>
        <v>2189.9300000000003</v>
      </c>
      <c r="HA36" s="31">
        <f>SUBTOTAL(9, Buckets_3_24[Scaled])</f>
        <v>2189.92</v>
      </c>
      <c r="HC36" s="31">
        <f>SUBTOTAL(9, Buckets_3_24[Final])</f>
        <v>20585.149999999998</v>
      </c>
      <c r="HD36" s="31">
        <f>SUBTOTAL(9, Buckets_3_24[Unfilled])</f>
        <v>64.84999999999863</v>
      </c>
      <c r="HE36" s="53">
        <f>Buckets_3_24[[#Totals],[Final]]/Buckets_3_24[[#Totals],[Capacity]]</f>
        <v>0.99685956416464883</v>
      </c>
      <c r="HG36" s="39">
        <f>SUM(HG4:HG35)</f>
        <v>20585.149999999998</v>
      </c>
      <c r="HH36" s="31">
        <f>SUM(HH4:HH35)</f>
        <v>20650</v>
      </c>
      <c r="HJ36" s="31"/>
      <c r="HK36" s="31"/>
      <c r="HL36" s="31"/>
      <c r="HM36" s="31"/>
      <c r="HO36" s="39">
        <f>SUM(HO4:HO35)</f>
        <v>20585.149999999998</v>
      </c>
      <c r="HP36" s="31">
        <f>SUM(HP4:HP35)</f>
        <v>22250</v>
      </c>
      <c r="HS36" s="31">
        <f>SUBTOTAL(9, Buckets_4_24[Start])</f>
        <v>20585.149999999998</v>
      </c>
      <c r="HT36" s="31">
        <f>SUBTOTAL(9, Buckets_4_24[Transactions])</f>
        <v>770.51000000000022</v>
      </c>
      <c r="HU36" s="31">
        <f>SUBTOTAL(9, Buckets_4_24[After T])</f>
        <v>21355.660000000003</v>
      </c>
      <c r="HV36" s="31">
        <f>SUBTOTAL(9, Buckets_4_24[Capacity])</f>
        <v>22250</v>
      </c>
      <c r="HW36" s="31">
        <f>SUBTOTAL(9, Buckets_4_24[Cap Diff])</f>
        <v>894.33999999999833</v>
      </c>
      <c r="HX36" s="31">
        <f>SUBTOTAL(9, Buckets_4_24[Slush])</f>
        <v>10899.17</v>
      </c>
      <c r="IB36" s="31">
        <f>SUBTOTAL(9, Buckets_4_24[Crit To Fill])</f>
        <v>9219.2799999999988</v>
      </c>
      <c r="ID36" s="31">
        <f>SUBTOTAL(9,Buckets_4_24[NC To Fill])</f>
        <v>2574.2299999999987</v>
      </c>
      <c r="IE36" s="31">
        <f>SUBTOTAL(109,Buckets_4_24[Pre Scale])</f>
        <v>1679.88</v>
      </c>
      <c r="IF36" s="31">
        <f>SUBTOTAL(9, Buckets_4_24[Scaled])</f>
        <v>1679.8900000000012</v>
      </c>
      <c r="IH36" s="31">
        <f>SUBTOTAL(9, Buckets_4_24[Final])</f>
        <v>21355.660000000003</v>
      </c>
      <c r="II36" s="31">
        <f>SUBTOTAL(9, Buckets_4_24[Unfilled])</f>
        <v>894.33999999999776</v>
      </c>
      <c r="IJ36" s="53">
        <f>Buckets_4_24[[#Totals],[Final]]/Buckets_4_24[[#Totals],[Capacity]]</f>
        <v>0.95980494382022485</v>
      </c>
      <c r="IL36" s="39">
        <f>SUM(IL4:IL35)</f>
        <v>21355.660000000003</v>
      </c>
      <c r="IM36" s="31">
        <f>SUM(IM4:IM35)</f>
        <v>22250</v>
      </c>
      <c r="IO36" s="31"/>
      <c r="IP36" s="31"/>
      <c r="IQ36" s="31"/>
      <c r="IR36" s="31"/>
      <c r="IT36" s="39">
        <f>SUM(IT4:IT35)</f>
        <v>21355.660000000003</v>
      </c>
      <c r="IU36" s="31">
        <f>SUM(IU4:IU35)</f>
        <v>22850</v>
      </c>
    </row>
    <row r="37" spans="1:256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A37" s="33"/>
      <c r="AO37" s="29"/>
      <c r="AP37" s="29"/>
      <c r="AQ37" s="29"/>
      <c r="AR37" s="29"/>
      <c r="AS37" s="29"/>
      <c r="AT37" s="29"/>
      <c r="AU37" s="29"/>
      <c r="AV37" s="29"/>
      <c r="AX37" s="29"/>
      <c r="AY37" s="29"/>
      <c r="AZ37" s="29"/>
      <c r="BA37" s="29"/>
      <c r="BB37" s="31"/>
      <c r="BC37" s="31"/>
      <c r="BD37" s="31"/>
      <c r="BE37" s="31"/>
      <c r="BF37" s="33"/>
      <c r="BT37" s="29"/>
      <c r="BU37" s="29"/>
      <c r="BV37" s="29"/>
      <c r="BW37" s="29"/>
      <c r="BX37" s="29"/>
      <c r="BY37" s="29"/>
      <c r="BZ37" s="29"/>
      <c r="CA37" s="29"/>
      <c r="CC37" s="29"/>
      <c r="CD37" s="29"/>
      <c r="CE37" s="29"/>
      <c r="CF37" s="29"/>
      <c r="CG37" s="31"/>
      <c r="CH37" s="31"/>
      <c r="CI37" s="31"/>
      <c r="CJ37" s="31"/>
      <c r="CK37" s="33"/>
      <c r="CY37" s="29"/>
      <c r="CZ37" s="29"/>
      <c r="DA37" s="29"/>
      <c r="DB37" s="29"/>
      <c r="DC37" s="29"/>
      <c r="DD37" s="29"/>
      <c r="DE37" s="29"/>
      <c r="DF37" s="29"/>
      <c r="DH37" s="29"/>
      <c r="DI37" s="29"/>
      <c r="DJ37" s="29"/>
      <c r="DK37" s="29"/>
      <c r="DL37" s="31"/>
      <c r="DM37" s="31"/>
      <c r="DN37" s="31"/>
      <c r="DO37" s="31"/>
      <c r="DP37" s="33"/>
      <c r="ED37" s="29"/>
      <c r="EE37" s="29"/>
      <c r="EF37" s="29"/>
      <c r="EG37" s="29"/>
      <c r="EH37" s="29"/>
      <c r="EI37" s="29"/>
      <c r="EJ37" s="29"/>
      <c r="EK37" s="29"/>
      <c r="EM37" s="29"/>
      <c r="EN37" s="29"/>
      <c r="EO37" s="29"/>
      <c r="EP37" s="29"/>
      <c r="EQ37" s="31"/>
      <c r="ER37" s="31"/>
      <c r="ES37" s="31"/>
      <c r="ET37" s="31"/>
      <c r="EU37" s="33"/>
      <c r="FI37" s="29"/>
      <c r="FJ37" s="29"/>
      <c r="FK37" s="29"/>
      <c r="FL37" s="29"/>
      <c r="FM37" s="29"/>
      <c r="FN37" s="29"/>
      <c r="FO37" s="29"/>
      <c r="FP37" s="29"/>
      <c r="FR37" s="29"/>
      <c r="FS37" s="29"/>
      <c r="FT37" s="29"/>
      <c r="FU37" s="29"/>
      <c r="FV37" s="31"/>
      <c r="FW37" s="31"/>
      <c r="FX37" s="31"/>
      <c r="FY37" s="31"/>
      <c r="FZ37" s="33"/>
      <c r="GN37" s="29"/>
      <c r="GO37" s="29"/>
      <c r="GP37" s="29"/>
      <c r="GQ37" s="29"/>
      <c r="GR37" s="29"/>
      <c r="GS37" s="29"/>
      <c r="GT37" s="29"/>
      <c r="GU37" s="29"/>
      <c r="GW37" s="29"/>
      <c r="GX37" s="29"/>
      <c r="GY37" s="29"/>
      <c r="GZ37" s="29"/>
      <c r="HA37" s="31"/>
      <c r="HB37" s="31"/>
      <c r="HC37" s="31"/>
      <c r="HD37" s="31"/>
      <c r="HE37" s="33"/>
      <c r="HS37" s="29"/>
      <c r="HT37" s="29"/>
      <c r="HU37" s="29"/>
      <c r="HV37" s="29"/>
      <c r="HW37" s="29"/>
      <c r="HX37" s="29"/>
      <c r="HY37" s="29"/>
      <c r="HZ37" s="29"/>
      <c r="IB37" s="29"/>
      <c r="IC37" s="29"/>
      <c r="ID37" s="29"/>
      <c r="IE37" s="29"/>
      <c r="IF37" s="31"/>
      <c r="IG37" s="31"/>
      <c r="IH37" s="31"/>
      <c r="II37" s="31"/>
      <c r="IJ37" s="33"/>
    </row>
    <row r="38" spans="1:256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6"/>
      <c r="X38" s="35"/>
      <c r="Y38" s="35"/>
      <c r="Z38" s="35"/>
      <c r="AA38" s="35"/>
      <c r="AO38" s="34"/>
      <c r="AP38" s="34"/>
      <c r="AQ38" s="34"/>
      <c r="AR38" s="34"/>
      <c r="AS38" s="34"/>
      <c r="AT38" s="34"/>
      <c r="AU38" s="35"/>
      <c r="AV38" s="35"/>
      <c r="AW38" s="35"/>
      <c r="AX38" s="36"/>
      <c r="AY38" s="35"/>
      <c r="AZ38" s="36"/>
      <c r="BA38" s="36"/>
      <c r="BB38" s="36"/>
      <c r="BC38" s="35"/>
      <c r="BD38" s="35"/>
      <c r="BE38" s="35"/>
      <c r="BF38" s="35"/>
      <c r="BT38" s="34"/>
      <c r="BU38" s="34"/>
      <c r="BV38" s="34"/>
      <c r="BW38" s="34"/>
      <c r="BX38" s="34"/>
      <c r="BY38" s="34"/>
      <c r="BZ38" s="35"/>
      <c r="CA38" s="35"/>
      <c r="CB38" s="35"/>
      <c r="CC38" s="36"/>
      <c r="CD38" s="35"/>
      <c r="CE38" s="36"/>
      <c r="CF38" s="36"/>
      <c r="CG38" s="36"/>
      <c r="CH38" s="35"/>
      <c r="CI38" s="35"/>
      <c r="CJ38" s="35"/>
      <c r="CK38" s="35"/>
      <c r="CY38" s="34"/>
      <c r="CZ38" s="34"/>
      <c r="DA38" s="34"/>
      <c r="DB38" s="34"/>
      <c r="DC38" s="34"/>
      <c r="DD38" s="34"/>
      <c r="DE38" s="35"/>
      <c r="DF38" s="35"/>
      <c r="DG38" s="35"/>
      <c r="DH38" s="36"/>
      <c r="DI38" s="35"/>
      <c r="DJ38" s="36"/>
      <c r="DK38" s="36"/>
      <c r="DL38" s="36"/>
      <c r="DM38" s="35"/>
      <c r="DN38" s="35"/>
      <c r="DO38" s="35"/>
      <c r="DP38" s="35"/>
      <c r="ED38" s="34"/>
      <c r="EE38" s="34"/>
      <c r="EF38" s="34"/>
      <c r="EG38" s="34"/>
      <c r="EH38" s="34"/>
      <c r="EI38" s="34"/>
      <c r="EJ38" s="35"/>
      <c r="EK38" s="35"/>
      <c r="EL38" s="35"/>
      <c r="EM38" s="36"/>
      <c r="EN38" s="35"/>
      <c r="EO38" s="36"/>
      <c r="EP38" s="36"/>
      <c r="EQ38" s="36"/>
      <c r="ER38" s="35"/>
      <c r="ES38" s="35"/>
      <c r="ET38" s="35"/>
      <c r="EU38" s="35"/>
      <c r="FI38" s="34"/>
      <c r="FJ38" s="34"/>
      <c r="FK38" s="34"/>
      <c r="FL38" s="34"/>
      <c r="FM38" s="34"/>
      <c r="FN38" s="34"/>
      <c r="FO38" s="35"/>
      <c r="FP38" s="35"/>
      <c r="FQ38" s="35"/>
      <c r="FR38" s="36"/>
      <c r="FS38" s="35"/>
      <c r="FT38" s="36"/>
      <c r="FU38" s="36"/>
      <c r="FV38" s="36"/>
      <c r="FW38" s="35"/>
      <c r="FX38" s="35"/>
      <c r="FY38" s="35"/>
      <c r="FZ38" s="35"/>
      <c r="GN38" s="34"/>
      <c r="GO38" s="34"/>
      <c r="GP38" s="34"/>
      <c r="GQ38" s="34"/>
      <c r="GR38" s="34"/>
      <c r="GS38" s="34"/>
      <c r="GT38" s="35"/>
      <c r="GU38" s="35"/>
      <c r="GV38" s="35"/>
      <c r="GW38" s="36"/>
      <c r="GX38" s="35"/>
      <c r="GY38" s="36"/>
      <c r="GZ38" s="36"/>
      <c r="HA38" s="36"/>
      <c r="HB38" s="35"/>
      <c r="HC38" s="35"/>
      <c r="HD38" s="35"/>
      <c r="HE38" s="35"/>
      <c r="HS38" s="34"/>
      <c r="HT38" s="34"/>
      <c r="HU38" s="34"/>
      <c r="HV38" s="34"/>
      <c r="HW38" s="34"/>
      <c r="HX38" s="34"/>
      <c r="HY38" s="35"/>
      <c r="HZ38" s="35"/>
      <c r="IA38" s="35"/>
      <c r="IB38" s="36"/>
      <c r="IC38" s="35"/>
      <c r="ID38" s="36"/>
      <c r="IE38" s="36"/>
      <c r="IF38" s="36"/>
      <c r="IG38" s="35"/>
      <c r="IH38" s="35"/>
      <c r="II38" s="35"/>
      <c r="IJ38" s="35"/>
    </row>
    <row r="39" spans="1:256" x14ac:dyDescent="0.25">
      <c r="J39" s="32" t="s">
        <v>393</v>
      </c>
      <c r="AO39" s="32" t="s">
        <v>393</v>
      </c>
      <c r="BT39" s="32" t="s">
        <v>393</v>
      </c>
      <c r="CY39" s="32" t="s">
        <v>393</v>
      </c>
      <c r="ED39" s="32" t="s">
        <v>393</v>
      </c>
      <c r="FI39" s="32" t="s">
        <v>393</v>
      </c>
      <c r="GN39" s="32" t="s">
        <v>393</v>
      </c>
      <c r="HS39" s="32" t="s">
        <v>393</v>
      </c>
    </row>
    <row r="40" spans="1:256" x14ac:dyDescent="0.25">
      <c r="T40" t="s">
        <v>384</v>
      </c>
      <c r="AY40" t="s">
        <v>384</v>
      </c>
      <c r="CD40" t="s">
        <v>384</v>
      </c>
      <c r="DI40" t="s">
        <v>384</v>
      </c>
      <c r="EN40" t="s">
        <v>384</v>
      </c>
      <c r="FS40" t="s">
        <v>384</v>
      </c>
      <c r="GX40" t="s">
        <v>384</v>
      </c>
      <c r="IC40" t="s">
        <v>384</v>
      </c>
    </row>
    <row r="41" spans="1:256" x14ac:dyDescent="0.25">
      <c r="T41" s="31">
        <f>Buckets_9_23[[#Totals],[Slush]] - Buckets_9_23[[#Totals],[Crit To Fill]]</f>
        <v>6748.3899999999985</v>
      </c>
      <c r="AY41" s="31">
        <f>Buckets_10_23[[#Totals],[Slush]] - Buckets_10_23[[#Totals],[Crit To Fill]]</f>
        <v>2041.1799999999994</v>
      </c>
      <c r="CD41" s="31">
        <f>Buckets_11_23[[#Totals],[Slush]] - Buckets_11_23[[#Totals],[Crit To Fill]]</f>
        <v>3302.3599999999997</v>
      </c>
      <c r="DI41" s="31">
        <f>Buckets_12_23[[#Totals],[Slush]] - Buckets_12_23[[#Totals],[Crit To Fill]]</f>
        <v>1932.3100000000004</v>
      </c>
      <c r="EN41" s="31">
        <f>Buckets_1_24[[#Totals],[Slush]] - Buckets_1_24[[#Totals],[Crit To Fill]]</f>
        <v>1862.1100000000006</v>
      </c>
      <c r="FS41" s="31">
        <f>Buckets_2_24[[#Totals],[Slush]] - Buckets_2_24[[#Totals],[Crit To Fill]]</f>
        <v>4881.6100000000006</v>
      </c>
      <c r="GX41" s="31">
        <f>Buckets_3_24[[#Totals],[Slush]] - Buckets_3_24[[#Totals],[Crit To Fill]]</f>
        <v>2189.92</v>
      </c>
      <c r="IC41" s="31">
        <f>Buckets_4_24[[#Totals],[Slush]] - Buckets_4_24[[#Totals],[Crit To Fill]]</f>
        <v>1679.8900000000012</v>
      </c>
    </row>
    <row r="42" spans="1:256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A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6"/>
      <c r="AZ42" s="35"/>
      <c r="BA42" s="35"/>
      <c r="BB42" s="35"/>
      <c r="BC42" s="35"/>
      <c r="BD42" s="35"/>
      <c r="BE42" s="35"/>
      <c r="BF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6"/>
      <c r="CE42" s="35"/>
      <c r="CF42" s="35"/>
      <c r="CG42" s="35"/>
      <c r="CH42" s="35"/>
      <c r="CI42" s="35"/>
      <c r="CJ42" s="35"/>
      <c r="CK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6"/>
      <c r="DJ42" s="35"/>
      <c r="DK42" s="35"/>
      <c r="DL42" s="35"/>
      <c r="DM42" s="35"/>
      <c r="DN42" s="35"/>
      <c r="DO42" s="35"/>
      <c r="DP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6"/>
      <c r="EO42" s="35"/>
      <c r="EP42" s="35"/>
      <c r="EQ42" s="35"/>
      <c r="ER42" s="35"/>
      <c r="ES42" s="35"/>
      <c r="ET42" s="35"/>
      <c r="EU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6"/>
      <c r="FT42" s="35"/>
      <c r="FU42" s="35"/>
      <c r="FV42" s="35"/>
      <c r="FW42" s="35"/>
      <c r="FX42" s="35"/>
      <c r="FY42" s="35"/>
      <c r="FZ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6"/>
      <c r="GY42" s="35"/>
      <c r="GZ42" s="35"/>
      <c r="HA42" s="35"/>
      <c r="HB42" s="35"/>
      <c r="HC42" s="35"/>
      <c r="HD42" s="35"/>
      <c r="HE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6"/>
      <c r="ID42" s="35"/>
      <c r="IE42" s="35"/>
      <c r="IF42" s="35"/>
      <c r="IG42" s="35"/>
      <c r="IH42" s="35"/>
      <c r="II42" s="35"/>
      <c r="IJ42" s="35"/>
    </row>
    <row r="43" spans="1:256" x14ac:dyDescent="0.25">
      <c r="J43" s="32" t="s">
        <v>371</v>
      </c>
      <c r="AK43" s="32" t="s">
        <v>371</v>
      </c>
      <c r="AO43" s="32" t="s">
        <v>371</v>
      </c>
      <c r="BP43" s="32" t="s">
        <v>371</v>
      </c>
      <c r="BT43" s="32" t="s">
        <v>371</v>
      </c>
      <c r="CU43" s="32" t="s">
        <v>371</v>
      </c>
      <c r="CY43" s="32" t="s">
        <v>371</v>
      </c>
      <c r="DZ43" s="32" t="s">
        <v>371</v>
      </c>
      <c r="ED43" s="32" t="s">
        <v>371</v>
      </c>
      <c r="FE43" s="32" t="s">
        <v>371</v>
      </c>
      <c r="FI43" s="32" t="s">
        <v>371</v>
      </c>
      <c r="GJ43" s="32" t="s">
        <v>371</v>
      </c>
      <c r="GN43" s="32" t="s">
        <v>371</v>
      </c>
      <c r="HO43" s="32" t="s">
        <v>371</v>
      </c>
      <c r="HS43" s="32" t="s">
        <v>371</v>
      </c>
      <c r="IT43" s="32" t="s">
        <v>371</v>
      </c>
    </row>
    <row r="44" spans="1:256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K44" t="s">
        <v>364</v>
      </c>
      <c r="AO44" t="s">
        <v>366</v>
      </c>
      <c r="AP44" t="s">
        <v>317</v>
      </c>
      <c r="AT44" t="s">
        <v>368</v>
      </c>
      <c r="AX44" t="s">
        <v>367</v>
      </c>
      <c r="AY44" t="s">
        <v>384</v>
      </c>
      <c r="AZ44" t="s">
        <v>387</v>
      </c>
      <c r="BB44" t="s">
        <v>389</v>
      </c>
      <c r="BD44" t="s">
        <v>394</v>
      </c>
      <c r="BP44" t="s">
        <v>364</v>
      </c>
      <c r="BT44" t="s">
        <v>366</v>
      </c>
      <c r="BU44" t="s">
        <v>317</v>
      </c>
      <c r="BY44" t="s">
        <v>368</v>
      </c>
      <c r="CC44" t="s">
        <v>367</v>
      </c>
      <c r="CD44" t="s">
        <v>384</v>
      </c>
      <c r="CE44" t="s">
        <v>387</v>
      </c>
      <c r="CG44" t="s">
        <v>389</v>
      </c>
      <c r="CI44" t="s">
        <v>394</v>
      </c>
      <c r="CU44" t="s">
        <v>364</v>
      </c>
      <c r="CY44" t="s">
        <v>366</v>
      </c>
      <c r="CZ44" t="s">
        <v>317</v>
      </c>
      <c r="DD44" t="s">
        <v>368</v>
      </c>
      <c r="DH44" t="s">
        <v>367</v>
      </c>
      <c r="DI44" t="s">
        <v>384</v>
      </c>
      <c r="DJ44" t="s">
        <v>387</v>
      </c>
      <c r="DL44" t="s">
        <v>389</v>
      </c>
      <c r="DN44" t="s">
        <v>394</v>
      </c>
      <c r="DZ44" t="s">
        <v>364</v>
      </c>
      <c r="ED44" t="s">
        <v>366</v>
      </c>
      <c r="EE44" t="s">
        <v>317</v>
      </c>
      <c r="EI44" t="s">
        <v>368</v>
      </c>
      <c r="EM44" t="s">
        <v>367</v>
      </c>
      <c r="EN44" t="s">
        <v>384</v>
      </c>
      <c r="EO44" t="s">
        <v>387</v>
      </c>
      <c r="EQ44" t="s">
        <v>389</v>
      </c>
      <c r="ES44" t="s">
        <v>394</v>
      </c>
      <c r="FE44" t="s">
        <v>364</v>
      </c>
      <c r="FI44" t="s">
        <v>366</v>
      </c>
      <c r="FJ44" t="s">
        <v>317</v>
      </c>
      <c r="FN44" t="s">
        <v>368</v>
      </c>
      <c r="FR44" t="s">
        <v>367</v>
      </c>
      <c r="FS44" t="s">
        <v>384</v>
      </c>
      <c r="FT44" t="s">
        <v>387</v>
      </c>
      <c r="FV44" t="s">
        <v>389</v>
      </c>
      <c r="FX44" t="s">
        <v>394</v>
      </c>
      <c r="GJ44" t="s">
        <v>364</v>
      </c>
      <c r="GN44" t="s">
        <v>366</v>
      </c>
      <c r="GO44" t="s">
        <v>317</v>
      </c>
      <c r="GS44" t="s">
        <v>368</v>
      </c>
      <c r="GW44" t="s">
        <v>367</v>
      </c>
      <c r="GX44" t="s">
        <v>384</v>
      </c>
      <c r="GY44" t="s">
        <v>387</v>
      </c>
      <c r="HA44" t="s">
        <v>389</v>
      </c>
      <c r="HC44" t="s">
        <v>394</v>
      </c>
      <c r="HO44" t="s">
        <v>364</v>
      </c>
      <c r="HS44" t="s">
        <v>366</v>
      </c>
      <c r="HT44" t="s">
        <v>317</v>
      </c>
      <c r="HX44" t="s">
        <v>368</v>
      </c>
      <c r="IB44" t="s">
        <v>367</v>
      </c>
      <c r="IC44" t="s">
        <v>384</v>
      </c>
      <c r="ID44" t="s">
        <v>387</v>
      </c>
      <c r="IF44" t="s">
        <v>389</v>
      </c>
      <c r="IH44" t="s">
        <v>394</v>
      </c>
      <c r="IT44" t="s">
        <v>364</v>
      </c>
    </row>
    <row r="45" spans="1:256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K45" t="str">
        <f>IF(AK36&lt;&gt;AC36, "ERROR: Totals changed", "good")</f>
        <v>good</v>
      </c>
      <c r="AO45" t="str">
        <f>IF(Buckets_10_23[[#Totals],[Start]]&lt;0, "ERROR: Underwater", "good")</f>
        <v>good</v>
      </c>
      <c r="AP45" t="str">
        <f>IF(COUNTIF(AP34:AP35, "&lt;&gt;0") &gt; 0, "ERROR: Unbalanced internal transfers", "good")</f>
        <v>good</v>
      </c>
      <c r="AT45" t="str">
        <f>IF(Buckets_10_23[[#Totals],[Slush]]&lt;0, "ERROR: No slush fund", "good")</f>
        <v>good</v>
      </c>
      <c r="AX45" t="str">
        <f>IF(Buckets_10_23[[#Totals],[Crit To Fill]]&gt;Buckets_10_23[[#Totals],[Slush]], "ERROR: Can't refill critical buckets", "good")</f>
        <v>good</v>
      </c>
      <c r="AY45" t="str">
        <f>IF(AY41&lt;0, "ERROR: Can't refill non-critical buckets", "good")</f>
        <v>good</v>
      </c>
      <c r="AZ45" t="str">
        <f>IF(Buckets_10_23[[#Totals],[NC To Fill]]&lt;AY41, "ERROR: Unused slush funds", "good")</f>
        <v>good</v>
      </c>
      <c r="BB45" t="str">
        <f>IF(Buckets_10_23[[#Totals],[Scaled]]&lt;&gt;AY41, "ERROR: Scaled doesn't match slush fund", "good")</f>
        <v>good</v>
      </c>
      <c r="BD45" t="str">
        <f>IF(Buckets_10_23[[#Totals],[Final]]&lt;&gt;Buckets_10_23[[#Totals],[After T]], "ERROR: Refilling changed the total", "good")</f>
        <v>good</v>
      </c>
      <c r="BP45" t="str">
        <f>IF(BP36&lt;&gt;BH36, "ERROR: Totals changed", "good")</f>
        <v>good</v>
      </c>
      <c r="BT45" t="str">
        <f>IF(Buckets_11_23[[#Totals],[Start]]&lt;0, "ERROR: Underwater", "good")</f>
        <v>good</v>
      </c>
      <c r="BU45" t="str">
        <f>IF(COUNTIF(BU34:BU35, "&lt;&gt;0") &gt; 0, "ERROR: Unbalanced internal transfers", "good")</f>
        <v>good</v>
      </c>
      <c r="BY45" t="str">
        <f>IF(Buckets_11_23[[#Totals],[Slush]]&lt;0, "ERROR: No slush fund", "good")</f>
        <v>good</v>
      </c>
      <c r="CC45" t="str">
        <f>IF(Buckets_11_23[[#Totals],[Crit To Fill]]&gt;Buckets_11_23[[#Totals],[Slush]], "ERROR: Can't refill critical buckets", "good")</f>
        <v>good</v>
      </c>
      <c r="CD45" t="str">
        <f>IF(CD41&lt;0, "ERROR: Can't refill non-critical buckets", "good")</f>
        <v>good</v>
      </c>
      <c r="CE45" t="str">
        <f>IF(Buckets_11_23[[#Totals],[NC To Fill]]&lt;CD41, "ERROR: Unused slush funds", "good")</f>
        <v>good</v>
      </c>
      <c r="CG45" t="str">
        <f>IF(Buckets_11_23[[#Totals],[Scaled]]&lt;&gt;CD41, "ERROR: Scaled doesn't match slush fund", "good")</f>
        <v>good</v>
      </c>
      <c r="CI45" t="str">
        <f>IF(Buckets_11_23[[#Totals],[Final]]&lt;&gt;Buckets_11_23[[#Totals],[After T]], "ERROR: Refilling changed the total", "good")</f>
        <v>good</v>
      </c>
      <c r="CU45" t="str">
        <f>IF(CU36&lt;&gt;CM36, "ERROR: Totals changed", "good")</f>
        <v>good</v>
      </c>
      <c r="CY45" t="str">
        <f>IF(Buckets_12_23[[#Totals],[Start]]&lt;0, "ERROR: Underwater", "good")</f>
        <v>good</v>
      </c>
      <c r="CZ45" t="str">
        <f>IF(COUNTIF(CZ34:CZ35, "&lt;&gt;0") &gt; 0, "ERROR: Unbalanced internal transfers", "good")</f>
        <v>good</v>
      </c>
      <c r="DD45" t="str">
        <f>IF(Buckets_12_23[[#Totals],[Slush]]&lt;0, "ERROR: No slush fund", "good")</f>
        <v>good</v>
      </c>
      <c r="DH45" t="str">
        <f>IF(Buckets_12_23[[#Totals],[Crit To Fill]]&gt;Buckets_12_23[[#Totals],[Slush]], "ERROR: Can't refill critical buckets", "good")</f>
        <v>good</v>
      </c>
      <c r="DI45" t="str">
        <f>IF(DI41&lt;0, "ERROR: Can't refill non-critical buckets", "good")</f>
        <v>good</v>
      </c>
      <c r="DJ45" t="str">
        <f>IF(Buckets_12_23[[#Totals],[NC To Fill]]&lt;DI41, "ERROR: Unused slush funds", "good")</f>
        <v>good</v>
      </c>
      <c r="DL45" t="str">
        <f>IF(Buckets_12_23[[#Totals],[Scaled]]&lt;&gt;DI41, "ERROR: Scaled doesn't match slush fund", "good")</f>
        <v>good</v>
      </c>
      <c r="DN45" t="str">
        <f>IF(Buckets_12_23[[#Totals],[Final]]&lt;&gt;Buckets_12_23[[#Totals],[After T]], "ERROR: Refilling changed the total", "good")</f>
        <v>good</v>
      </c>
      <c r="DZ45" t="str">
        <f>IF(DZ36&lt;&gt;DR36, "ERROR: Totals changed", "good")</f>
        <v>good</v>
      </c>
      <c r="ED45" t="str">
        <f>IF(Buckets_1_24[[#Totals],[Start]]&lt;0, "ERROR: Underwater", "good")</f>
        <v>good</v>
      </c>
      <c r="EE45" t="str">
        <f>IF(COUNTIF(EE34:EE35, "&lt;&gt;0") &gt; 0, "ERROR: Unbalanced internal transfers", "good")</f>
        <v>good</v>
      </c>
      <c r="EI45" t="str">
        <f>IF(Buckets_1_24[[#Totals],[Slush]]&lt;0, "ERROR: No slush fund", "good")</f>
        <v>good</v>
      </c>
      <c r="EM45" t="str">
        <f>IF(Buckets_1_24[[#Totals],[Crit To Fill]]&gt;Buckets_1_24[[#Totals],[Slush]], "ERROR: Can't refill critical buckets", "good")</f>
        <v>good</v>
      </c>
      <c r="EN45" t="str">
        <f>IF(EN41&lt;0, "ERROR: Can't refill non-critical buckets", "good")</f>
        <v>good</v>
      </c>
      <c r="EO45" t="str">
        <f>IF(Buckets_1_24[[#Totals],[NC To Fill]]&lt;EN41, "ERROR: Unused slush funds", "good")</f>
        <v>good</v>
      </c>
      <c r="EQ45" t="str">
        <f>IF(Buckets_1_24[[#Totals],[Scaled]]&lt;&gt;EN41, "ERROR: Scaled doesn't match slush fund", "good")</f>
        <v>good</v>
      </c>
      <c r="ES45" t="str">
        <f>IF(Buckets_1_24[[#Totals],[Final]]&lt;&gt;Buckets_1_24[[#Totals],[After T]], "ERROR: Refilling changed the total", "good")</f>
        <v>good</v>
      </c>
      <c r="FE45" t="str">
        <f>IF(FE36&lt;&gt;EW36, "ERROR: Totals changed", "good")</f>
        <v>good</v>
      </c>
      <c r="FI45" t="str">
        <f>IF(Buckets_2_24[[#Totals],[Start]]&lt;0, "ERROR: Underwater", "good")</f>
        <v>good</v>
      </c>
      <c r="FJ45" t="str">
        <f>IF(COUNTIF(FJ34:FJ35, "&lt;&gt;0") &gt; 0, "ERROR: Unbalanced internal transfers", "good")</f>
        <v>good</v>
      </c>
      <c r="FN45" t="str">
        <f>IF(Buckets_2_24[[#Totals],[Slush]]&lt;0, "ERROR: No slush fund", "good")</f>
        <v>good</v>
      </c>
      <c r="FR45" t="str">
        <f>IF(Buckets_2_24[[#Totals],[Crit To Fill]]&gt;Buckets_2_24[[#Totals],[Slush]], "ERROR: Can't refill critical buckets", "good")</f>
        <v>good</v>
      </c>
      <c r="FS45" t="str">
        <f>IF(FS41&lt;0, "ERROR: Can't refill non-critical buckets", "good")</f>
        <v>good</v>
      </c>
      <c r="FT45" t="str">
        <f>IF(Buckets_2_24[[#Totals],[NC To Fill]]&lt;FS41, "ERROR: Unused slush funds", "good")</f>
        <v>good</v>
      </c>
      <c r="FV45" t="str">
        <f>IF(Buckets_2_24[[#Totals],[Scaled]]&lt;&gt;FS41, "ERROR: Scaled doesn't match slush fund", "good")</f>
        <v>good</v>
      </c>
      <c r="FX45" t="str">
        <f>IF(Buckets_2_24[[#Totals],[Final]]&lt;&gt;Buckets_2_24[[#Totals],[After T]], "ERROR: Refilling changed the total", "good")</f>
        <v>good</v>
      </c>
      <c r="GJ45" t="str">
        <f>IF(GJ36&lt;&gt;GB36, "ERROR: Totals changed", "good")</f>
        <v>good</v>
      </c>
      <c r="GN45" t="str">
        <f>IF(Buckets_3_24[[#Totals],[Start]]&lt;0, "ERROR: Underwater", "good")</f>
        <v>good</v>
      </c>
      <c r="GO45" t="str">
        <f>IF(COUNTIF(GO34:GO35, "&lt;&gt;0") &gt; 0, "ERROR: Unbalanced internal transfers", "good")</f>
        <v>good</v>
      </c>
      <c r="GS45" t="str">
        <f>IF(Buckets_3_24[[#Totals],[Slush]]&lt;0, "ERROR: No slush fund", "good")</f>
        <v>good</v>
      </c>
      <c r="GW45" t="str">
        <f>IF(Buckets_3_24[[#Totals],[Crit To Fill]]&gt;Buckets_3_24[[#Totals],[Slush]], "ERROR: Can't refill critical buckets", "good")</f>
        <v>good</v>
      </c>
      <c r="GX45" t="str">
        <f>IF(GX41&lt;0, "ERROR: Can't refill non-critical buckets", "good")</f>
        <v>good</v>
      </c>
      <c r="GY45" t="str">
        <f>IF(Buckets_3_24[[#Totals],[NC To Fill]]&lt;GX41, "ERROR: Unused slush funds", "good")</f>
        <v>good</v>
      </c>
      <c r="HA45" t="str">
        <f>IF(Buckets_3_24[[#Totals],[Scaled]]&lt;&gt;GX41, "ERROR: Scaled doesn't match slush fund", "good")</f>
        <v>good</v>
      </c>
      <c r="HC45" t="str">
        <f>IF(Buckets_3_24[[#Totals],[Final]]&lt;&gt;Buckets_3_24[[#Totals],[After T]], "ERROR: Refilling changed the total", "good")</f>
        <v>good</v>
      </c>
      <c r="HO45" t="str">
        <f>IF(HO36&lt;&gt;HG36, "ERROR: Totals changed", "good")</f>
        <v>good</v>
      </c>
      <c r="HS45" t="str">
        <f>IF(Buckets_4_24[[#Totals],[Start]]&lt;0, "ERROR: Underwater", "good")</f>
        <v>good</v>
      </c>
      <c r="HT45" t="str">
        <f>IF(COUNTIF(HT34:HT35, "&lt;&gt;0") &gt; 0, "ERROR: Unbalanced internal transfers", "good")</f>
        <v>good</v>
      </c>
      <c r="HX45" t="str">
        <f>IF(Buckets_4_24[[#Totals],[Slush]]&lt;0, "ERROR: No slush fund", "good")</f>
        <v>good</v>
      </c>
      <c r="IB45" t="str">
        <f>IF(Buckets_4_24[[#Totals],[Crit To Fill]]&gt;Buckets_4_24[[#Totals],[Slush]], "ERROR: Can't refill critical buckets", "good")</f>
        <v>good</v>
      </c>
      <c r="IC45" t="str">
        <f>IF(IC41&lt;0, "ERROR: Can't refill non-critical buckets", "good")</f>
        <v>good</v>
      </c>
      <c r="ID45" t="str">
        <f>IF(Buckets_4_24[[#Totals],[NC To Fill]]&lt;IC41, "ERROR: Unused slush funds", "good")</f>
        <v>good</v>
      </c>
      <c r="IF45" t="str">
        <f>IF(Buckets_4_24[[#Totals],[Scaled]]&lt;&gt;IC41, "ERROR: Scaled doesn't match slush fund", "good")</f>
        <v>good</v>
      </c>
      <c r="IH45" t="str">
        <f>IF(Buckets_4_24[[#Totals],[Final]]&lt;&gt;Buckets_4_24[[#Totals],[After T]], "ERROR: Refilling changed the total", "good")</f>
        <v>good</v>
      </c>
      <c r="IT45" t="str">
        <f>IF(IT36&lt;&gt;IL36, "ERROR: Totals changed", "good")</f>
        <v>good</v>
      </c>
    </row>
    <row r="46" spans="1:256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6"/>
      <c r="X46" s="35"/>
      <c r="Y46" s="35"/>
      <c r="Z46" s="35"/>
      <c r="AA46" s="35"/>
      <c r="AO46" s="34"/>
      <c r="AP46" s="34"/>
      <c r="AQ46" s="34"/>
      <c r="AR46" s="34"/>
      <c r="AS46" s="34"/>
      <c r="AT46" s="34"/>
      <c r="AU46" s="35"/>
      <c r="AV46" s="35"/>
      <c r="AW46" s="35"/>
      <c r="AX46" s="36"/>
      <c r="AY46" s="35"/>
      <c r="AZ46" s="36"/>
      <c r="BA46" s="36"/>
      <c r="BB46" s="36"/>
      <c r="BC46" s="35"/>
      <c r="BD46" s="35"/>
      <c r="BE46" s="35"/>
      <c r="BF46" s="35"/>
      <c r="BT46" s="34"/>
      <c r="BU46" s="34"/>
      <c r="BV46" s="34"/>
      <c r="BW46" s="34"/>
      <c r="BX46" s="34"/>
      <c r="BY46" s="34"/>
      <c r="BZ46" s="35"/>
      <c r="CA46" s="35"/>
      <c r="CB46" s="35"/>
      <c r="CC46" s="36"/>
      <c r="CD46" s="35"/>
      <c r="CE46" s="36"/>
      <c r="CF46" s="36"/>
      <c r="CG46" s="36"/>
      <c r="CH46" s="35"/>
      <c r="CI46" s="35"/>
      <c r="CJ46" s="35"/>
      <c r="CK46" s="35"/>
      <c r="CY46" s="34"/>
      <c r="CZ46" s="34"/>
      <c r="DA46" s="34"/>
      <c r="DB46" s="34"/>
      <c r="DC46" s="34"/>
      <c r="DD46" s="34"/>
      <c r="DE46" s="35"/>
      <c r="DF46" s="35"/>
      <c r="DG46" s="35"/>
      <c r="DH46" s="36"/>
      <c r="DI46" s="35"/>
      <c r="DJ46" s="36"/>
      <c r="DK46" s="36"/>
      <c r="DL46" s="36"/>
      <c r="DM46" s="35"/>
      <c r="DN46" s="35"/>
      <c r="DO46" s="35"/>
      <c r="DP46" s="35"/>
      <c r="ED46" s="34"/>
      <c r="EE46" s="34"/>
      <c r="EF46" s="34"/>
      <c r="EG46" s="34"/>
      <c r="EH46" s="34"/>
      <c r="EI46" s="34"/>
      <c r="EJ46" s="35"/>
      <c r="EK46" s="35"/>
      <c r="EL46" s="35"/>
      <c r="EM46" s="36"/>
      <c r="EN46" s="35"/>
      <c r="EO46" s="36"/>
      <c r="EP46" s="36"/>
      <c r="EQ46" s="36"/>
      <c r="ER46" s="35"/>
      <c r="ES46" s="35"/>
      <c r="ET46" s="35"/>
      <c r="EU46" s="35"/>
      <c r="FI46" s="34"/>
      <c r="FJ46" s="34"/>
      <c r="FK46" s="34"/>
      <c r="FL46" s="34"/>
      <c r="FM46" s="34"/>
      <c r="FN46" s="34"/>
      <c r="FO46" s="35"/>
      <c r="FP46" s="35"/>
      <c r="FQ46" s="35"/>
      <c r="FR46" s="36"/>
      <c r="FS46" s="35"/>
      <c r="FT46" s="36"/>
      <c r="FU46" s="36"/>
      <c r="FV46" s="36"/>
      <c r="FW46" s="35"/>
      <c r="FX46" s="35"/>
      <c r="FY46" s="35"/>
      <c r="FZ46" s="35"/>
      <c r="GN46" s="34"/>
      <c r="GO46" s="34"/>
      <c r="GP46" s="34"/>
      <c r="GQ46" s="34"/>
      <c r="GR46" s="34"/>
      <c r="GS46" s="34"/>
      <c r="GT46" s="35"/>
      <c r="GU46" s="35"/>
      <c r="GV46" s="35"/>
      <c r="GW46" s="36"/>
      <c r="GX46" s="35"/>
      <c r="GY46" s="36"/>
      <c r="GZ46" s="36"/>
      <c r="HA46" s="36"/>
      <c r="HB46" s="35"/>
      <c r="HC46" s="35"/>
      <c r="HD46" s="35"/>
      <c r="HE46" s="35"/>
      <c r="HS46" s="34"/>
      <c r="HT46" s="34"/>
      <c r="HU46" s="34"/>
      <c r="HV46" s="34"/>
      <c r="HW46" s="34"/>
      <c r="HX46" s="34"/>
      <c r="HY46" s="35"/>
      <c r="HZ46" s="35"/>
      <c r="IA46" s="35"/>
      <c r="IB46" s="36"/>
      <c r="IC46" s="35"/>
      <c r="ID46" s="36"/>
      <c r="IE46" s="36"/>
      <c r="IF46" s="36"/>
      <c r="IG46" s="35"/>
      <c r="IH46" s="35"/>
      <c r="II46" s="35"/>
      <c r="IJ46" s="35"/>
    </row>
  </sheetData>
  <mergeCells count="28">
    <mergeCell ref="EZ2:FD2"/>
    <mergeCell ref="EW2:EY2"/>
    <mergeCell ref="AF2:AJ2"/>
    <mergeCell ref="BK2:BO2"/>
    <mergeCell ref="CP2:CT2"/>
    <mergeCell ref="DU2:DY2"/>
    <mergeCell ref="GB2:GD2"/>
    <mergeCell ref="GE2:GI2"/>
    <mergeCell ref="GJ2:GL2"/>
    <mergeCell ref="FE2:FG2"/>
    <mergeCell ref="A34:A35"/>
    <mergeCell ref="AC2:AE2"/>
    <mergeCell ref="CM2:CO2"/>
    <mergeCell ref="AK2:AM2"/>
    <mergeCell ref="F2:H2"/>
    <mergeCell ref="BH2:BJ2"/>
    <mergeCell ref="BP2:BR2"/>
    <mergeCell ref="DR2:DT2"/>
    <mergeCell ref="DZ2:EB2"/>
    <mergeCell ref="A4:A30"/>
    <mergeCell ref="A31:A33"/>
    <mergeCell ref="CU2:CW2"/>
    <mergeCell ref="IT2:IV2"/>
    <mergeCell ref="HG2:HI2"/>
    <mergeCell ref="HJ2:HN2"/>
    <mergeCell ref="HO2:HQ2"/>
    <mergeCell ref="IL2:IN2"/>
    <mergeCell ref="IO2:IS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2024-07-04T16:29:39Z</dcterms:modified>
</cp:coreProperties>
</file>