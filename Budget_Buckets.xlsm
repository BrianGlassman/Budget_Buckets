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726" codeName="{1BF75E64-36B4-4512-B9E4-3ED0869CA821}"/>
  <workbookPr codeName="ThisWorkbook"/>
  <mc:AlternateContent xmlns:mc="http://schemas.openxmlformats.org/markup-compatibility/2006">
    <mc:Choice Requires="x15">
      <x15ac:absPath xmlns:x15ac="http://schemas.microsoft.com/office/spreadsheetml/2010/11/ac" url="\\wsl$\Ubuntu\home\brian\Budget_Buckets\"/>
    </mc:Choice>
  </mc:AlternateContent>
  <xr:revisionPtr revIDLastSave="0" documentId="13_ncr:1_{0396654F-6C5C-4989-9872-961CFDAC5F7C}" xr6:coauthVersionLast="47" xr6:coauthVersionMax="47" xr10:uidLastSave="{00000000-0000-0000-0000-000000000000}"/>
  <bookViews>
    <workbookView xWindow="28680" yWindow="-120" windowWidth="29040" windowHeight="15840" xr2:uid="{00000000-000D-0000-FFFF-FFFF00000000}"/>
  </bookViews>
  <sheets>
    <sheet name="Log 2023" sheetId="1" r:id="rId1"/>
    <sheet name="Aggregate 2023" sheetId="3" r:id="rId2"/>
    <sheet name="Checksums 2023" sheetId="2" r:id="rId3"/>
    <sheet name="Log 2024" sheetId="5" r:id="rId4"/>
    <sheet name="Aggregate 2024" sheetId="6" r:id="rId5"/>
    <sheet name="Buckets" sheetId="4" r:id="rId6"/>
  </sheets>
  <functionGroups builtInGroupCount="19"/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C35" i="4" l="1"/>
  <c r="AC34" i="4"/>
  <c r="AC33" i="4"/>
  <c r="AC32" i="4"/>
  <c r="AC31" i="4"/>
  <c r="AC30" i="4"/>
  <c r="AC29" i="4"/>
  <c r="AC28" i="4"/>
  <c r="AC27" i="4"/>
  <c r="AC26" i="4"/>
  <c r="AC25" i="4"/>
  <c r="AC24" i="4"/>
  <c r="AC23" i="4"/>
  <c r="AC22" i="4"/>
  <c r="AC21" i="4"/>
  <c r="AC20" i="4"/>
  <c r="AC19" i="4"/>
  <c r="AC18" i="4"/>
  <c r="AC17" i="4"/>
  <c r="AC16" i="4"/>
  <c r="AC15" i="4"/>
  <c r="AC14" i="4"/>
  <c r="AC13" i="4"/>
  <c r="AC12" i="4"/>
  <c r="AC11" i="4"/>
  <c r="AC10" i="4"/>
  <c r="AC9" i="4"/>
  <c r="AC8" i="4"/>
  <c r="AC7" i="4"/>
  <c r="AC6" i="4"/>
  <c r="AC5" i="4"/>
  <c r="AC36" i="4" s="1"/>
  <c r="AC4" i="4"/>
  <c r="DS35" i="4"/>
  <c r="DS34" i="4"/>
  <c r="DS33" i="4"/>
  <c r="DS32" i="4"/>
  <c r="DS31" i="4"/>
  <c r="DS30" i="4"/>
  <c r="DS29" i="4"/>
  <c r="DS28" i="4"/>
  <c r="DS27" i="4"/>
  <c r="DS26" i="4"/>
  <c r="DS25" i="4"/>
  <c r="DS24" i="4"/>
  <c r="DS23" i="4"/>
  <c r="DS22" i="4"/>
  <c r="DS21" i="4"/>
  <c r="DS20" i="4"/>
  <c r="DS19" i="4"/>
  <c r="DS18" i="4"/>
  <c r="DS17" i="4"/>
  <c r="DS16" i="4"/>
  <c r="DS15" i="4"/>
  <c r="DS14" i="4"/>
  <c r="DS13" i="4"/>
  <c r="DS12" i="4"/>
  <c r="DS11" i="4"/>
  <c r="DS10" i="4"/>
  <c r="DS9" i="4"/>
  <c r="DS8" i="4"/>
  <c r="DS7" i="4"/>
  <c r="DS6" i="4"/>
  <c r="DS5" i="4"/>
  <c r="DS4" i="4"/>
  <c r="CO35" i="4"/>
  <c r="CO34" i="4"/>
  <c r="CO33" i="4"/>
  <c r="CO32" i="4"/>
  <c r="CO31" i="4"/>
  <c r="CO30" i="4"/>
  <c r="CO29" i="4"/>
  <c r="CO28" i="4"/>
  <c r="CO27" i="4"/>
  <c r="CO26" i="4"/>
  <c r="CO25" i="4"/>
  <c r="CO24" i="4"/>
  <c r="CO23" i="4"/>
  <c r="CO22" i="4"/>
  <c r="CO21" i="4"/>
  <c r="CO20" i="4"/>
  <c r="CO19" i="4"/>
  <c r="CO18" i="4"/>
  <c r="CO17" i="4"/>
  <c r="CO16" i="4"/>
  <c r="CO15" i="4"/>
  <c r="CO14" i="4"/>
  <c r="CO13" i="4"/>
  <c r="CO12" i="4"/>
  <c r="CO11" i="4"/>
  <c r="CO10" i="4"/>
  <c r="CO9" i="4"/>
  <c r="CO8" i="4"/>
  <c r="CO7" i="4"/>
  <c r="CO6" i="4"/>
  <c r="CO5" i="4"/>
  <c r="CO4" i="4"/>
  <c r="BK35" i="4"/>
  <c r="BK34" i="4"/>
  <c r="BK33" i="4"/>
  <c r="BK32" i="4"/>
  <c r="BK31" i="4"/>
  <c r="BK30" i="4"/>
  <c r="BK29" i="4"/>
  <c r="BK28" i="4"/>
  <c r="BK27" i="4"/>
  <c r="BK26" i="4"/>
  <c r="BK25" i="4"/>
  <c r="BK24" i="4"/>
  <c r="BK23" i="4"/>
  <c r="BK22" i="4"/>
  <c r="BK21" i="4"/>
  <c r="BK20" i="4"/>
  <c r="BK19" i="4"/>
  <c r="BK18" i="4"/>
  <c r="BK17" i="4"/>
  <c r="BK16" i="4"/>
  <c r="BK15" i="4"/>
  <c r="BK14" i="4"/>
  <c r="BK13" i="4"/>
  <c r="BK12" i="4"/>
  <c r="BK11" i="4"/>
  <c r="BK10" i="4"/>
  <c r="BK9" i="4"/>
  <c r="BK8" i="4"/>
  <c r="BK7" i="4"/>
  <c r="BK6" i="4"/>
  <c r="BK5" i="4"/>
  <c r="BK4" i="4"/>
  <c r="BI35" i="4"/>
  <c r="BI34" i="4"/>
  <c r="BI33" i="4"/>
  <c r="BI32" i="4"/>
  <c r="BI31" i="4"/>
  <c r="BI30" i="4"/>
  <c r="BI29" i="4"/>
  <c r="BI28" i="4"/>
  <c r="BI27" i="4"/>
  <c r="BI26" i="4"/>
  <c r="BI25" i="4"/>
  <c r="BI24" i="4"/>
  <c r="BI23" i="4"/>
  <c r="BI22" i="4"/>
  <c r="BI21" i="4"/>
  <c r="BI20" i="4"/>
  <c r="BI19" i="4"/>
  <c r="BI18" i="4"/>
  <c r="BI17" i="4"/>
  <c r="BI16" i="4"/>
  <c r="BI15" i="4"/>
  <c r="BI14" i="4"/>
  <c r="BI13" i="4"/>
  <c r="BI12" i="4"/>
  <c r="BI11" i="4"/>
  <c r="BI10" i="4"/>
  <c r="BI9" i="4"/>
  <c r="BI8" i="4"/>
  <c r="BI7" i="4"/>
  <c r="BI6" i="4"/>
  <c r="BI5" i="4"/>
  <c r="BI4" i="4"/>
  <c r="AG35" i="4"/>
  <c r="AG34" i="4"/>
  <c r="AG33" i="4"/>
  <c r="AG32" i="4"/>
  <c r="AG31" i="4"/>
  <c r="AG30" i="4"/>
  <c r="AG29" i="4"/>
  <c r="AG28" i="4"/>
  <c r="AG27" i="4"/>
  <c r="AG26" i="4"/>
  <c r="AG25" i="4"/>
  <c r="AG24" i="4"/>
  <c r="AG23" i="4"/>
  <c r="AG22" i="4"/>
  <c r="AG21" i="4"/>
  <c r="AG20" i="4"/>
  <c r="AG19" i="4"/>
  <c r="AG18" i="4"/>
  <c r="AG17" i="4"/>
  <c r="AG16" i="4"/>
  <c r="AG15" i="4"/>
  <c r="AG14" i="4"/>
  <c r="AG13" i="4"/>
  <c r="AG12" i="4"/>
  <c r="AG11" i="4"/>
  <c r="AG10" i="4"/>
  <c r="AG9" i="4"/>
  <c r="AG8" i="4"/>
  <c r="AG7" i="4"/>
  <c r="AG6" i="4"/>
  <c r="AG5" i="4"/>
  <c r="AG4" i="4"/>
  <c r="AE35" i="4"/>
  <c r="AE34" i="4"/>
  <c r="AE33" i="4"/>
  <c r="AE32" i="4"/>
  <c r="AE31" i="4"/>
  <c r="AE30" i="4"/>
  <c r="AE29" i="4"/>
  <c r="AE28" i="4"/>
  <c r="AE27" i="4"/>
  <c r="AE26" i="4"/>
  <c r="AE25" i="4"/>
  <c r="AE24" i="4"/>
  <c r="AE23" i="4"/>
  <c r="AE22" i="4"/>
  <c r="AE21" i="4"/>
  <c r="AE20" i="4"/>
  <c r="AE19" i="4"/>
  <c r="AE18" i="4"/>
  <c r="AE17" i="4"/>
  <c r="AE16" i="4"/>
  <c r="AE15" i="4"/>
  <c r="AE14" i="4"/>
  <c r="AE13" i="4"/>
  <c r="AE12" i="4"/>
  <c r="AE11" i="4"/>
  <c r="AE10" i="4"/>
  <c r="AE9" i="4"/>
  <c r="AE8" i="4"/>
  <c r="AE7" i="4"/>
  <c r="AE6" i="4"/>
  <c r="AE5" i="4"/>
  <c r="AE4" i="4"/>
  <c r="N4" i="5"/>
  <c r="N3" i="5"/>
  <c r="N6" i="5"/>
  <c r="N11" i="5"/>
  <c r="N16" i="5"/>
  <c r="N15" i="5"/>
  <c r="N21" i="5"/>
  <c r="N22" i="5"/>
  <c r="N23" i="5"/>
  <c r="N25" i="5"/>
  <c r="N35" i="5"/>
  <c r="N37" i="5"/>
  <c r="N38" i="5"/>
  <c r="N47" i="5"/>
  <c r="N49" i="5"/>
  <c r="N50" i="5"/>
  <c r="N51" i="5"/>
  <c r="N55" i="5"/>
  <c r="N60" i="5"/>
  <c r="O4" i="5"/>
  <c r="O3" i="5"/>
  <c r="O6" i="5"/>
  <c r="O11" i="5"/>
  <c r="O16" i="5"/>
  <c r="O15" i="5"/>
  <c r="O21" i="5"/>
  <c r="O22" i="5"/>
  <c r="O23" i="5"/>
  <c r="O25" i="5"/>
  <c r="O35" i="5"/>
  <c r="O37" i="5"/>
  <c r="O38" i="5"/>
  <c r="O47" i="5"/>
  <c r="O49" i="5"/>
  <c r="O50" i="5"/>
  <c r="O51" i="5"/>
  <c r="O55" i="5"/>
  <c r="O60" i="5"/>
  <c r="P4" i="5"/>
  <c r="P3" i="5"/>
  <c r="P6" i="5"/>
  <c r="P11" i="5"/>
  <c r="P16" i="5"/>
  <c r="P15" i="5"/>
  <c r="P21" i="5"/>
  <c r="P22" i="5"/>
  <c r="P23" i="5"/>
  <c r="P25" i="5"/>
  <c r="P35" i="5"/>
  <c r="P37" i="5"/>
  <c r="P38" i="5"/>
  <c r="P47" i="5"/>
  <c r="P49" i="5"/>
  <c r="P50" i="5"/>
  <c r="P51" i="5"/>
  <c r="P55" i="5"/>
  <c r="P60" i="5"/>
  <c r="Q4" i="5"/>
  <c r="Q3" i="5"/>
  <c r="Q6" i="5"/>
  <c r="Q11" i="5"/>
  <c r="Q16" i="5"/>
  <c r="Q15" i="5"/>
  <c r="Q21" i="5"/>
  <c r="Q22" i="5"/>
  <c r="Q23" i="5"/>
  <c r="Q25" i="5"/>
  <c r="Q35" i="5"/>
  <c r="Q37" i="5"/>
  <c r="Q38" i="5"/>
  <c r="Q47" i="5"/>
  <c r="Q49" i="5"/>
  <c r="Q50" i="5"/>
  <c r="Q51" i="5"/>
  <c r="Q55" i="5"/>
  <c r="Q60" i="5"/>
  <c r="R4" i="5"/>
  <c r="R3" i="5"/>
  <c r="R6" i="5"/>
  <c r="R11" i="5"/>
  <c r="R16" i="5"/>
  <c r="R15" i="5"/>
  <c r="R21" i="5"/>
  <c r="R22" i="5"/>
  <c r="R23" i="5"/>
  <c r="R25" i="5"/>
  <c r="R35" i="5"/>
  <c r="R37" i="5"/>
  <c r="R38" i="5"/>
  <c r="R47" i="5"/>
  <c r="R49" i="5"/>
  <c r="R50" i="5"/>
  <c r="R51" i="5"/>
  <c r="R55" i="5"/>
  <c r="R60" i="5"/>
  <c r="S4" i="5"/>
  <c r="S3" i="5"/>
  <c r="S6" i="5"/>
  <c r="S11" i="5"/>
  <c r="S16" i="5"/>
  <c r="S15" i="5"/>
  <c r="S21" i="5"/>
  <c r="S22" i="5"/>
  <c r="S23" i="5"/>
  <c r="S25" i="5"/>
  <c r="S35" i="5"/>
  <c r="S37" i="5"/>
  <c r="S38" i="5"/>
  <c r="S47" i="5"/>
  <c r="S49" i="5"/>
  <c r="S50" i="5"/>
  <c r="S51" i="5"/>
  <c r="S55" i="5"/>
  <c r="S60" i="5"/>
  <c r="U4" i="5"/>
  <c r="U3" i="5"/>
  <c r="U6" i="5"/>
  <c r="U11" i="5"/>
  <c r="U16" i="5"/>
  <c r="U15" i="5"/>
  <c r="U21" i="5"/>
  <c r="U22" i="5"/>
  <c r="U23" i="5"/>
  <c r="U25" i="5"/>
  <c r="U35" i="5"/>
  <c r="U37" i="5"/>
  <c r="U38" i="5"/>
  <c r="U47" i="5"/>
  <c r="U49" i="5"/>
  <c r="U50" i="5"/>
  <c r="U51" i="5"/>
  <c r="U55" i="5"/>
  <c r="U60" i="5"/>
  <c r="N5" i="5"/>
  <c r="N7" i="5"/>
  <c r="N8" i="5"/>
  <c r="N9" i="5"/>
  <c r="N12" i="5"/>
  <c r="N13" i="5"/>
  <c r="N10" i="5"/>
  <c r="N14" i="5"/>
  <c r="N18" i="5"/>
  <c r="N17" i="5"/>
  <c r="N20" i="5"/>
  <c r="N19" i="5"/>
  <c r="N24" i="5"/>
  <c r="N27" i="5"/>
  <c r="N29" i="5"/>
  <c r="N28" i="5"/>
  <c r="N26" i="5"/>
  <c r="N30" i="5"/>
  <c r="N32" i="5"/>
  <c r="N31" i="5"/>
  <c r="N33" i="5"/>
  <c r="N34" i="5"/>
  <c r="N36" i="5"/>
  <c r="N40" i="5"/>
  <c r="N39" i="5"/>
  <c r="N41" i="5"/>
  <c r="N42" i="5"/>
  <c r="N43" i="5"/>
  <c r="N44" i="5"/>
  <c r="N45" i="5"/>
  <c r="N46" i="5"/>
  <c r="N48" i="5"/>
  <c r="N52" i="5"/>
  <c r="N53" i="5"/>
  <c r="N54" i="5"/>
  <c r="N57" i="5"/>
  <c r="N56" i="5"/>
  <c r="N59" i="5"/>
  <c r="N58" i="5"/>
  <c r="N61" i="5"/>
  <c r="N62" i="5"/>
  <c r="N63" i="5"/>
  <c r="N64" i="5"/>
  <c r="O5" i="5"/>
  <c r="O7" i="5"/>
  <c r="O8" i="5"/>
  <c r="O9" i="5"/>
  <c r="O12" i="5"/>
  <c r="O13" i="5"/>
  <c r="O10" i="5"/>
  <c r="O14" i="5"/>
  <c r="O18" i="5"/>
  <c r="O17" i="5"/>
  <c r="O20" i="5"/>
  <c r="O19" i="5"/>
  <c r="O24" i="5"/>
  <c r="O27" i="5"/>
  <c r="O29" i="5"/>
  <c r="O28" i="5"/>
  <c r="O26" i="5"/>
  <c r="O30" i="5"/>
  <c r="O32" i="5"/>
  <c r="O31" i="5"/>
  <c r="O33" i="5"/>
  <c r="O34" i="5"/>
  <c r="O36" i="5"/>
  <c r="O40" i="5"/>
  <c r="O39" i="5"/>
  <c r="O41" i="5"/>
  <c r="O42" i="5"/>
  <c r="O43" i="5"/>
  <c r="O44" i="5"/>
  <c r="O45" i="5"/>
  <c r="O46" i="5"/>
  <c r="O48" i="5"/>
  <c r="O52" i="5"/>
  <c r="O53" i="5"/>
  <c r="O54" i="5"/>
  <c r="O57" i="5"/>
  <c r="O56" i="5"/>
  <c r="O59" i="5"/>
  <c r="O58" i="5"/>
  <c r="O61" i="5"/>
  <c r="O62" i="5"/>
  <c r="O63" i="5"/>
  <c r="O64" i="5"/>
  <c r="P5" i="5"/>
  <c r="P7" i="5"/>
  <c r="P8" i="5"/>
  <c r="P9" i="5"/>
  <c r="P12" i="5"/>
  <c r="P13" i="5"/>
  <c r="P10" i="5"/>
  <c r="P14" i="5"/>
  <c r="P18" i="5"/>
  <c r="P17" i="5"/>
  <c r="P20" i="5"/>
  <c r="P19" i="5"/>
  <c r="P24" i="5"/>
  <c r="P27" i="5"/>
  <c r="P29" i="5"/>
  <c r="P28" i="5"/>
  <c r="P26" i="5"/>
  <c r="P30" i="5"/>
  <c r="P32" i="5"/>
  <c r="P31" i="5"/>
  <c r="P33" i="5"/>
  <c r="P34" i="5"/>
  <c r="P36" i="5"/>
  <c r="P40" i="5"/>
  <c r="P39" i="5"/>
  <c r="P41" i="5"/>
  <c r="P42" i="5"/>
  <c r="P43" i="5"/>
  <c r="P44" i="5"/>
  <c r="P45" i="5"/>
  <c r="P46" i="5"/>
  <c r="P48" i="5"/>
  <c r="P52" i="5"/>
  <c r="P53" i="5"/>
  <c r="P54" i="5"/>
  <c r="P57" i="5"/>
  <c r="P56" i="5"/>
  <c r="P59" i="5"/>
  <c r="P58" i="5"/>
  <c r="P61" i="5"/>
  <c r="P62" i="5"/>
  <c r="P63" i="5"/>
  <c r="P64" i="5"/>
  <c r="Q5" i="5"/>
  <c r="Q7" i="5"/>
  <c r="Q8" i="5"/>
  <c r="Q9" i="5"/>
  <c r="Q12" i="5"/>
  <c r="Q13" i="5"/>
  <c r="Q10" i="5"/>
  <c r="Q14" i="5"/>
  <c r="Q18" i="5"/>
  <c r="Q17" i="5"/>
  <c r="Q20" i="5"/>
  <c r="Q19" i="5"/>
  <c r="Q24" i="5"/>
  <c r="Q27" i="5"/>
  <c r="Q29" i="5"/>
  <c r="Q28" i="5"/>
  <c r="Q26" i="5"/>
  <c r="Q30" i="5"/>
  <c r="Q32" i="5"/>
  <c r="Q31" i="5"/>
  <c r="Q33" i="5"/>
  <c r="Q34" i="5"/>
  <c r="Q36" i="5"/>
  <c r="Q40" i="5"/>
  <c r="Q39" i="5"/>
  <c r="Q41" i="5"/>
  <c r="Q42" i="5"/>
  <c r="Q43" i="5"/>
  <c r="Q44" i="5"/>
  <c r="Q45" i="5"/>
  <c r="Q46" i="5"/>
  <c r="Q48" i="5"/>
  <c r="Q52" i="5"/>
  <c r="Q53" i="5"/>
  <c r="Q54" i="5"/>
  <c r="Q57" i="5"/>
  <c r="Q56" i="5"/>
  <c r="Q59" i="5"/>
  <c r="Q58" i="5"/>
  <c r="Q61" i="5"/>
  <c r="Q62" i="5"/>
  <c r="Q63" i="5"/>
  <c r="Q64" i="5"/>
  <c r="R5" i="5"/>
  <c r="R7" i="5"/>
  <c r="R8" i="5"/>
  <c r="R9" i="5"/>
  <c r="R12" i="5"/>
  <c r="R13" i="5"/>
  <c r="R10" i="5"/>
  <c r="R14" i="5"/>
  <c r="R18" i="5"/>
  <c r="R17" i="5"/>
  <c r="R20" i="5"/>
  <c r="R19" i="5"/>
  <c r="R24" i="5"/>
  <c r="R27" i="5"/>
  <c r="R29" i="5"/>
  <c r="R28" i="5"/>
  <c r="R26" i="5"/>
  <c r="R30" i="5"/>
  <c r="R32" i="5"/>
  <c r="R31" i="5"/>
  <c r="R33" i="5"/>
  <c r="R34" i="5"/>
  <c r="R36" i="5"/>
  <c r="R40" i="5"/>
  <c r="R39" i="5"/>
  <c r="R41" i="5"/>
  <c r="R42" i="5"/>
  <c r="R43" i="5"/>
  <c r="R44" i="5"/>
  <c r="R45" i="5"/>
  <c r="R46" i="5"/>
  <c r="R48" i="5"/>
  <c r="R52" i="5"/>
  <c r="R53" i="5"/>
  <c r="R54" i="5"/>
  <c r="R57" i="5"/>
  <c r="R56" i="5"/>
  <c r="R59" i="5"/>
  <c r="R58" i="5"/>
  <c r="R61" i="5"/>
  <c r="R62" i="5"/>
  <c r="R63" i="5"/>
  <c r="R64" i="5"/>
  <c r="S5" i="5"/>
  <c r="S7" i="5"/>
  <c r="S8" i="5"/>
  <c r="S9" i="5"/>
  <c r="S12" i="5"/>
  <c r="S13" i="5"/>
  <c r="S10" i="5"/>
  <c r="S14" i="5"/>
  <c r="S18" i="5"/>
  <c r="S17" i="5"/>
  <c r="S20" i="5"/>
  <c r="S19" i="5"/>
  <c r="S24" i="5"/>
  <c r="S27" i="5"/>
  <c r="S29" i="5"/>
  <c r="S28" i="5"/>
  <c r="S26" i="5"/>
  <c r="S30" i="5"/>
  <c r="S32" i="5"/>
  <c r="S31" i="5"/>
  <c r="S33" i="5"/>
  <c r="S34" i="5"/>
  <c r="S36" i="5"/>
  <c r="S40" i="5"/>
  <c r="S39" i="5"/>
  <c r="S41" i="5"/>
  <c r="S42" i="5"/>
  <c r="S43" i="5"/>
  <c r="S44" i="5"/>
  <c r="S45" i="5"/>
  <c r="S46" i="5"/>
  <c r="S48" i="5"/>
  <c r="S52" i="5"/>
  <c r="S53" i="5"/>
  <c r="S54" i="5"/>
  <c r="S57" i="5"/>
  <c r="S56" i="5"/>
  <c r="S59" i="5"/>
  <c r="S58" i="5"/>
  <c r="S61" i="5"/>
  <c r="S62" i="5"/>
  <c r="S63" i="5"/>
  <c r="S64" i="5"/>
  <c r="U5" i="5"/>
  <c r="U7" i="5"/>
  <c r="U8" i="5"/>
  <c r="U9" i="5"/>
  <c r="U12" i="5"/>
  <c r="U13" i="5"/>
  <c r="U10" i="5"/>
  <c r="U14" i="5"/>
  <c r="U18" i="5"/>
  <c r="U17" i="5"/>
  <c r="U20" i="5"/>
  <c r="U19" i="5"/>
  <c r="U24" i="5"/>
  <c r="U27" i="5"/>
  <c r="U29" i="5"/>
  <c r="U28" i="5"/>
  <c r="U26" i="5"/>
  <c r="U30" i="5"/>
  <c r="U32" i="5"/>
  <c r="U31" i="5"/>
  <c r="U33" i="5"/>
  <c r="U34" i="5"/>
  <c r="U36" i="5"/>
  <c r="U40" i="5"/>
  <c r="U39" i="5"/>
  <c r="U41" i="5"/>
  <c r="U42" i="5"/>
  <c r="U43" i="5"/>
  <c r="U44" i="5"/>
  <c r="U45" i="5"/>
  <c r="U46" i="5"/>
  <c r="U48" i="5"/>
  <c r="U52" i="5"/>
  <c r="U53" i="5"/>
  <c r="U54" i="5"/>
  <c r="U57" i="5"/>
  <c r="U56" i="5"/>
  <c r="U59" i="5"/>
  <c r="U58" i="5"/>
  <c r="U61" i="5"/>
  <c r="U62" i="5"/>
  <c r="U63" i="5"/>
  <c r="U64" i="5"/>
  <c r="N67" i="5"/>
  <c r="N68" i="5"/>
  <c r="N69" i="5"/>
  <c r="N70" i="5"/>
  <c r="N71" i="5"/>
  <c r="N72" i="5"/>
  <c r="N73" i="5"/>
  <c r="N74" i="5"/>
  <c r="N77" i="5"/>
  <c r="N78" i="5"/>
  <c r="N83" i="5"/>
  <c r="N81" i="5"/>
  <c r="N86" i="5"/>
  <c r="N85" i="5"/>
  <c r="N87" i="5"/>
  <c r="N88" i="5"/>
  <c r="N89" i="5"/>
  <c r="N92" i="5"/>
  <c r="N91" i="5"/>
  <c r="N93" i="5"/>
  <c r="O67" i="5"/>
  <c r="O68" i="5"/>
  <c r="O69" i="5"/>
  <c r="O70" i="5"/>
  <c r="O71" i="5"/>
  <c r="O72" i="5"/>
  <c r="O73" i="5"/>
  <c r="O74" i="5"/>
  <c r="O77" i="5"/>
  <c r="O78" i="5"/>
  <c r="O83" i="5"/>
  <c r="O81" i="5"/>
  <c r="O86" i="5"/>
  <c r="O85" i="5"/>
  <c r="O87" i="5"/>
  <c r="O88" i="5"/>
  <c r="O89" i="5"/>
  <c r="O92" i="5"/>
  <c r="O91" i="5"/>
  <c r="O93" i="5"/>
  <c r="P67" i="5"/>
  <c r="P68" i="5"/>
  <c r="P69" i="5"/>
  <c r="P70" i="5"/>
  <c r="P71" i="5"/>
  <c r="P72" i="5"/>
  <c r="P73" i="5"/>
  <c r="P74" i="5"/>
  <c r="P77" i="5"/>
  <c r="P78" i="5"/>
  <c r="P83" i="5"/>
  <c r="P81" i="5"/>
  <c r="P86" i="5"/>
  <c r="P85" i="5"/>
  <c r="P87" i="5"/>
  <c r="P88" i="5"/>
  <c r="P89" i="5"/>
  <c r="P92" i="5"/>
  <c r="P91" i="5"/>
  <c r="P93" i="5"/>
  <c r="Q67" i="5"/>
  <c r="Q68" i="5"/>
  <c r="Q69" i="5"/>
  <c r="Q70" i="5"/>
  <c r="Q71" i="5"/>
  <c r="Q72" i="5"/>
  <c r="Q73" i="5"/>
  <c r="Q74" i="5"/>
  <c r="Q77" i="5"/>
  <c r="Q78" i="5"/>
  <c r="Q83" i="5"/>
  <c r="Q81" i="5"/>
  <c r="Q86" i="5"/>
  <c r="Q85" i="5"/>
  <c r="Q87" i="5"/>
  <c r="Q88" i="5"/>
  <c r="Q89" i="5"/>
  <c r="Q92" i="5"/>
  <c r="Q91" i="5"/>
  <c r="Q93" i="5"/>
  <c r="R67" i="5"/>
  <c r="R68" i="5"/>
  <c r="R69" i="5"/>
  <c r="R70" i="5"/>
  <c r="R71" i="5"/>
  <c r="R72" i="5"/>
  <c r="R73" i="5"/>
  <c r="R74" i="5"/>
  <c r="R77" i="5"/>
  <c r="R78" i="5"/>
  <c r="R83" i="5"/>
  <c r="R81" i="5"/>
  <c r="R86" i="5"/>
  <c r="R85" i="5"/>
  <c r="R87" i="5"/>
  <c r="R88" i="5"/>
  <c r="R89" i="5"/>
  <c r="R92" i="5"/>
  <c r="R91" i="5"/>
  <c r="R93" i="5"/>
  <c r="S67" i="5"/>
  <c r="S68" i="5"/>
  <c r="S69" i="5"/>
  <c r="S70" i="5"/>
  <c r="S71" i="5"/>
  <c r="S72" i="5"/>
  <c r="S73" i="5"/>
  <c r="S74" i="5"/>
  <c r="S77" i="5"/>
  <c r="S78" i="5"/>
  <c r="S83" i="5"/>
  <c r="S81" i="5"/>
  <c r="S86" i="5"/>
  <c r="S85" i="5"/>
  <c r="S87" i="5"/>
  <c r="S88" i="5"/>
  <c r="S89" i="5"/>
  <c r="S92" i="5"/>
  <c r="S91" i="5"/>
  <c r="S93" i="5"/>
  <c r="U67" i="5"/>
  <c r="U68" i="5"/>
  <c r="U69" i="5"/>
  <c r="U70" i="5"/>
  <c r="U71" i="5"/>
  <c r="U72" i="5"/>
  <c r="U73" i="5"/>
  <c r="U74" i="5"/>
  <c r="U77" i="5"/>
  <c r="U78" i="5"/>
  <c r="U83" i="5"/>
  <c r="U81" i="5"/>
  <c r="U86" i="5"/>
  <c r="U85" i="5"/>
  <c r="U87" i="5"/>
  <c r="U88" i="5"/>
  <c r="U89" i="5"/>
  <c r="U92" i="5"/>
  <c r="U91" i="5"/>
  <c r="U93" i="5"/>
  <c r="N65" i="5"/>
  <c r="N66" i="5"/>
  <c r="N76" i="5"/>
  <c r="N75" i="5"/>
  <c r="N79" i="5"/>
  <c r="N80" i="5"/>
  <c r="N82" i="5"/>
  <c r="N84" i="5"/>
  <c r="N90" i="5"/>
  <c r="N94" i="5"/>
  <c r="O65" i="5"/>
  <c r="O66" i="5"/>
  <c r="O76" i="5"/>
  <c r="O75" i="5"/>
  <c r="O79" i="5"/>
  <c r="O80" i="5"/>
  <c r="O82" i="5"/>
  <c r="O84" i="5"/>
  <c r="O90" i="5"/>
  <c r="O94" i="5"/>
  <c r="P65" i="5"/>
  <c r="P66" i="5"/>
  <c r="P76" i="5"/>
  <c r="P75" i="5"/>
  <c r="P79" i="5"/>
  <c r="P80" i="5"/>
  <c r="P82" i="5"/>
  <c r="P84" i="5"/>
  <c r="P90" i="5"/>
  <c r="P94" i="5"/>
  <c r="Q65" i="5"/>
  <c r="Q66" i="5"/>
  <c r="Q76" i="5"/>
  <c r="Q75" i="5"/>
  <c r="Q79" i="5"/>
  <c r="Q80" i="5"/>
  <c r="Q82" i="5"/>
  <c r="Q84" i="5"/>
  <c r="Q90" i="5"/>
  <c r="Q94" i="5"/>
  <c r="R65" i="5"/>
  <c r="R66" i="5"/>
  <c r="R76" i="5"/>
  <c r="R75" i="5"/>
  <c r="R79" i="5"/>
  <c r="R80" i="5"/>
  <c r="R82" i="5"/>
  <c r="R84" i="5"/>
  <c r="R90" i="5"/>
  <c r="R94" i="5"/>
  <c r="S65" i="5"/>
  <c r="S66" i="5"/>
  <c r="S76" i="5"/>
  <c r="S75" i="5"/>
  <c r="S79" i="5"/>
  <c r="S80" i="5"/>
  <c r="S82" i="5"/>
  <c r="S84" i="5"/>
  <c r="S90" i="5"/>
  <c r="S94" i="5"/>
  <c r="U65" i="5"/>
  <c r="U66" i="5"/>
  <c r="U76" i="5"/>
  <c r="U75" i="5"/>
  <c r="U79" i="5"/>
  <c r="U80" i="5"/>
  <c r="U82" i="5"/>
  <c r="U84" i="5"/>
  <c r="U90" i="5"/>
  <c r="U94" i="5"/>
  <c r="FA25" i="4"/>
  <c r="FG25" i="4" s="1"/>
  <c r="FA4" i="4"/>
  <c r="FG4" i="4" s="1"/>
  <c r="FW4" i="4" s="1"/>
  <c r="U95" i="5"/>
  <c r="U96" i="5"/>
  <c r="U97" i="5"/>
  <c r="U98" i="5"/>
  <c r="U99" i="5"/>
  <c r="U100" i="5"/>
  <c r="U101" i="5"/>
  <c r="U102" i="5"/>
  <c r="U103" i="5"/>
  <c r="U104" i="5"/>
  <c r="U105" i="5"/>
  <c r="U106" i="5"/>
  <c r="U107" i="5"/>
  <c r="U108" i="5"/>
  <c r="U109" i="5"/>
  <c r="U110" i="5"/>
  <c r="U111" i="5"/>
  <c r="U112" i="5"/>
  <c r="U113" i="5"/>
  <c r="U114" i="5"/>
  <c r="U115" i="5"/>
  <c r="U116" i="5"/>
  <c r="U117" i="5"/>
  <c r="U118" i="5"/>
  <c r="U119" i="5"/>
  <c r="U120" i="5"/>
  <c r="U121" i="5"/>
  <c r="U122" i="5"/>
  <c r="U123" i="5"/>
  <c r="U124" i="5"/>
  <c r="U125" i="5"/>
  <c r="U126" i="5"/>
  <c r="U127" i="5"/>
  <c r="U128" i="5"/>
  <c r="U129" i="5"/>
  <c r="U130" i="5"/>
  <c r="U131" i="5"/>
  <c r="U133" i="5"/>
  <c r="U132" i="5"/>
  <c r="S95" i="5"/>
  <c r="S96" i="5"/>
  <c r="S97" i="5"/>
  <c r="S98" i="5"/>
  <c r="S99" i="5"/>
  <c r="S100" i="5"/>
  <c r="S101" i="5"/>
  <c r="S102" i="5"/>
  <c r="S103" i="5"/>
  <c r="S104" i="5"/>
  <c r="S105" i="5"/>
  <c r="S106" i="5"/>
  <c r="S107" i="5"/>
  <c r="S108" i="5"/>
  <c r="S109" i="5"/>
  <c r="S110" i="5"/>
  <c r="S111" i="5"/>
  <c r="S112" i="5"/>
  <c r="S113" i="5"/>
  <c r="S114" i="5"/>
  <c r="S115" i="5"/>
  <c r="S116" i="5"/>
  <c r="S117" i="5"/>
  <c r="S118" i="5"/>
  <c r="S119" i="5"/>
  <c r="S120" i="5"/>
  <c r="S121" i="5"/>
  <c r="S122" i="5"/>
  <c r="S123" i="5"/>
  <c r="S124" i="5"/>
  <c r="S125" i="5"/>
  <c r="S126" i="5"/>
  <c r="S127" i="5"/>
  <c r="S128" i="5"/>
  <c r="S129" i="5"/>
  <c r="S130" i="5"/>
  <c r="S131" i="5"/>
  <c r="S133" i="5"/>
  <c r="S132" i="5"/>
  <c r="R95" i="5"/>
  <c r="R96" i="5"/>
  <c r="R97" i="5"/>
  <c r="R98" i="5"/>
  <c r="R99" i="5"/>
  <c r="R100" i="5"/>
  <c r="R101" i="5"/>
  <c r="R102" i="5"/>
  <c r="R103" i="5"/>
  <c r="R104" i="5"/>
  <c r="R105" i="5"/>
  <c r="R106" i="5"/>
  <c r="R107" i="5"/>
  <c r="R108" i="5"/>
  <c r="R109" i="5"/>
  <c r="R110" i="5"/>
  <c r="R111" i="5"/>
  <c r="R112" i="5"/>
  <c r="R113" i="5"/>
  <c r="R114" i="5"/>
  <c r="R115" i="5"/>
  <c r="R116" i="5"/>
  <c r="R117" i="5"/>
  <c r="R118" i="5"/>
  <c r="R119" i="5"/>
  <c r="R120" i="5"/>
  <c r="R121" i="5"/>
  <c r="R122" i="5"/>
  <c r="R123" i="5"/>
  <c r="R124" i="5"/>
  <c r="R125" i="5"/>
  <c r="R126" i="5"/>
  <c r="R127" i="5"/>
  <c r="R128" i="5"/>
  <c r="R129" i="5"/>
  <c r="R130" i="5"/>
  <c r="R131" i="5"/>
  <c r="R133" i="5"/>
  <c r="R132" i="5"/>
  <c r="Q95" i="5"/>
  <c r="Q96" i="5"/>
  <c r="Q97" i="5"/>
  <c r="Q98" i="5"/>
  <c r="Q99" i="5"/>
  <c r="Q100" i="5"/>
  <c r="Q101" i="5"/>
  <c r="Q102" i="5"/>
  <c r="Q103" i="5"/>
  <c r="Q104" i="5"/>
  <c r="Q105" i="5"/>
  <c r="Q106" i="5"/>
  <c r="Q107" i="5"/>
  <c r="Q108" i="5"/>
  <c r="Q109" i="5"/>
  <c r="Q110" i="5"/>
  <c r="Q111" i="5"/>
  <c r="Q112" i="5"/>
  <c r="Q113" i="5"/>
  <c r="Q114" i="5"/>
  <c r="Q115" i="5"/>
  <c r="Q116" i="5"/>
  <c r="Q117" i="5"/>
  <c r="Q118" i="5"/>
  <c r="Q119" i="5"/>
  <c r="Q120" i="5"/>
  <c r="Q121" i="5"/>
  <c r="Q122" i="5"/>
  <c r="Q123" i="5"/>
  <c r="Q124" i="5"/>
  <c r="Q125" i="5"/>
  <c r="Q126" i="5"/>
  <c r="Q127" i="5"/>
  <c r="Q128" i="5"/>
  <c r="Q129" i="5"/>
  <c r="Q130" i="5"/>
  <c r="Q131" i="5"/>
  <c r="Q133" i="5"/>
  <c r="Q132" i="5"/>
  <c r="P95" i="5"/>
  <c r="P96" i="5"/>
  <c r="P97" i="5"/>
  <c r="P98" i="5"/>
  <c r="P99" i="5"/>
  <c r="P100" i="5"/>
  <c r="P101" i="5"/>
  <c r="P102" i="5"/>
  <c r="P103" i="5"/>
  <c r="P104" i="5"/>
  <c r="P105" i="5"/>
  <c r="P106" i="5"/>
  <c r="P107" i="5"/>
  <c r="P108" i="5"/>
  <c r="P109" i="5"/>
  <c r="P110" i="5"/>
  <c r="P111" i="5"/>
  <c r="P112" i="5"/>
  <c r="P113" i="5"/>
  <c r="P114" i="5"/>
  <c r="P115" i="5"/>
  <c r="P116" i="5"/>
  <c r="P117" i="5"/>
  <c r="P118" i="5"/>
  <c r="P119" i="5"/>
  <c r="P120" i="5"/>
  <c r="P121" i="5"/>
  <c r="P122" i="5"/>
  <c r="P123" i="5"/>
  <c r="P124" i="5"/>
  <c r="P125" i="5"/>
  <c r="P126" i="5"/>
  <c r="P127" i="5"/>
  <c r="P128" i="5"/>
  <c r="P129" i="5"/>
  <c r="P130" i="5"/>
  <c r="P131" i="5"/>
  <c r="P133" i="5"/>
  <c r="P132" i="5"/>
  <c r="O95" i="5"/>
  <c r="O96" i="5"/>
  <c r="O97" i="5"/>
  <c r="O98" i="5"/>
  <c r="O99" i="5"/>
  <c r="O100" i="5"/>
  <c r="O101" i="5"/>
  <c r="O102" i="5"/>
  <c r="O103" i="5"/>
  <c r="O104" i="5"/>
  <c r="O105" i="5"/>
  <c r="O106" i="5"/>
  <c r="O107" i="5"/>
  <c r="O108" i="5"/>
  <c r="O109" i="5"/>
  <c r="O110" i="5"/>
  <c r="O111" i="5"/>
  <c r="O112" i="5"/>
  <c r="O113" i="5"/>
  <c r="O114" i="5"/>
  <c r="O115" i="5"/>
  <c r="O116" i="5"/>
  <c r="O117" i="5"/>
  <c r="O118" i="5"/>
  <c r="O119" i="5"/>
  <c r="O120" i="5"/>
  <c r="O121" i="5"/>
  <c r="O122" i="5"/>
  <c r="O123" i="5"/>
  <c r="O124" i="5"/>
  <c r="O125" i="5"/>
  <c r="O126" i="5"/>
  <c r="O127" i="5"/>
  <c r="O128" i="5"/>
  <c r="O129" i="5"/>
  <c r="O130" i="5"/>
  <c r="O131" i="5"/>
  <c r="O133" i="5"/>
  <c r="O132" i="5"/>
  <c r="N95" i="5"/>
  <c r="N96" i="5"/>
  <c r="N97" i="5"/>
  <c r="N98" i="5"/>
  <c r="N99" i="5"/>
  <c r="N100" i="5"/>
  <c r="N101" i="5"/>
  <c r="N102" i="5"/>
  <c r="N103" i="5"/>
  <c r="N104" i="5"/>
  <c r="N105" i="5"/>
  <c r="N106" i="5"/>
  <c r="N107" i="5"/>
  <c r="N108" i="5"/>
  <c r="N109" i="5"/>
  <c r="N110" i="5"/>
  <c r="N111" i="5"/>
  <c r="N112" i="5"/>
  <c r="N113" i="5"/>
  <c r="N114" i="5"/>
  <c r="N115" i="5"/>
  <c r="N116" i="5"/>
  <c r="N117" i="5"/>
  <c r="N118" i="5"/>
  <c r="N119" i="5"/>
  <c r="N120" i="5"/>
  <c r="N121" i="5"/>
  <c r="N122" i="5"/>
  <c r="N123" i="5"/>
  <c r="N124" i="5"/>
  <c r="N125" i="5"/>
  <c r="N126" i="5"/>
  <c r="N127" i="5"/>
  <c r="N128" i="5"/>
  <c r="N129" i="5"/>
  <c r="N130" i="5"/>
  <c r="N131" i="5"/>
  <c r="N133" i="5"/>
  <c r="N132" i="5"/>
  <c r="AD35" i="4"/>
  <c r="AL35" i="4" s="1"/>
  <c r="BH35" i="4" s="1"/>
  <c r="AD34" i="4"/>
  <c r="AD33" i="4"/>
  <c r="AD32" i="4"/>
  <c r="AL32" i="4" s="1"/>
  <c r="BH32" i="4" s="1"/>
  <c r="AD31" i="4"/>
  <c r="AL31" i="4" s="1"/>
  <c r="BH31" i="4" s="1"/>
  <c r="AD30" i="4"/>
  <c r="AL30" i="4" s="1"/>
  <c r="BH30" i="4" s="1"/>
  <c r="AD29" i="4"/>
  <c r="AL29" i="4" s="1"/>
  <c r="BH29" i="4" s="1"/>
  <c r="AD28" i="4"/>
  <c r="AL28" i="4" s="1"/>
  <c r="BH28" i="4" s="1"/>
  <c r="AD27" i="4"/>
  <c r="AL27" i="4" s="1"/>
  <c r="BH27" i="4" s="1"/>
  <c r="AD26" i="4"/>
  <c r="AD25" i="4"/>
  <c r="AL25" i="4" s="1"/>
  <c r="BH25" i="4" s="1"/>
  <c r="AD24" i="4"/>
  <c r="AL24" i="4" s="1"/>
  <c r="BH24" i="4" s="1"/>
  <c r="AD23" i="4"/>
  <c r="AL23" i="4" s="1"/>
  <c r="BH23" i="4" s="1"/>
  <c r="AD22" i="4"/>
  <c r="AL22" i="4" s="1"/>
  <c r="BH22" i="4" s="1"/>
  <c r="AD21" i="4"/>
  <c r="AL21" i="4" s="1"/>
  <c r="BH21" i="4" s="1"/>
  <c r="AD20" i="4"/>
  <c r="AL20" i="4" s="1"/>
  <c r="BH20" i="4" s="1"/>
  <c r="AD19" i="4"/>
  <c r="AL19" i="4" s="1"/>
  <c r="BH19" i="4" s="1"/>
  <c r="AD18" i="4"/>
  <c r="AD17" i="4"/>
  <c r="AL17" i="4" s="1"/>
  <c r="BH17" i="4" s="1"/>
  <c r="AD16" i="4"/>
  <c r="AL16" i="4" s="1"/>
  <c r="BH16" i="4" s="1"/>
  <c r="AD15" i="4"/>
  <c r="AL15" i="4" s="1"/>
  <c r="BH15" i="4" s="1"/>
  <c r="AD14" i="4"/>
  <c r="AL14" i="4" s="1"/>
  <c r="BH14" i="4" s="1"/>
  <c r="AD13" i="4"/>
  <c r="AL13" i="4" s="1"/>
  <c r="BH13" i="4" s="1"/>
  <c r="AD12" i="4"/>
  <c r="AL12" i="4" s="1"/>
  <c r="BH12" i="4" s="1"/>
  <c r="AD11" i="4"/>
  <c r="AL11" i="4" s="1"/>
  <c r="BH11" i="4" s="1"/>
  <c r="AD10" i="4"/>
  <c r="AD9" i="4"/>
  <c r="AL9" i="4" s="1"/>
  <c r="BH9" i="4" s="1"/>
  <c r="AD8" i="4"/>
  <c r="AL8" i="4" s="1"/>
  <c r="BH8" i="4" s="1"/>
  <c r="AD7" i="4"/>
  <c r="AL7" i="4" s="1"/>
  <c r="BH7" i="4" s="1"/>
  <c r="AD6" i="4"/>
  <c r="AL6" i="4" s="1"/>
  <c r="BH6" i="4" s="1"/>
  <c r="AD5" i="4"/>
  <c r="AL5" i="4" s="1"/>
  <c r="BH5" i="4" s="1"/>
  <c r="AD4" i="4"/>
  <c r="AL4" i="4" s="1"/>
  <c r="BH4" i="4" s="1"/>
  <c r="B6" i="6"/>
  <c r="A6" i="6"/>
  <c r="C6" i="6" s="1"/>
  <c r="B5" i="6"/>
  <c r="A5" i="6"/>
  <c r="F5" i="6" s="1"/>
  <c r="B4" i="6"/>
  <c r="A4" i="6"/>
  <c r="F4" i="6" s="1"/>
  <c r="B3" i="6"/>
  <c r="A3" i="6"/>
  <c r="M3" i="6" s="1"/>
  <c r="CT6" i="4"/>
  <c r="DP6" i="4" s="1"/>
  <c r="N3" i="1"/>
  <c r="N4" i="1"/>
  <c r="N5" i="1"/>
  <c r="N6" i="1"/>
  <c r="N8" i="1"/>
  <c r="N10" i="1"/>
  <c r="N11" i="1"/>
  <c r="N12" i="1"/>
  <c r="N13" i="1"/>
  <c r="N14" i="1"/>
  <c r="N15" i="1"/>
  <c r="N16" i="1"/>
  <c r="N17" i="1"/>
  <c r="N18" i="1"/>
  <c r="N19" i="1"/>
  <c r="N20" i="1"/>
  <c r="N21" i="1"/>
  <c r="N22" i="1"/>
  <c r="N23" i="1"/>
  <c r="N24" i="1"/>
  <c r="N27" i="1"/>
  <c r="N28" i="1"/>
  <c r="N29" i="1"/>
  <c r="N30" i="1"/>
  <c r="N31" i="1"/>
  <c r="N32" i="1"/>
  <c r="N33" i="1"/>
  <c r="N39" i="1"/>
  <c r="N40" i="1"/>
  <c r="N41" i="1"/>
  <c r="N42" i="1"/>
  <c r="O3" i="1"/>
  <c r="O4" i="1"/>
  <c r="O5" i="1"/>
  <c r="O6" i="1"/>
  <c r="O8" i="1"/>
  <c r="O10" i="1"/>
  <c r="O11" i="1"/>
  <c r="O12" i="1"/>
  <c r="O13" i="1"/>
  <c r="O14" i="1"/>
  <c r="O15" i="1"/>
  <c r="O16" i="1"/>
  <c r="O17" i="1"/>
  <c r="O18" i="1"/>
  <c r="O19" i="1"/>
  <c r="O20" i="1"/>
  <c r="O21" i="1"/>
  <c r="O22" i="1"/>
  <c r="O23" i="1"/>
  <c r="O24" i="1"/>
  <c r="O27" i="1"/>
  <c r="O28" i="1"/>
  <c r="O29" i="1"/>
  <c r="O30" i="1"/>
  <c r="O31" i="1"/>
  <c r="O32" i="1"/>
  <c r="O33" i="1"/>
  <c r="O39" i="1"/>
  <c r="O40" i="1"/>
  <c r="O41" i="1"/>
  <c r="O42" i="1"/>
  <c r="P3" i="1"/>
  <c r="P4" i="1"/>
  <c r="P5" i="1"/>
  <c r="P6" i="1"/>
  <c r="P8" i="1"/>
  <c r="P10" i="1"/>
  <c r="P11" i="1"/>
  <c r="P12" i="1"/>
  <c r="P13" i="1"/>
  <c r="P14" i="1"/>
  <c r="P15" i="1"/>
  <c r="P16" i="1"/>
  <c r="P17" i="1"/>
  <c r="P18" i="1"/>
  <c r="P19" i="1"/>
  <c r="P20" i="1"/>
  <c r="P21" i="1"/>
  <c r="P22" i="1"/>
  <c r="P23" i="1"/>
  <c r="P24" i="1"/>
  <c r="P27" i="1"/>
  <c r="P28" i="1"/>
  <c r="P29" i="1"/>
  <c r="P30" i="1"/>
  <c r="P31" i="1"/>
  <c r="P32" i="1"/>
  <c r="P33" i="1"/>
  <c r="P39" i="1"/>
  <c r="P40" i="1"/>
  <c r="P41" i="1"/>
  <c r="P42" i="1"/>
  <c r="Q3" i="1"/>
  <c r="Q4" i="1"/>
  <c r="Q5" i="1"/>
  <c r="Q6" i="1"/>
  <c r="Q8" i="1"/>
  <c r="Q10" i="1"/>
  <c r="Q11" i="1"/>
  <c r="Q12" i="1"/>
  <c r="Q13" i="1"/>
  <c r="Q14" i="1"/>
  <c r="Q15" i="1"/>
  <c r="Q16" i="1"/>
  <c r="Q17" i="1"/>
  <c r="Q18" i="1"/>
  <c r="Q19" i="1"/>
  <c r="Q20" i="1"/>
  <c r="Q21" i="1"/>
  <c r="Q22" i="1"/>
  <c r="Q23" i="1"/>
  <c r="Q24" i="1"/>
  <c r="Q27" i="1"/>
  <c r="Q28" i="1"/>
  <c r="Q29" i="1"/>
  <c r="Q30" i="1"/>
  <c r="Q31" i="1"/>
  <c r="Q32" i="1"/>
  <c r="Q33" i="1"/>
  <c r="Q39" i="1"/>
  <c r="Q40" i="1"/>
  <c r="Q41" i="1"/>
  <c r="Q42" i="1"/>
  <c r="R3" i="1"/>
  <c r="R4" i="1"/>
  <c r="R5" i="1"/>
  <c r="R6" i="1"/>
  <c r="R8" i="1"/>
  <c r="R10" i="1"/>
  <c r="R11" i="1"/>
  <c r="R12" i="1"/>
  <c r="R13" i="1"/>
  <c r="R14" i="1"/>
  <c r="R15" i="1"/>
  <c r="R16" i="1"/>
  <c r="R17" i="1"/>
  <c r="R18" i="1"/>
  <c r="R19" i="1"/>
  <c r="R20" i="1"/>
  <c r="R21" i="1"/>
  <c r="R22" i="1"/>
  <c r="R23" i="1"/>
  <c r="R24" i="1"/>
  <c r="R27" i="1"/>
  <c r="R28" i="1"/>
  <c r="R29" i="1"/>
  <c r="R30" i="1"/>
  <c r="R31" i="1"/>
  <c r="R32" i="1"/>
  <c r="R33" i="1"/>
  <c r="R39" i="1"/>
  <c r="R40" i="1"/>
  <c r="R41" i="1"/>
  <c r="R42" i="1"/>
  <c r="S3" i="1"/>
  <c r="S4" i="1"/>
  <c r="S5" i="1"/>
  <c r="S6" i="1"/>
  <c r="S8" i="1"/>
  <c r="S10" i="1"/>
  <c r="S11" i="1"/>
  <c r="S12" i="1"/>
  <c r="S13" i="1"/>
  <c r="S14" i="1"/>
  <c r="S15" i="1"/>
  <c r="S16" i="1"/>
  <c r="S17" i="1"/>
  <c r="S18" i="1"/>
  <c r="S19" i="1"/>
  <c r="S20" i="1"/>
  <c r="S21" i="1"/>
  <c r="S22" i="1"/>
  <c r="S23" i="1"/>
  <c r="S24" i="1"/>
  <c r="S27" i="1"/>
  <c r="S28" i="1"/>
  <c r="S29" i="1"/>
  <c r="S30" i="1"/>
  <c r="S31" i="1"/>
  <c r="S32" i="1"/>
  <c r="S33" i="1"/>
  <c r="S39" i="1"/>
  <c r="S40" i="1"/>
  <c r="S41" i="1"/>
  <c r="S42" i="1"/>
  <c r="U3" i="1"/>
  <c r="U4" i="1"/>
  <c r="U5" i="1"/>
  <c r="U6" i="1"/>
  <c r="U8" i="1"/>
  <c r="U10" i="1"/>
  <c r="U11" i="1"/>
  <c r="U12" i="1"/>
  <c r="U13" i="1"/>
  <c r="U14" i="1"/>
  <c r="U15" i="1"/>
  <c r="U16" i="1"/>
  <c r="U17" i="1"/>
  <c r="U18" i="1"/>
  <c r="U19" i="1"/>
  <c r="U20" i="1"/>
  <c r="U21" i="1"/>
  <c r="U22" i="1"/>
  <c r="U23" i="1"/>
  <c r="U24" i="1"/>
  <c r="U27" i="1"/>
  <c r="U28" i="1"/>
  <c r="U29" i="1"/>
  <c r="U30" i="1"/>
  <c r="U31" i="1"/>
  <c r="U32" i="1"/>
  <c r="U33" i="1"/>
  <c r="U39" i="1"/>
  <c r="U40" i="1"/>
  <c r="U41" i="1"/>
  <c r="U42" i="1"/>
  <c r="N7" i="1"/>
  <c r="N9" i="1"/>
  <c r="N25" i="1"/>
  <c r="N26" i="1"/>
  <c r="N34" i="1"/>
  <c r="N35" i="1"/>
  <c r="N36" i="1"/>
  <c r="N37" i="1"/>
  <c r="N38" i="1"/>
  <c r="O7" i="1"/>
  <c r="O9" i="1"/>
  <c r="O25" i="1"/>
  <c r="O26" i="1"/>
  <c r="O34" i="1"/>
  <c r="O35" i="1"/>
  <c r="O36" i="1"/>
  <c r="O37" i="1"/>
  <c r="O38" i="1"/>
  <c r="P7" i="1"/>
  <c r="P9" i="1"/>
  <c r="P25" i="1"/>
  <c r="P26" i="1"/>
  <c r="P34" i="1"/>
  <c r="P35" i="1"/>
  <c r="P36" i="1"/>
  <c r="P37" i="1"/>
  <c r="P38" i="1"/>
  <c r="Q7" i="1"/>
  <c r="Q9" i="1"/>
  <c r="Q25" i="1"/>
  <c r="Q26" i="1"/>
  <c r="Q34" i="1"/>
  <c r="Q35" i="1"/>
  <c r="Q36" i="1"/>
  <c r="Q37" i="1"/>
  <c r="Q38" i="1"/>
  <c r="R7" i="1"/>
  <c r="R9" i="1"/>
  <c r="R25" i="1"/>
  <c r="R26" i="1"/>
  <c r="R34" i="1"/>
  <c r="R35" i="1"/>
  <c r="R36" i="1"/>
  <c r="R37" i="1"/>
  <c r="R38" i="1"/>
  <c r="S7" i="1"/>
  <c r="S9" i="1"/>
  <c r="S25" i="1"/>
  <c r="S26" i="1"/>
  <c r="S34" i="1"/>
  <c r="S35" i="1"/>
  <c r="S36" i="1"/>
  <c r="S37" i="1"/>
  <c r="S38" i="1"/>
  <c r="U7" i="1"/>
  <c r="U9" i="1"/>
  <c r="U25" i="1"/>
  <c r="U26" i="1"/>
  <c r="U34" i="1"/>
  <c r="U35" i="1"/>
  <c r="U36" i="1"/>
  <c r="U37" i="1"/>
  <c r="U38" i="1"/>
  <c r="CT15" i="4"/>
  <c r="DP15" i="4" s="1"/>
  <c r="CS11" i="4"/>
  <c r="CY11" i="4" s="1"/>
  <c r="DO11" i="4" s="1"/>
  <c r="DW11" i="4" s="1"/>
  <c r="EC11" i="4" s="1"/>
  <c r="ES11" i="4" s="1"/>
  <c r="FA11" i="4" s="1"/>
  <c r="FG11" i="4" s="1"/>
  <c r="CS10" i="4"/>
  <c r="CY10" i="4" s="1"/>
  <c r="DO10" i="4" s="1"/>
  <c r="DW10" i="4" s="1"/>
  <c r="EC10" i="4" s="1"/>
  <c r="ES10" i="4" s="1"/>
  <c r="FA10" i="4" s="1"/>
  <c r="FG10" i="4" s="1"/>
  <c r="FW10" i="4" s="1"/>
  <c r="GE10" i="4" s="1"/>
  <c r="GK10" i="4" s="1"/>
  <c r="HA10" i="4" s="1"/>
  <c r="HI10" i="4" s="1"/>
  <c r="HO10" i="4" s="1"/>
  <c r="IE10" i="4" s="1"/>
  <c r="IM10" i="4" s="1"/>
  <c r="R4" i="4"/>
  <c r="R5" i="4"/>
  <c r="R6" i="4"/>
  <c r="R7" i="4"/>
  <c r="R8" i="4"/>
  <c r="R9" i="4"/>
  <c r="R10" i="4"/>
  <c r="R11" i="4"/>
  <c r="R12" i="4"/>
  <c r="R13" i="4"/>
  <c r="R14" i="4"/>
  <c r="R15" i="4"/>
  <c r="R16" i="4"/>
  <c r="R17" i="4"/>
  <c r="R18" i="4"/>
  <c r="R19" i="4"/>
  <c r="R20" i="4"/>
  <c r="R21" i="4"/>
  <c r="R22" i="4"/>
  <c r="R23" i="4"/>
  <c r="R24" i="4"/>
  <c r="R25" i="4"/>
  <c r="R26" i="4"/>
  <c r="R27" i="4"/>
  <c r="R28" i="4"/>
  <c r="R29" i="4"/>
  <c r="R30" i="4"/>
  <c r="R31" i="4"/>
  <c r="R32" i="4"/>
  <c r="R33" i="4"/>
  <c r="R34" i="4"/>
  <c r="R35" i="4"/>
  <c r="AH25" i="4"/>
  <c r="F36" i="4"/>
  <c r="G36" i="4"/>
  <c r="AL34" i="4"/>
  <c r="BH34" i="4" s="1"/>
  <c r="AL33" i="4"/>
  <c r="BH33" i="4" s="1"/>
  <c r="AL26" i="4"/>
  <c r="BH26" i="4" s="1"/>
  <c r="AL18" i="4"/>
  <c r="BH18" i="4" s="1"/>
  <c r="AL10" i="4"/>
  <c r="BH10" i="4" s="1"/>
  <c r="M35" i="4"/>
  <c r="Z35" i="4" s="1"/>
  <c r="M34" i="4"/>
  <c r="Z34" i="4" s="1"/>
  <c r="M33" i="4"/>
  <c r="Z33" i="4" s="1"/>
  <c r="M32" i="4"/>
  <c r="Z32" i="4" s="1"/>
  <c r="M31" i="4"/>
  <c r="Z31" i="4" s="1"/>
  <c r="M30" i="4"/>
  <c r="M29" i="4"/>
  <c r="M28" i="4"/>
  <c r="M27" i="4"/>
  <c r="M26" i="4"/>
  <c r="M25" i="4"/>
  <c r="M24" i="4"/>
  <c r="M23" i="4"/>
  <c r="Z23" i="4" s="1"/>
  <c r="M22" i="4"/>
  <c r="Z22" i="4" s="1"/>
  <c r="M21" i="4"/>
  <c r="AK21" i="4" s="1"/>
  <c r="AQ21" i="4" s="1"/>
  <c r="BG21" i="4" s="1"/>
  <c r="M20" i="4"/>
  <c r="M19" i="4"/>
  <c r="M18" i="4"/>
  <c r="M17" i="4"/>
  <c r="M16" i="4"/>
  <c r="M15" i="4"/>
  <c r="AK15" i="4" s="1"/>
  <c r="AQ15" i="4" s="1"/>
  <c r="BG15" i="4" s="1"/>
  <c r="M14" i="4"/>
  <c r="AK14" i="4" s="1"/>
  <c r="AQ14" i="4" s="1"/>
  <c r="BG14" i="4" s="1"/>
  <c r="M13" i="4"/>
  <c r="M12" i="4"/>
  <c r="M11" i="4"/>
  <c r="M10" i="4"/>
  <c r="M9" i="4"/>
  <c r="M8" i="4"/>
  <c r="M7" i="4"/>
  <c r="M6" i="4"/>
  <c r="AK6" i="4" s="1"/>
  <c r="AQ6" i="4" s="1"/>
  <c r="BG6" i="4" s="1"/>
  <c r="M5" i="4"/>
  <c r="M4" i="4"/>
  <c r="J35" i="4"/>
  <c r="J34" i="4"/>
  <c r="J33" i="4"/>
  <c r="J32" i="4"/>
  <c r="J31" i="4"/>
  <c r="J30" i="4"/>
  <c r="J29" i="4"/>
  <c r="J28" i="4"/>
  <c r="J27" i="4"/>
  <c r="J26" i="4"/>
  <c r="J25" i="4"/>
  <c r="J24" i="4"/>
  <c r="J23" i="4"/>
  <c r="J22" i="4"/>
  <c r="J21" i="4"/>
  <c r="J20" i="4"/>
  <c r="J19" i="4"/>
  <c r="J18" i="4"/>
  <c r="J17" i="4"/>
  <c r="J16" i="4"/>
  <c r="J15" i="4"/>
  <c r="J14" i="4"/>
  <c r="J13" i="4"/>
  <c r="J12" i="4"/>
  <c r="J11" i="4"/>
  <c r="J10" i="4"/>
  <c r="J9" i="4"/>
  <c r="J8" i="4"/>
  <c r="J7" i="4"/>
  <c r="J6" i="4"/>
  <c r="J5" i="4"/>
  <c r="J4" i="4"/>
  <c r="FE7" i="4"/>
  <c r="EA14" i="4"/>
  <c r="HM4" i="4"/>
  <c r="GI7" i="4"/>
  <c r="AK26" i="4" l="1"/>
  <c r="AQ26" i="4" s="1"/>
  <c r="BG26" i="4" s="1"/>
  <c r="BO26" i="4" s="1"/>
  <c r="BU26" i="4" s="1"/>
  <c r="AK18" i="4"/>
  <c r="AQ18" i="4" s="1"/>
  <c r="BG18" i="4" s="1"/>
  <c r="BO18" i="4" s="1"/>
  <c r="BU18" i="4" s="1"/>
  <c r="CK18" i="4" s="1"/>
  <c r="AK10" i="4"/>
  <c r="AQ10" i="4" s="1"/>
  <c r="BG10" i="4" s="1"/>
  <c r="BO10" i="4" s="1"/>
  <c r="BU10" i="4" s="1"/>
  <c r="CK10" i="4" s="1"/>
  <c r="AK30" i="4"/>
  <c r="AQ30" i="4" s="1"/>
  <c r="BG30" i="4" s="1"/>
  <c r="BO30" i="4" s="1"/>
  <c r="BU30" i="4" s="1"/>
  <c r="AK11" i="4"/>
  <c r="AQ11" i="4" s="1"/>
  <c r="BG11" i="4" s="1"/>
  <c r="AK19" i="4"/>
  <c r="AQ19" i="4" s="1"/>
  <c r="BG19" i="4" s="1"/>
  <c r="BO19" i="4" s="1"/>
  <c r="BU19" i="4" s="1"/>
  <c r="CK19" i="4" s="1"/>
  <c r="AK27" i="4"/>
  <c r="AQ27" i="4" s="1"/>
  <c r="BG27" i="4" s="1"/>
  <c r="BO27" i="4" s="1"/>
  <c r="BU27" i="4" s="1"/>
  <c r="CK27" i="4" s="1"/>
  <c r="CS27" i="4" s="1"/>
  <c r="CY27" i="4" s="1"/>
  <c r="DO27" i="4" s="1"/>
  <c r="AK4" i="4"/>
  <c r="AK7" i="4"/>
  <c r="AQ7" i="4" s="1"/>
  <c r="BG7" i="4" s="1"/>
  <c r="BO7" i="4" s="1"/>
  <c r="BU7" i="4" s="1"/>
  <c r="CK7" i="4" s="1"/>
  <c r="CS7" i="4" s="1"/>
  <c r="CY7" i="4" s="1"/>
  <c r="DO7" i="4" s="1"/>
  <c r="DW7" i="4" s="1"/>
  <c r="EC7" i="4" s="1"/>
  <c r="ES7" i="4" s="1"/>
  <c r="FA7" i="4" s="1"/>
  <c r="FG7" i="4" s="1"/>
  <c r="FW7" i="4" s="1"/>
  <c r="GE7" i="4" s="1"/>
  <c r="GK7" i="4" s="1"/>
  <c r="HA7" i="4" s="1"/>
  <c r="HI7" i="4" s="1"/>
  <c r="HO7" i="4" s="1"/>
  <c r="IE7" i="4" s="1"/>
  <c r="IM7" i="4" s="1"/>
  <c r="AK5" i="4"/>
  <c r="AQ5" i="4" s="1"/>
  <c r="BG5" i="4" s="1"/>
  <c r="BO5" i="4" s="1"/>
  <c r="BU5" i="4" s="1"/>
  <c r="CK5" i="4" s="1"/>
  <c r="CS5" i="4" s="1"/>
  <c r="CY5" i="4" s="1"/>
  <c r="DO5" i="4" s="1"/>
  <c r="DW5" i="4" s="1"/>
  <c r="EC5" i="4" s="1"/>
  <c r="ES5" i="4" s="1"/>
  <c r="FA5" i="4" s="1"/>
  <c r="FG5" i="4" s="1"/>
  <c r="FW5" i="4" s="1"/>
  <c r="GE5" i="4" s="1"/>
  <c r="GK5" i="4" s="1"/>
  <c r="HA5" i="4" s="1"/>
  <c r="HI5" i="4" s="1"/>
  <c r="HO5" i="4" s="1"/>
  <c r="IE5" i="4" s="1"/>
  <c r="IM5" i="4" s="1"/>
  <c r="AK13" i="4"/>
  <c r="AQ13" i="4" s="1"/>
  <c r="BG13" i="4" s="1"/>
  <c r="BO13" i="4" s="1"/>
  <c r="BU13" i="4" s="1"/>
  <c r="U3" i="6"/>
  <c r="C5" i="6"/>
  <c r="AA3" i="6"/>
  <c r="AH6" i="6"/>
  <c r="X6" i="6"/>
  <c r="V6" i="6"/>
  <c r="T6" i="6"/>
  <c r="M6" i="6"/>
  <c r="W3" i="6"/>
  <c r="AH5" i="6"/>
  <c r="X5" i="6"/>
  <c r="V5" i="6"/>
  <c r="T5" i="6"/>
  <c r="M5" i="6"/>
  <c r="C4" i="6"/>
  <c r="F3" i="6"/>
  <c r="AH4" i="6"/>
  <c r="X4" i="6"/>
  <c r="V4" i="6"/>
  <c r="T4" i="6"/>
  <c r="M4" i="6"/>
  <c r="S3" i="6"/>
  <c r="AH3" i="6"/>
  <c r="X3" i="6"/>
  <c r="V3" i="6"/>
  <c r="T3" i="6"/>
  <c r="AA6" i="6"/>
  <c r="W6" i="6"/>
  <c r="U6" i="6"/>
  <c r="S6" i="6"/>
  <c r="F6" i="6"/>
  <c r="AA5" i="6"/>
  <c r="W5" i="6"/>
  <c r="U5" i="6"/>
  <c r="S5" i="6"/>
  <c r="AD6" i="6"/>
  <c r="AG6" i="6"/>
  <c r="AB6" i="6"/>
  <c r="AA4" i="6"/>
  <c r="W4" i="6"/>
  <c r="U4" i="6"/>
  <c r="S4" i="6"/>
  <c r="N6" i="6"/>
  <c r="N4" i="6"/>
  <c r="K3" i="6"/>
  <c r="N5" i="6"/>
  <c r="C3" i="6"/>
  <c r="AB5" i="6"/>
  <c r="AB4" i="6"/>
  <c r="AB3" i="6"/>
  <c r="K6" i="6"/>
  <c r="N3" i="6"/>
  <c r="Y6" i="6"/>
  <c r="AG3" i="6"/>
  <c r="Y5" i="6"/>
  <c r="Y4" i="6"/>
  <c r="Y3" i="6"/>
  <c r="AG5" i="6"/>
  <c r="AG4" i="6"/>
  <c r="K4" i="6"/>
  <c r="K5" i="6"/>
  <c r="Z6" i="6"/>
  <c r="D3" i="6"/>
  <c r="FW11" i="4"/>
  <c r="GE11" i="4" s="1"/>
  <c r="GK11" i="4" s="1"/>
  <c r="HA11" i="4" s="1"/>
  <c r="HI11" i="4" s="1"/>
  <c r="HO11" i="4" s="1"/>
  <c r="IE11" i="4" s="1"/>
  <c r="IM11" i="4" s="1"/>
  <c r="GE4" i="4"/>
  <c r="GK4" i="4" s="1"/>
  <c r="HA4" i="4" s="1"/>
  <c r="FW25" i="4"/>
  <c r="GE25" i="4" s="1"/>
  <c r="GK25" i="4" s="1"/>
  <c r="HA25" i="4" s="1"/>
  <c r="HI25" i="4" s="1"/>
  <c r="HO25" i="4" s="1"/>
  <c r="IE25" i="4" s="1"/>
  <c r="IM25" i="4" s="1"/>
  <c r="AD5" i="6"/>
  <c r="AD4" i="6"/>
  <c r="AD3" i="6"/>
  <c r="AE4" i="6"/>
  <c r="AK9" i="4"/>
  <c r="AQ9" i="4" s="1"/>
  <c r="BG9" i="4" s="1"/>
  <c r="BO9" i="4" s="1"/>
  <c r="BU9" i="4" s="1"/>
  <c r="CK9" i="4" s="1"/>
  <c r="AK17" i="4"/>
  <c r="AQ17" i="4" s="1"/>
  <c r="BO21" i="4"/>
  <c r="BU21" i="4" s="1"/>
  <c r="AK29" i="4"/>
  <c r="AQ29" i="4" s="1"/>
  <c r="BO14" i="4"/>
  <c r="BU14" i="4" s="1"/>
  <c r="CK14" i="4" s="1"/>
  <c r="CP14" i="4" s="1"/>
  <c r="CS14" i="4" s="1"/>
  <c r="CY14" i="4" s="1"/>
  <c r="DO14" i="4" s="1"/>
  <c r="DX15" i="4"/>
  <c r="ET15" i="4" s="1"/>
  <c r="FB15" i="4" s="1"/>
  <c r="FX15" i="4" s="1"/>
  <c r="GF15" i="4" s="1"/>
  <c r="HB15" i="4" s="1"/>
  <c r="HJ15" i="4" s="1"/>
  <c r="IF15" i="4" s="1"/>
  <c r="IN15" i="4" s="1"/>
  <c r="BO15" i="4"/>
  <c r="BU15" i="4" s="1"/>
  <c r="CK15" i="4" s="1"/>
  <c r="CS15" i="4" s="1"/>
  <c r="CY15" i="4" s="1"/>
  <c r="DO15" i="4" s="1"/>
  <c r="DW15" i="4" s="1"/>
  <c r="EC15" i="4" s="1"/>
  <c r="ES15" i="4" s="1"/>
  <c r="FA15" i="4" s="1"/>
  <c r="FG15" i="4" s="1"/>
  <c r="FW15" i="4" s="1"/>
  <c r="GE15" i="4" s="1"/>
  <c r="GK15" i="4" s="1"/>
  <c r="HA15" i="4" s="1"/>
  <c r="HI15" i="4" s="1"/>
  <c r="HO15" i="4" s="1"/>
  <c r="IE15" i="4" s="1"/>
  <c r="IM15" i="4" s="1"/>
  <c r="DX6" i="4"/>
  <c r="L3" i="6"/>
  <c r="R3" i="6"/>
  <c r="AF3" i="6"/>
  <c r="G3" i="6"/>
  <c r="Z3" i="6"/>
  <c r="E3" i="6"/>
  <c r="H3" i="6"/>
  <c r="AE3" i="6"/>
  <c r="I3" i="6"/>
  <c r="Q4" i="6"/>
  <c r="D6" i="6"/>
  <c r="J3" i="6"/>
  <c r="L6" i="6"/>
  <c r="AC3" i="6"/>
  <c r="O3" i="6"/>
  <c r="AF6" i="6"/>
  <c r="J6" i="6"/>
  <c r="Q3" i="6"/>
  <c r="R6" i="6"/>
  <c r="H6" i="6"/>
  <c r="P3" i="6"/>
  <c r="P6" i="6"/>
  <c r="AF5" i="6"/>
  <c r="Z5" i="6"/>
  <c r="R5" i="6"/>
  <c r="P5" i="6"/>
  <c r="L5" i="6"/>
  <c r="J5" i="6"/>
  <c r="H5" i="6"/>
  <c r="D5" i="6"/>
  <c r="AF4" i="6"/>
  <c r="Z4" i="6"/>
  <c r="R4" i="6"/>
  <c r="P4" i="6"/>
  <c r="L4" i="6"/>
  <c r="J4" i="6"/>
  <c r="H4" i="6"/>
  <c r="D4" i="6"/>
  <c r="AE6" i="6"/>
  <c r="AC6" i="6"/>
  <c r="Q6" i="6"/>
  <c r="O6" i="6"/>
  <c r="I6" i="6"/>
  <c r="G6" i="6"/>
  <c r="E6" i="6"/>
  <c r="AE5" i="6"/>
  <c r="AC5" i="6"/>
  <c r="Q5" i="6"/>
  <c r="O5" i="6"/>
  <c r="I5" i="6"/>
  <c r="G5" i="6"/>
  <c r="E5" i="6"/>
  <c r="AC4" i="6"/>
  <c r="O4" i="6"/>
  <c r="I4" i="6"/>
  <c r="G4" i="6"/>
  <c r="E4" i="6"/>
  <c r="CS17" i="4"/>
  <c r="CY17" i="4" s="1"/>
  <c r="DO17" i="4" s="1"/>
  <c r="DW17" i="4" s="1"/>
  <c r="EC17" i="4" s="1"/>
  <c r="ES17" i="4" s="1"/>
  <c r="FA17" i="4" s="1"/>
  <c r="FG17" i="4" s="1"/>
  <c r="FW17" i="4" s="1"/>
  <c r="GE17" i="4" s="1"/>
  <c r="GK17" i="4" s="1"/>
  <c r="HA17" i="4" s="1"/>
  <c r="HI17" i="4" s="1"/>
  <c r="HO17" i="4" s="1"/>
  <c r="IE17" i="4" s="1"/>
  <c r="IM17" i="4" s="1"/>
  <c r="AK8" i="4"/>
  <c r="AQ8" i="4" s="1"/>
  <c r="BG8" i="4" s="1"/>
  <c r="BO8" i="4" s="1"/>
  <c r="BU8" i="4" s="1"/>
  <c r="CK8" i="4" s="1"/>
  <c r="CS8" i="4" s="1"/>
  <c r="CY8" i="4" s="1"/>
  <c r="DO8" i="4" s="1"/>
  <c r="DW8" i="4" s="1"/>
  <c r="EC8" i="4" s="1"/>
  <c r="ES8" i="4" s="1"/>
  <c r="FA8" i="4" s="1"/>
  <c r="FG8" i="4" s="1"/>
  <c r="FW8" i="4" s="1"/>
  <c r="GE8" i="4" s="1"/>
  <c r="GK8" i="4" s="1"/>
  <c r="HA8" i="4" s="1"/>
  <c r="HI8" i="4" s="1"/>
  <c r="HO8" i="4" s="1"/>
  <c r="IE8" i="4" s="1"/>
  <c r="IM8" i="4" s="1"/>
  <c r="AK16" i="4"/>
  <c r="AQ16" i="4" s="1"/>
  <c r="AK25" i="4"/>
  <c r="AQ25" i="4" s="1"/>
  <c r="BG25" i="4" s="1"/>
  <c r="CS9" i="4"/>
  <c r="CY9" i="4" s="1"/>
  <c r="DO9" i="4" s="1"/>
  <c r="DW9" i="4" s="1"/>
  <c r="EC9" i="4" s="1"/>
  <c r="ES9" i="4" s="1"/>
  <c r="FA9" i="4" s="1"/>
  <c r="FG9" i="4" s="1"/>
  <c r="FW9" i="4" s="1"/>
  <c r="GE9" i="4" s="1"/>
  <c r="GK9" i="4" s="1"/>
  <c r="HA9" i="4" s="1"/>
  <c r="HI9" i="4" s="1"/>
  <c r="HO9" i="4" s="1"/>
  <c r="IE9" i="4" s="1"/>
  <c r="IM9" i="4" s="1"/>
  <c r="J36" i="4"/>
  <c r="J45" i="4" s="1"/>
  <c r="CS18" i="4"/>
  <c r="CY18" i="4" s="1"/>
  <c r="DO18" i="4" s="1"/>
  <c r="DW18" i="4" s="1"/>
  <c r="EC18" i="4" s="1"/>
  <c r="ES18" i="4" s="1"/>
  <c r="FA18" i="4" s="1"/>
  <c r="FG18" i="4" s="1"/>
  <c r="FW18" i="4" s="1"/>
  <c r="GE18" i="4" s="1"/>
  <c r="GK18" i="4" s="1"/>
  <c r="HA18" i="4" s="1"/>
  <c r="HI18" i="4" s="1"/>
  <c r="HO18" i="4" s="1"/>
  <c r="IE18" i="4" s="1"/>
  <c r="IM18" i="4" s="1"/>
  <c r="AK12" i="4"/>
  <c r="AQ12" i="4" s="1"/>
  <c r="AK20" i="4"/>
  <c r="AQ20" i="4" s="1"/>
  <c r="AK28" i="4"/>
  <c r="AQ28" i="4" s="1"/>
  <c r="AK24" i="4"/>
  <c r="AQ24" i="4" s="1"/>
  <c r="BO6" i="4"/>
  <c r="BU6" i="4" s="1"/>
  <c r="CK6" i="4" s="1"/>
  <c r="CS6" i="4" s="1"/>
  <c r="CY6" i="4" s="1"/>
  <c r="DO6" i="4" s="1"/>
  <c r="DW6" i="4" s="1"/>
  <c r="EC6" i="4" s="1"/>
  <c r="ES6" i="4" s="1"/>
  <c r="FA6" i="4" s="1"/>
  <c r="FG6" i="4" s="1"/>
  <c r="FW6" i="4" s="1"/>
  <c r="GE6" i="4" s="1"/>
  <c r="GK6" i="4" s="1"/>
  <c r="HA6" i="4" s="1"/>
  <c r="HI6" i="4" s="1"/>
  <c r="HO6" i="4" s="1"/>
  <c r="IE6" i="4" s="1"/>
  <c r="IM6" i="4" s="1"/>
  <c r="BO11" i="4"/>
  <c r="BU11" i="4" s="1"/>
  <c r="CK11" i="4" s="1"/>
  <c r="M36" i="4"/>
  <c r="Z24" i="4"/>
  <c r="AK22" i="4"/>
  <c r="AQ22" i="4" s="1"/>
  <c r="BG22" i="4" s="1"/>
  <c r="AK23" i="4"/>
  <c r="AQ23" i="4" s="1"/>
  <c r="BG23" i="4" s="1"/>
  <c r="AK31" i="4"/>
  <c r="AQ31" i="4" s="1"/>
  <c r="BG31" i="4" s="1"/>
  <c r="AK32" i="4"/>
  <c r="AQ32" i="4" s="1"/>
  <c r="BG32" i="4" s="1"/>
  <c r="AK33" i="4"/>
  <c r="AQ33" i="4" s="1"/>
  <c r="AK34" i="4"/>
  <c r="AQ34" i="4" s="1"/>
  <c r="BG34" i="4" s="1"/>
  <c r="AK35" i="4"/>
  <c r="AQ35" i="4" s="1"/>
  <c r="GI31" i="4"/>
  <c r="FE11" i="4"/>
  <c r="EA18" i="4"/>
  <c r="EA30" i="4"/>
  <c r="FE32" i="4"/>
  <c r="HM15" i="4"/>
  <c r="EA26" i="4"/>
  <c r="GI5" i="4"/>
  <c r="EA35" i="4"/>
  <c r="FE18" i="4"/>
  <c r="GI29" i="4"/>
  <c r="GI25" i="4"/>
  <c r="FE29" i="4"/>
  <c r="GI21" i="4"/>
  <c r="FE30" i="4"/>
  <c r="GI16" i="4"/>
  <c r="FE25" i="4"/>
  <c r="FE22" i="4"/>
  <c r="FE6" i="4"/>
  <c r="HM30" i="4"/>
  <c r="HM13" i="4"/>
  <c r="FE26" i="4"/>
  <c r="HM5" i="4"/>
  <c r="FE16" i="4"/>
  <c r="EA7" i="4"/>
  <c r="GI13" i="4"/>
  <c r="EA5" i="4"/>
  <c r="GI34" i="4"/>
  <c r="GI12" i="4"/>
  <c r="FE33" i="4"/>
  <c r="EA20" i="4"/>
  <c r="HM18" i="4"/>
  <c r="FE20" i="4"/>
  <c r="HM22" i="4"/>
  <c r="EA29" i="4"/>
  <c r="FE34" i="4"/>
  <c r="FE24" i="4"/>
  <c r="GI27" i="4"/>
  <c r="FE21" i="4"/>
  <c r="FE19" i="4"/>
  <c r="EA17" i="4"/>
  <c r="HM34" i="4"/>
  <c r="HM23" i="4"/>
  <c r="EA22" i="4"/>
  <c r="GI24" i="4"/>
  <c r="GI28" i="4"/>
  <c r="EA4" i="4"/>
  <c r="FE8" i="4"/>
  <c r="EA27" i="4"/>
  <c r="FE35" i="4"/>
  <c r="HM8" i="4"/>
  <c r="GI15" i="4"/>
  <c r="HM11" i="4"/>
  <c r="EA15" i="4"/>
  <c r="GI11" i="4"/>
  <c r="EA6" i="4"/>
  <c r="FE5" i="4"/>
  <c r="HM9" i="4"/>
  <c r="HM17" i="4"/>
  <c r="FE17" i="4"/>
  <c r="FE28" i="4"/>
  <c r="HM10" i="4"/>
  <c r="FE27" i="4"/>
  <c r="EA19" i="4"/>
  <c r="FE14" i="4"/>
  <c r="EA10" i="4"/>
  <c r="GI6" i="4"/>
  <c r="HM16" i="4"/>
  <c r="EA11" i="4"/>
  <c r="HM20" i="4"/>
  <c r="EA12" i="4"/>
  <c r="GI9" i="4"/>
  <c r="GI18" i="4"/>
  <c r="HM7" i="4"/>
  <c r="GI22" i="4"/>
  <c r="EA28" i="4"/>
  <c r="HM6" i="4"/>
  <c r="EA9" i="4"/>
  <c r="EA21" i="4"/>
  <c r="GI4" i="4"/>
  <c r="EA33" i="4"/>
  <c r="HM28" i="4"/>
  <c r="HM19" i="4"/>
  <c r="HM29" i="4"/>
  <c r="FE15" i="4"/>
  <c r="HM27" i="4"/>
  <c r="FE23" i="4"/>
  <c r="EA31" i="4"/>
  <c r="HM24" i="4"/>
  <c r="HM31" i="4"/>
  <c r="GI23" i="4"/>
  <c r="GI33" i="4"/>
  <c r="EA23" i="4"/>
  <c r="GI19" i="4"/>
  <c r="GI20" i="4"/>
  <c r="FE12" i="4"/>
  <c r="HM32" i="4"/>
  <c r="GI8" i="4"/>
  <c r="EA25" i="4"/>
  <c r="EA24" i="4"/>
  <c r="EA34" i="4"/>
  <c r="FE4" i="4"/>
  <c r="HM26" i="4"/>
  <c r="GI10" i="4"/>
  <c r="GI26" i="4"/>
  <c r="FE9" i="4"/>
  <c r="EA8" i="4"/>
  <c r="GI30" i="4"/>
  <c r="HM33" i="4"/>
  <c r="EA16" i="4"/>
  <c r="EA32" i="4"/>
  <c r="HM21" i="4"/>
  <c r="GI17" i="4"/>
  <c r="FE13" i="4"/>
  <c r="GI14" i="4"/>
  <c r="FE31" i="4"/>
  <c r="GI32" i="4"/>
  <c r="HM35" i="4"/>
  <c r="HM12" i="4"/>
  <c r="GI35" i="4"/>
  <c r="EA13" i="4"/>
  <c r="FE10" i="4"/>
  <c r="HM14" i="4"/>
  <c r="HM25" i="4"/>
  <c r="AQ4" i="4" l="1"/>
  <c r="BG4" i="4" s="1"/>
  <c r="AK36" i="4"/>
  <c r="DT14" i="4"/>
  <c r="DW14" i="4" s="1"/>
  <c r="EC14" i="4" s="1"/>
  <c r="ES14" i="4" s="1"/>
  <c r="FA14" i="4" s="1"/>
  <c r="FG14" i="4" s="1"/>
  <c r="FW14" i="4" s="1"/>
  <c r="GE14" i="4" s="1"/>
  <c r="GK14" i="4" s="1"/>
  <c r="HA14" i="4" s="1"/>
  <c r="HI14" i="4" s="1"/>
  <c r="HO14" i="4" s="1"/>
  <c r="IE14" i="4" s="1"/>
  <c r="IM14" i="4" s="1"/>
  <c r="GX4" i="4"/>
  <c r="U7" i="6"/>
  <c r="W7" i="6"/>
  <c r="GI45" i="4"/>
  <c r="GI36" i="4"/>
  <c r="HM36" i="4"/>
  <c r="HM45" i="4"/>
  <c r="HI4" i="4"/>
  <c r="AI4" i="6"/>
  <c r="AI5" i="6"/>
  <c r="AI3" i="6"/>
  <c r="AI6" i="6"/>
  <c r="FE45" i="4"/>
  <c r="FE36" i="4"/>
  <c r="BD24" i="4"/>
  <c r="BG24" i="4"/>
  <c r="BO24" i="4" s="1"/>
  <c r="BU24" i="4" s="1"/>
  <c r="CK24" i="4" s="1"/>
  <c r="BG29" i="4"/>
  <c r="BO29" i="4" s="1"/>
  <c r="BU29" i="4" s="1"/>
  <c r="CS21" i="4"/>
  <c r="CY21" i="4" s="1"/>
  <c r="DO21" i="4" s="1"/>
  <c r="DW21" i="4" s="1"/>
  <c r="EC21" i="4" s="1"/>
  <c r="ES21" i="4" s="1"/>
  <c r="FA21" i="4" s="1"/>
  <c r="FG21" i="4" s="1"/>
  <c r="FW21" i="4" s="1"/>
  <c r="GE21" i="4" s="1"/>
  <c r="GK21" i="4" s="1"/>
  <c r="HA21" i="4" s="1"/>
  <c r="HI21" i="4" s="1"/>
  <c r="HO21" i="4" s="1"/>
  <c r="IE21" i="4" s="1"/>
  <c r="IM21" i="4" s="1"/>
  <c r="CK21" i="4"/>
  <c r="BG20" i="4"/>
  <c r="BO20" i="4" s="1"/>
  <c r="BU20" i="4" s="1"/>
  <c r="CK20" i="4" s="1"/>
  <c r="CK13" i="4"/>
  <c r="CS13" i="4" s="1"/>
  <c r="CY13" i="4" s="1"/>
  <c r="DO13" i="4" s="1"/>
  <c r="DW13" i="4" s="1"/>
  <c r="EC13" i="4" s="1"/>
  <c r="ES13" i="4" s="1"/>
  <c r="FA13" i="4" s="1"/>
  <c r="FG13" i="4" s="1"/>
  <c r="FW13" i="4" s="1"/>
  <c r="GE13" i="4" s="1"/>
  <c r="GK13" i="4" s="1"/>
  <c r="HA13" i="4" s="1"/>
  <c r="HI13" i="4" s="1"/>
  <c r="HO13" i="4" s="1"/>
  <c r="IE13" i="4" s="1"/>
  <c r="IM13" i="4" s="1"/>
  <c r="ET6" i="4"/>
  <c r="FB6" i="4" s="1"/>
  <c r="FX6" i="4" s="1"/>
  <c r="GF6" i="4" s="1"/>
  <c r="HB6" i="4" s="1"/>
  <c r="HJ6" i="4" s="1"/>
  <c r="IF6" i="4" s="1"/>
  <c r="IN6" i="4" s="1"/>
  <c r="CK26" i="4"/>
  <c r="CS26" i="4" s="1"/>
  <c r="CY26" i="4" s="1"/>
  <c r="DO26" i="4" s="1"/>
  <c r="DW26" i="4" s="1"/>
  <c r="EC26" i="4" s="1"/>
  <c r="ES26" i="4" s="1"/>
  <c r="FA26" i="4" s="1"/>
  <c r="FG26" i="4" s="1"/>
  <c r="FW26" i="4" s="1"/>
  <c r="GE26" i="4" s="1"/>
  <c r="GK26" i="4" s="1"/>
  <c r="HA26" i="4" s="1"/>
  <c r="HI26" i="4" s="1"/>
  <c r="HO26" i="4" s="1"/>
  <c r="IE26" i="4" s="1"/>
  <c r="IM26" i="4" s="1"/>
  <c r="BG28" i="4"/>
  <c r="BO28" i="4" s="1"/>
  <c r="BU28" i="4" s="1"/>
  <c r="CK28" i="4" s="1"/>
  <c r="CS28" i="4" s="1"/>
  <c r="CY28" i="4" s="1"/>
  <c r="DO28" i="4" s="1"/>
  <c r="DW28" i="4" s="1"/>
  <c r="EC28" i="4" s="1"/>
  <c r="ES28" i="4" s="1"/>
  <c r="FA28" i="4" s="1"/>
  <c r="FG28" i="4" s="1"/>
  <c r="FW28" i="4" s="1"/>
  <c r="GE28" i="4" s="1"/>
  <c r="GK28" i="4" s="1"/>
  <c r="HA28" i="4" s="1"/>
  <c r="HI28" i="4" s="1"/>
  <c r="HO28" i="4" s="1"/>
  <c r="IE28" i="4" s="1"/>
  <c r="IM28" i="4" s="1"/>
  <c r="BG33" i="4"/>
  <c r="BO33" i="4" s="1"/>
  <c r="BU33" i="4" s="1"/>
  <c r="BG12" i="4"/>
  <c r="BO12" i="4" s="1"/>
  <c r="BU12" i="4" s="1"/>
  <c r="CK12" i="4" s="1"/>
  <c r="BG16" i="4"/>
  <c r="BO16" i="4" s="1"/>
  <c r="BU16" i="4" s="1"/>
  <c r="CK16" i="4" s="1"/>
  <c r="CS16" i="4" s="1"/>
  <c r="CY16" i="4" s="1"/>
  <c r="DO16" i="4" s="1"/>
  <c r="DW16" i="4" s="1"/>
  <c r="EC16" i="4" s="1"/>
  <c r="ES16" i="4" s="1"/>
  <c r="FA16" i="4" s="1"/>
  <c r="FG16" i="4" s="1"/>
  <c r="FW16" i="4" s="1"/>
  <c r="GE16" i="4" s="1"/>
  <c r="GK16" i="4" s="1"/>
  <c r="HA16" i="4" s="1"/>
  <c r="HI16" i="4" s="1"/>
  <c r="HO16" i="4" s="1"/>
  <c r="IE16" i="4" s="1"/>
  <c r="IM16" i="4" s="1"/>
  <c r="BG17" i="4"/>
  <c r="BO17" i="4" s="1"/>
  <c r="BU17" i="4" s="1"/>
  <c r="CK17" i="4" s="1"/>
  <c r="CK30" i="4"/>
  <c r="CS30" i="4" s="1"/>
  <c r="CY30" i="4" s="1"/>
  <c r="DO30" i="4" s="1"/>
  <c r="DW30" i="4" s="1"/>
  <c r="EC30" i="4" s="1"/>
  <c r="ES30" i="4" s="1"/>
  <c r="FA30" i="4" s="1"/>
  <c r="FG30" i="4" s="1"/>
  <c r="FW30" i="4" s="1"/>
  <c r="GE30" i="4" s="1"/>
  <c r="GK30" i="4" s="1"/>
  <c r="HA30" i="4" s="1"/>
  <c r="HI30" i="4" s="1"/>
  <c r="HO30" i="4" s="1"/>
  <c r="IE30" i="4" s="1"/>
  <c r="IM30" i="4" s="1"/>
  <c r="AE7" i="6"/>
  <c r="EA36" i="4"/>
  <c r="EA45" i="4"/>
  <c r="AC7" i="6"/>
  <c r="O7" i="6"/>
  <c r="CS12" i="4"/>
  <c r="CY12" i="4" s="1"/>
  <c r="DO12" i="4" s="1"/>
  <c r="CS20" i="4"/>
  <c r="CY20" i="4" s="1"/>
  <c r="DO20" i="4" s="1"/>
  <c r="DW20" i="4" s="1"/>
  <c r="EC20" i="4" s="1"/>
  <c r="ES20" i="4" s="1"/>
  <c r="FA20" i="4" s="1"/>
  <c r="FG20" i="4" s="1"/>
  <c r="FW20" i="4" s="1"/>
  <c r="GE20" i="4" s="1"/>
  <c r="GK20" i="4" s="1"/>
  <c r="HA20" i="4" s="1"/>
  <c r="HI20" i="4" s="1"/>
  <c r="HO20" i="4" s="1"/>
  <c r="IE20" i="4" s="1"/>
  <c r="IM20" i="4" s="1"/>
  <c r="DW27" i="4"/>
  <c r="EC27" i="4" s="1"/>
  <c r="ES27" i="4" s="1"/>
  <c r="FA27" i="4" s="1"/>
  <c r="FG27" i="4" s="1"/>
  <c r="FW27" i="4" s="1"/>
  <c r="GE27" i="4" s="1"/>
  <c r="GK27" i="4" s="1"/>
  <c r="HA27" i="4" s="1"/>
  <c r="HI27" i="4" s="1"/>
  <c r="HO27" i="4" s="1"/>
  <c r="IE27" i="4" s="1"/>
  <c r="IM27" i="4" s="1"/>
  <c r="CS19" i="4"/>
  <c r="CY19" i="4" s="1"/>
  <c r="DO19" i="4" s="1"/>
  <c r="DW19" i="4" s="1"/>
  <c r="EC19" i="4" s="1"/>
  <c r="ES19" i="4" s="1"/>
  <c r="FA19" i="4" s="1"/>
  <c r="FG19" i="4" s="1"/>
  <c r="FW19" i="4" s="1"/>
  <c r="GE19" i="4" s="1"/>
  <c r="GK19" i="4" s="1"/>
  <c r="HA19" i="4" s="1"/>
  <c r="HI19" i="4" s="1"/>
  <c r="HO19" i="4" s="1"/>
  <c r="IE19" i="4" s="1"/>
  <c r="IM19" i="4" s="1"/>
  <c r="AG7" i="6"/>
  <c r="G7" i="6"/>
  <c r="X7" i="6"/>
  <c r="P7" i="6"/>
  <c r="AB7" i="6"/>
  <c r="R7" i="6"/>
  <c r="AF7" i="6"/>
  <c r="H7" i="6"/>
  <c r="F7" i="6"/>
  <c r="E7" i="6"/>
  <c r="D7" i="6"/>
  <c r="M7" i="6"/>
  <c r="AA7" i="6"/>
  <c r="S7" i="6"/>
  <c r="C7" i="6"/>
  <c r="K7" i="6"/>
  <c r="L7" i="6"/>
  <c r="AH7" i="6"/>
  <c r="Y7" i="6"/>
  <c r="AD7" i="6"/>
  <c r="Z7" i="6"/>
  <c r="Q7" i="6"/>
  <c r="V7" i="6"/>
  <c r="T7" i="6"/>
  <c r="J7" i="6"/>
  <c r="I7" i="6"/>
  <c r="N7" i="6"/>
  <c r="BL25" i="4"/>
  <c r="BO25" i="4" s="1"/>
  <c r="BU25" i="4" s="1"/>
  <c r="CK25" i="4" s="1"/>
  <c r="BD33" i="4"/>
  <c r="BD32" i="4"/>
  <c r="BO32" i="4"/>
  <c r="BU32" i="4" s="1"/>
  <c r="BD31" i="4"/>
  <c r="BO31" i="4"/>
  <c r="BU31" i="4" s="1"/>
  <c r="CK31" i="4" s="1"/>
  <c r="BO34" i="4"/>
  <c r="BU34" i="4" s="1"/>
  <c r="BD34" i="4"/>
  <c r="BO23" i="4"/>
  <c r="BU23" i="4" s="1"/>
  <c r="CK23" i="4" s="1"/>
  <c r="BD23" i="4"/>
  <c r="BD22" i="4"/>
  <c r="BO22" i="4"/>
  <c r="BU22" i="4" s="1"/>
  <c r="CK22" i="4" s="1"/>
  <c r="BD35" i="4"/>
  <c r="BG35" i="4"/>
  <c r="BO35" i="4" s="1"/>
  <c r="BU35" i="4" s="1"/>
  <c r="AQ36" i="4" l="1"/>
  <c r="BO4" i="4"/>
  <c r="BG36" i="4"/>
  <c r="HO4" i="4"/>
  <c r="CH33" i="4"/>
  <c r="CK33" i="4"/>
  <c r="CS33" i="4" s="1"/>
  <c r="CY33" i="4" s="1"/>
  <c r="DO33" i="4" s="1"/>
  <c r="DW33" i="4" s="1"/>
  <c r="EC33" i="4" s="1"/>
  <c r="CK29" i="4"/>
  <c r="CS29" i="4" s="1"/>
  <c r="CY29" i="4" s="1"/>
  <c r="DO29" i="4" s="1"/>
  <c r="DW29" i="4" s="1"/>
  <c r="EC29" i="4" s="1"/>
  <c r="ES29" i="4" s="1"/>
  <c r="FA29" i="4" s="1"/>
  <c r="FG29" i="4" s="1"/>
  <c r="FW29" i="4" s="1"/>
  <c r="GE29" i="4" s="1"/>
  <c r="GK29" i="4" s="1"/>
  <c r="HA29" i="4" s="1"/>
  <c r="HI29" i="4" s="1"/>
  <c r="HO29" i="4" s="1"/>
  <c r="IE29" i="4" s="1"/>
  <c r="IM29" i="4" s="1"/>
  <c r="DW12" i="4"/>
  <c r="AI7" i="6"/>
  <c r="CP25" i="4"/>
  <c r="CS25" i="4" s="1"/>
  <c r="CY25" i="4" s="1"/>
  <c r="DO25" i="4" s="1"/>
  <c r="CH23" i="4"/>
  <c r="CS23" i="4"/>
  <c r="CY23" i="4" s="1"/>
  <c r="DO23" i="4" s="1"/>
  <c r="DW23" i="4" s="1"/>
  <c r="EC23" i="4" s="1"/>
  <c r="CH31" i="4"/>
  <c r="CS31" i="4"/>
  <c r="CY31" i="4" s="1"/>
  <c r="DO31" i="4" s="1"/>
  <c r="DW31" i="4" s="1"/>
  <c r="EC31" i="4" s="1"/>
  <c r="CH24" i="4"/>
  <c r="CS24" i="4"/>
  <c r="CY24" i="4" s="1"/>
  <c r="DO24" i="4" s="1"/>
  <c r="DW24" i="4" s="1"/>
  <c r="EC24" i="4" s="1"/>
  <c r="CK34" i="4"/>
  <c r="CS34" i="4" s="1"/>
  <c r="CY34" i="4" s="1"/>
  <c r="DO34" i="4" s="1"/>
  <c r="DW34" i="4" s="1"/>
  <c r="EC34" i="4" s="1"/>
  <c r="CH34" i="4"/>
  <c r="CH35" i="4"/>
  <c r="CK35" i="4"/>
  <c r="CS35" i="4" s="1"/>
  <c r="CY35" i="4" s="1"/>
  <c r="DO35" i="4" s="1"/>
  <c r="DW35" i="4" s="1"/>
  <c r="EC35" i="4" s="1"/>
  <c r="CH22" i="4"/>
  <c r="CH32" i="4"/>
  <c r="CK32" i="4"/>
  <c r="CS32" i="4" s="1"/>
  <c r="CY32" i="4" s="1"/>
  <c r="DO32" i="4" s="1"/>
  <c r="DW32" i="4" s="1"/>
  <c r="EC32" i="4" s="1"/>
  <c r="U43" i="1"/>
  <c r="U44" i="1"/>
  <c r="U45" i="1"/>
  <c r="U46" i="1"/>
  <c r="U47" i="1"/>
  <c r="U48" i="1"/>
  <c r="U49" i="1"/>
  <c r="U50" i="1"/>
  <c r="U51" i="1"/>
  <c r="U52" i="1"/>
  <c r="U53" i="1"/>
  <c r="U54" i="1"/>
  <c r="U55" i="1"/>
  <c r="U56" i="1"/>
  <c r="U57" i="1"/>
  <c r="U58" i="1"/>
  <c r="U59" i="1"/>
  <c r="U60" i="1"/>
  <c r="U61" i="1"/>
  <c r="U62" i="1"/>
  <c r="U63" i="1"/>
  <c r="U64" i="1"/>
  <c r="U65" i="1"/>
  <c r="U66" i="1"/>
  <c r="U67" i="1"/>
  <c r="U68" i="1"/>
  <c r="U69" i="1"/>
  <c r="U70" i="1"/>
  <c r="U71" i="1"/>
  <c r="U72" i="1"/>
  <c r="U73" i="1"/>
  <c r="U74" i="1"/>
  <c r="U75" i="1"/>
  <c r="U76" i="1"/>
  <c r="U77" i="1"/>
  <c r="U78" i="1"/>
  <c r="U79" i="1"/>
  <c r="U80" i="1"/>
  <c r="U81" i="1"/>
  <c r="U82" i="1"/>
  <c r="U83" i="1"/>
  <c r="U84" i="1"/>
  <c r="U85" i="1"/>
  <c r="U86" i="1"/>
  <c r="U87" i="1"/>
  <c r="U88" i="1"/>
  <c r="U89" i="1"/>
  <c r="U90" i="1"/>
  <c r="U91" i="1"/>
  <c r="U92" i="1"/>
  <c r="U93" i="1"/>
  <c r="U94" i="1"/>
  <c r="U95" i="1"/>
  <c r="U96" i="1"/>
  <c r="U97" i="1"/>
  <c r="U98" i="1"/>
  <c r="U99" i="1"/>
  <c r="U100" i="1"/>
  <c r="U101" i="1"/>
  <c r="U102" i="1"/>
  <c r="U103" i="1"/>
  <c r="U104" i="1"/>
  <c r="U105" i="1"/>
  <c r="U106" i="1"/>
  <c r="U107" i="1"/>
  <c r="U108" i="1"/>
  <c r="U109" i="1"/>
  <c r="U110" i="1"/>
  <c r="U111" i="1"/>
  <c r="U112" i="1"/>
  <c r="U113" i="1"/>
  <c r="U114" i="1"/>
  <c r="U115" i="1"/>
  <c r="U116" i="1"/>
  <c r="U117" i="1"/>
  <c r="U118" i="1"/>
  <c r="U119" i="1"/>
  <c r="U120" i="1"/>
  <c r="U121" i="1"/>
  <c r="U122" i="1"/>
  <c r="U123" i="1"/>
  <c r="U124" i="1"/>
  <c r="U125" i="1"/>
  <c r="U126" i="1"/>
  <c r="U127" i="1"/>
  <c r="U128" i="1"/>
  <c r="U129" i="1"/>
  <c r="U130" i="1"/>
  <c r="U131" i="1"/>
  <c r="U132" i="1"/>
  <c r="U133" i="1"/>
  <c r="U134" i="1"/>
  <c r="U135" i="1"/>
  <c r="U136" i="1"/>
  <c r="U137" i="1"/>
  <c r="U138" i="1"/>
  <c r="U139" i="1"/>
  <c r="U140" i="1"/>
  <c r="U141" i="1"/>
  <c r="U142" i="1"/>
  <c r="U143" i="1"/>
  <c r="U144" i="1"/>
  <c r="U145" i="1"/>
  <c r="U146" i="1"/>
  <c r="U147" i="1"/>
  <c r="U148" i="1"/>
  <c r="U149" i="1"/>
  <c r="U150" i="1"/>
  <c r="U151" i="1"/>
  <c r="U152" i="1"/>
  <c r="U153" i="1"/>
  <c r="U154" i="1"/>
  <c r="U155" i="1"/>
  <c r="U156" i="1"/>
  <c r="U157" i="1"/>
  <c r="U158" i="1"/>
  <c r="U159" i="1"/>
  <c r="U160" i="1"/>
  <c r="U161" i="1"/>
  <c r="U162" i="1"/>
  <c r="U163" i="1"/>
  <c r="U164" i="1"/>
  <c r="U165" i="1"/>
  <c r="U166" i="1"/>
  <c r="U167" i="1"/>
  <c r="U168" i="1"/>
  <c r="U169" i="1"/>
  <c r="U170" i="1"/>
  <c r="U171" i="1"/>
  <c r="U172" i="1"/>
  <c r="U173" i="1"/>
  <c r="U174" i="1"/>
  <c r="U175" i="1"/>
  <c r="U176" i="1"/>
  <c r="U177" i="1"/>
  <c r="U178" i="1"/>
  <c r="U179" i="1"/>
  <c r="U180" i="1"/>
  <c r="U181" i="1"/>
  <c r="U182" i="1"/>
  <c r="U183" i="1"/>
  <c r="U184" i="1"/>
  <c r="U185" i="1"/>
  <c r="U186" i="1"/>
  <c r="U187" i="1"/>
  <c r="U188" i="1"/>
  <c r="U189" i="1"/>
  <c r="U190" i="1"/>
  <c r="U191" i="1"/>
  <c r="U192" i="1"/>
  <c r="U193" i="1"/>
  <c r="U194" i="1"/>
  <c r="U195" i="1"/>
  <c r="U196" i="1"/>
  <c r="U197" i="1"/>
  <c r="U198" i="1"/>
  <c r="U199" i="1"/>
  <c r="U200" i="1"/>
  <c r="U201" i="1"/>
  <c r="U202" i="1"/>
  <c r="U203" i="1"/>
  <c r="U204" i="1"/>
  <c r="U205" i="1"/>
  <c r="U206" i="1"/>
  <c r="U207" i="1"/>
  <c r="U208" i="1"/>
  <c r="U209" i="1"/>
  <c r="U210" i="1"/>
  <c r="U211" i="1"/>
  <c r="U212" i="1"/>
  <c r="U213" i="1"/>
  <c r="U214" i="1"/>
  <c r="U215" i="1"/>
  <c r="U216" i="1"/>
  <c r="U217" i="1"/>
  <c r="U218" i="1"/>
  <c r="DL33" i="4" l="1"/>
  <c r="BU4" i="4"/>
  <c r="BO36" i="4"/>
  <c r="DT25" i="4"/>
  <c r="DW25" i="4" s="1"/>
  <c r="EC25" i="4" s="1"/>
  <c r="ES25" i="4" s="1"/>
  <c r="IE4" i="4"/>
  <c r="IB4" i="4"/>
  <c r="EP35" i="4"/>
  <c r="ES35" i="4"/>
  <c r="FA35" i="4" s="1"/>
  <c r="FG35" i="4" s="1"/>
  <c r="EP32" i="4"/>
  <c r="ES32" i="4"/>
  <c r="FA32" i="4" s="1"/>
  <c r="FG32" i="4" s="1"/>
  <c r="EP24" i="4"/>
  <c r="ES24" i="4"/>
  <c r="FA24" i="4" s="1"/>
  <c r="FG24" i="4" s="1"/>
  <c r="EP34" i="4"/>
  <c r="ES34" i="4"/>
  <c r="FA34" i="4" s="1"/>
  <c r="FG34" i="4" s="1"/>
  <c r="EP23" i="4"/>
  <c r="ES23" i="4"/>
  <c r="FA23" i="4" s="1"/>
  <c r="FG23" i="4" s="1"/>
  <c r="EP31" i="4"/>
  <c r="ES31" i="4"/>
  <c r="FA31" i="4" s="1"/>
  <c r="FG31" i="4" s="1"/>
  <c r="EP33" i="4"/>
  <c r="ES33" i="4"/>
  <c r="FA33" i="4" s="1"/>
  <c r="FG33" i="4" s="1"/>
  <c r="EC12" i="4"/>
  <c r="CS22" i="4"/>
  <c r="DL31" i="4"/>
  <c r="DL24" i="4"/>
  <c r="DL35" i="4"/>
  <c r="DL23" i="4"/>
  <c r="DL32" i="4"/>
  <c r="DL34" i="4"/>
  <c r="U27" i="4"/>
  <c r="U19" i="4"/>
  <c r="U18" i="4"/>
  <c r="U17" i="4"/>
  <c r="U7" i="4"/>
  <c r="U5" i="4"/>
  <c r="U4" i="4"/>
  <c r="CK4" i="4" l="1"/>
  <c r="BU36" i="4"/>
  <c r="FT31" i="4"/>
  <c r="FW31" i="4"/>
  <c r="GE31" i="4" s="1"/>
  <c r="GK31" i="4" s="1"/>
  <c r="FT32" i="4"/>
  <c r="FW32" i="4"/>
  <c r="GE32" i="4" s="1"/>
  <c r="GK32" i="4" s="1"/>
  <c r="FT35" i="4"/>
  <c r="FW35" i="4"/>
  <c r="GE35" i="4" s="1"/>
  <c r="GK35" i="4" s="1"/>
  <c r="FW34" i="4"/>
  <c r="GE34" i="4" s="1"/>
  <c r="GK34" i="4" s="1"/>
  <c r="FT34" i="4"/>
  <c r="FT23" i="4"/>
  <c r="FW23" i="4"/>
  <c r="GE23" i="4" s="1"/>
  <c r="GK23" i="4" s="1"/>
  <c r="FT33" i="4"/>
  <c r="FW33" i="4"/>
  <c r="GE33" i="4" s="1"/>
  <c r="GK33" i="4" s="1"/>
  <c r="FW24" i="4"/>
  <c r="GE24" i="4" s="1"/>
  <c r="GK24" i="4" s="1"/>
  <c r="FT24" i="4"/>
  <c r="IM4" i="4"/>
  <c r="ES12" i="4"/>
  <c r="FA12" i="4" s="1"/>
  <c r="FG12" i="4" s="1"/>
  <c r="CY22" i="4"/>
  <c r="DO22" i="4" s="1"/>
  <c r="S28" i="4"/>
  <c r="S13" i="4"/>
  <c r="S21" i="4"/>
  <c r="S6" i="4"/>
  <c r="S22" i="4"/>
  <c r="S30" i="4"/>
  <c r="S12" i="4"/>
  <c r="S15" i="4"/>
  <c r="S31" i="4"/>
  <c r="S8" i="4"/>
  <c r="S16" i="4"/>
  <c r="S24" i="4"/>
  <c r="S32" i="4"/>
  <c r="S9" i="4"/>
  <c r="S25" i="4"/>
  <c r="S33" i="4"/>
  <c r="S26" i="4"/>
  <c r="S34" i="4"/>
  <c r="S23" i="4"/>
  <c r="S35" i="4"/>
  <c r="B3" i="3"/>
  <c r="B4" i="3"/>
  <c r="B5" i="3"/>
  <c r="B6" i="3"/>
  <c r="A6" i="3"/>
  <c r="A5" i="3"/>
  <c r="A4" i="3"/>
  <c r="A3" i="3"/>
  <c r="C13" i="2"/>
  <c r="D13" i="2" s="1"/>
  <c r="C16" i="2"/>
  <c r="D16" i="2" s="1"/>
  <c r="C15" i="2"/>
  <c r="D15" i="2" s="1"/>
  <c r="C14" i="2"/>
  <c r="D14" i="2" s="1"/>
  <c r="C8" i="2"/>
  <c r="D8" i="2" s="1"/>
  <c r="C7" i="2"/>
  <c r="D7" i="2" s="1"/>
  <c r="C6" i="2"/>
  <c r="D6" i="2" s="1"/>
  <c r="C5" i="2"/>
  <c r="D5" i="2" s="1"/>
  <c r="S43" i="1"/>
  <c r="S44" i="1"/>
  <c r="S46" i="1"/>
  <c r="S47" i="1"/>
  <c r="S48" i="1"/>
  <c r="S50" i="1"/>
  <c r="S52" i="1"/>
  <c r="S53" i="1"/>
  <c r="S54" i="1"/>
  <c r="S55" i="1"/>
  <c r="S56" i="1"/>
  <c r="S57" i="1"/>
  <c r="S58" i="1"/>
  <c r="S59" i="1"/>
  <c r="S60" i="1"/>
  <c r="S61" i="1"/>
  <c r="S62" i="1"/>
  <c r="S63" i="1"/>
  <c r="S66" i="1"/>
  <c r="S68" i="1"/>
  <c r="S69" i="1"/>
  <c r="S72" i="1"/>
  <c r="S73" i="1"/>
  <c r="S75" i="1"/>
  <c r="S76" i="1"/>
  <c r="S77" i="1"/>
  <c r="S78" i="1"/>
  <c r="S79" i="1"/>
  <c r="S80" i="1"/>
  <c r="S86" i="1"/>
  <c r="S87" i="1"/>
  <c r="S89" i="1"/>
  <c r="S92" i="1"/>
  <c r="S93" i="1"/>
  <c r="S94" i="1"/>
  <c r="S95" i="1"/>
  <c r="S96" i="1"/>
  <c r="S97" i="1"/>
  <c r="S99" i="1"/>
  <c r="S101" i="1"/>
  <c r="S102" i="1"/>
  <c r="S103" i="1"/>
  <c r="S104" i="1"/>
  <c r="S105" i="1"/>
  <c r="S106" i="1"/>
  <c r="S108" i="1"/>
  <c r="S109" i="1"/>
  <c r="S110" i="1"/>
  <c r="S111" i="1"/>
  <c r="S114" i="1"/>
  <c r="S116" i="1"/>
  <c r="S117" i="1"/>
  <c r="S120" i="1"/>
  <c r="S121" i="1"/>
  <c r="S122" i="1"/>
  <c r="S124" i="1"/>
  <c r="S125" i="1"/>
  <c r="S126" i="1"/>
  <c r="S127" i="1"/>
  <c r="S129" i="1"/>
  <c r="S133" i="1"/>
  <c r="S134" i="1"/>
  <c r="S135" i="1"/>
  <c r="S136" i="1"/>
  <c r="S137" i="1"/>
  <c r="S138" i="1"/>
  <c r="S139" i="1"/>
  <c r="S140" i="1"/>
  <c r="S141" i="1"/>
  <c r="S142" i="1"/>
  <c r="S143" i="1"/>
  <c r="S144" i="1"/>
  <c r="S145" i="1"/>
  <c r="S146" i="1"/>
  <c r="S147" i="1"/>
  <c r="S148" i="1"/>
  <c r="S149" i="1"/>
  <c r="S150" i="1"/>
  <c r="S151" i="1"/>
  <c r="S152" i="1"/>
  <c r="S153" i="1"/>
  <c r="S157" i="1"/>
  <c r="S158" i="1"/>
  <c r="S159" i="1"/>
  <c r="S160" i="1"/>
  <c r="S161" i="1"/>
  <c r="S162" i="1"/>
  <c r="S163" i="1"/>
  <c r="S164" i="1"/>
  <c r="S165" i="1"/>
  <c r="S166" i="1"/>
  <c r="S167" i="1"/>
  <c r="S169" i="1"/>
  <c r="S170" i="1"/>
  <c r="S171" i="1"/>
  <c r="S172" i="1"/>
  <c r="S173" i="1"/>
  <c r="S174" i="1"/>
  <c r="S176" i="1"/>
  <c r="S180" i="1"/>
  <c r="S181" i="1"/>
  <c r="S183" i="1"/>
  <c r="S184" i="1"/>
  <c r="S185" i="1"/>
  <c r="S186" i="1"/>
  <c r="S188" i="1"/>
  <c r="S189" i="1"/>
  <c r="S190" i="1"/>
  <c r="S191" i="1"/>
  <c r="S192" i="1"/>
  <c r="S194" i="1"/>
  <c r="S195" i="1"/>
  <c r="S196" i="1"/>
  <c r="S198" i="1"/>
  <c r="S199" i="1"/>
  <c r="S201" i="1"/>
  <c r="S202" i="1"/>
  <c r="S203" i="1"/>
  <c r="S207" i="1"/>
  <c r="S208" i="1"/>
  <c r="S209" i="1"/>
  <c r="S210" i="1"/>
  <c r="S213" i="1"/>
  <c r="S214" i="1"/>
  <c r="S216" i="1"/>
  <c r="S217" i="1"/>
  <c r="S218" i="1"/>
  <c r="S45" i="1"/>
  <c r="S49" i="1"/>
  <c r="S51" i="1"/>
  <c r="S64" i="1"/>
  <c r="S65" i="1"/>
  <c r="S67" i="1"/>
  <c r="S70" i="1"/>
  <c r="S71" i="1"/>
  <c r="S74" i="1"/>
  <c r="S81" i="1"/>
  <c r="S82" i="1"/>
  <c r="S83" i="1"/>
  <c r="S84" i="1"/>
  <c r="S85" i="1"/>
  <c r="S88" i="1"/>
  <c r="S90" i="1"/>
  <c r="S91" i="1"/>
  <c r="S98" i="1"/>
  <c r="S100" i="1"/>
  <c r="S107" i="1"/>
  <c r="S112" i="1"/>
  <c r="S113" i="1"/>
  <c r="S115" i="1"/>
  <c r="S118" i="1"/>
  <c r="S119" i="1"/>
  <c r="S123" i="1"/>
  <c r="S128" i="1"/>
  <c r="S130" i="1"/>
  <c r="S131" i="1"/>
  <c r="S132" i="1"/>
  <c r="S154" i="1"/>
  <c r="S155" i="1"/>
  <c r="S156" i="1"/>
  <c r="S168" i="1"/>
  <c r="S175" i="1"/>
  <c r="S177" i="1"/>
  <c r="S178" i="1"/>
  <c r="S179" i="1"/>
  <c r="S182" i="1"/>
  <c r="S187" i="1"/>
  <c r="S193" i="1"/>
  <c r="S197" i="1"/>
  <c r="S200" i="1"/>
  <c r="S204" i="1"/>
  <c r="S205" i="1"/>
  <c r="S206" i="1"/>
  <c r="S211" i="1"/>
  <c r="S212" i="1"/>
  <c r="S215" i="1"/>
  <c r="R43" i="1"/>
  <c r="R44" i="1"/>
  <c r="R46" i="1"/>
  <c r="R47" i="1"/>
  <c r="R48" i="1"/>
  <c r="R50" i="1"/>
  <c r="R52" i="1"/>
  <c r="R53" i="1"/>
  <c r="R54" i="1"/>
  <c r="R55" i="1"/>
  <c r="R56" i="1"/>
  <c r="R57" i="1"/>
  <c r="R58" i="1"/>
  <c r="R59" i="1"/>
  <c r="R60" i="1"/>
  <c r="R61" i="1"/>
  <c r="R62" i="1"/>
  <c r="R63" i="1"/>
  <c r="R66" i="1"/>
  <c r="R68" i="1"/>
  <c r="R69" i="1"/>
  <c r="R72" i="1"/>
  <c r="R73" i="1"/>
  <c r="R75" i="1"/>
  <c r="R76" i="1"/>
  <c r="R77" i="1"/>
  <c r="R78" i="1"/>
  <c r="R79" i="1"/>
  <c r="R80" i="1"/>
  <c r="R86" i="1"/>
  <c r="R87" i="1"/>
  <c r="R89" i="1"/>
  <c r="R92" i="1"/>
  <c r="R93" i="1"/>
  <c r="R94" i="1"/>
  <c r="R95" i="1"/>
  <c r="R96" i="1"/>
  <c r="R97" i="1"/>
  <c r="R99" i="1"/>
  <c r="R101" i="1"/>
  <c r="R102" i="1"/>
  <c r="R103" i="1"/>
  <c r="R104" i="1"/>
  <c r="R105" i="1"/>
  <c r="R106" i="1"/>
  <c r="R108" i="1"/>
  <c r="R109" i="1"/>
  <c r="R110" i="1"/>
  <c r="R111" i="1"/>
  <c r="R114" i="1"/>
  <c r="R116" i="1"/>
  <c r="R117" i="1"/>
  <c r="R120" i="1"/>
  <c r="R121" i="1"/>
  <c r="R122" i="1"/>
  <c r="R124" i="1"/>
  <c r="R125" i="1"/>
  <c r="R126" i="1"/>
  <c r="R127" i="1"/>
  <c r="R129" i="1"/>
  <c r="R133" i="1"/>
  <c r="R134" i="1"/>
  <c r="R135" i="1"/>
  <c r="R136" i="1"/>
  <c r="R137" i="1"/>
  <c r="R138" i="1"/>
  <c r="R139" i="1"/>
  <c r="R140" i="1"/>
  <c r="R141" i="1"/>
  <c r="R142" i="1"/>
  <c r="R143" i="1"/>
  <c r="R144" i="1"/>
  <c r="R145" i="1"/>
  <c r="R146" i="1"/>
  <c r="R147" i="1"/>
  <c r="R148" i="1"/>
  <c r="R149" i="1"/>
  <c r="R150" i="1"/>
  <c r="R151" i="1"/>
  <c r="R152" i="1"/>
  <c r="R153" i="1"/>
  <c r="R157" i="1"/>
  <c r="R158" i="1"/>
  <c r="R159" i="1"/>
  <c r="R160" i="1"/>
  <c r="R161" i="1"/>
  <c r="R162" i="1"/>
  <c r="R163" i="1"/>
  <c r="R164" i="1"/>
  <c r="R165" i="1"/>
  <c r="R166" i="1"/>
  <c r="R167" i="1"/>
  <c r="R169" i="1"/>
  <c r="R170" i="1"/>
  <c r="R171" i="1"/>
  <c r="R172" i="1"/>
  <c r="R173" i="1"/>
  <c r="R174" i="1"/>
  <c r="R176" i="1"/>
  <c r="R180" i="1"/>
  <c r="R181" i="1"/>
  <c r="R183" i="1"/>
  <c r="R184" i="1"/>
  <c r="R185" i="1"/>
  <c r="R186" i="1"/>
  <c r="R188" i="1"/>
  <c r="R189" i="1"/>
  <c r="R190" i="1"/>
  <c r="R191" i="1"/>
  <c r="R192" i="1"/>
  <c r="R194" i="1"/>
  <c r="R195" i="1"/>
  <c r="R196" i="1"/>
  <c r="R198" i="1"/>
  <c r="R199" i="1"/>
  <c r="R201" i="1"/>
  <c r="R202" i="1"/>
  <c r="R203" i="1"/>
  <c r="R207" i="1"/>
  <c r="R208" i="1"/>
  <c r="R209" i="1"/>
  <c r="R210" i="1"/>
  <c r="R213" i="1"/>
  <c r="R214" i="1"/>
  <c r="R216" i="1"/>
  <c r="R217" i="1"/>
  <c r="R218" i="1"/>
  <c r="R45" i="1"/>
  <c r="R49" i="1"/>
  <c r="R51" i="1"/>
  <c r="R64" i="1"/>
  <c r="R65" i="1"/>
  <c r="R67" i="1"/>
  <c r="R70" i="1"/>
  <c r="R71" i="1"/>
  <c r="R74" i="1"/>
  <c r="R81" i="1"/>
  <c r="R82" i="1"/>
  <c r="R83" i="1"/>
  <c r="R84" i="1"/>
  <c r="R85" i="1"/>
  <c r="R88" i="1"/>
  <c r="R90" i="1"/>
  <c r="R91" i="1"/>
  <c r="R98" i="1"/>
  <c r="R100" i="1"/>
  <c r="R107" i="1"/>
  <c r="R112" i="1"/>
  <c r="R113" i="1"/>
  <c r="R115" i="1"/>
  <c r="R118" i="1"/>
  <c r="R119" i="1"/>
  <c r="R123" i="1"/>
  <c r="R128" i="1"/>
  <c r="R130" i="1"/>
  <c r="R131" i="1"/>
  <c r="R132" i="1"/>
  <c r="R154" i="1"/>
  <c r="R155" i="1"/>
  <c r="R156" i="1"/>
  <c r="R168" i="1"/>
  <c r="R175" i="1"/>
  <c r="R177" i="1"/>
  <c r="R178" i="1"/>
  <c r="R179" i="1"/>
  <c r="R182" i="1"/>
  <c r="R187" i="1"/>
  <c r="R193" i="1"/>
  <c r="R197" i="1"/>
  <c r="R200" i="1"/>
  <c r="R204" i="1"/>
  <c r="R205" i="1"/>
  <c r="R206" i="1"/>
  <c r="R211" i="1"/>
  <c r="R212" i="1"/>
  <c r="R215" i="1"/>
  <c r="Q43" i="1"/>
  <c r="Q44" i="1"/>
  <c r="Q46" i="1"/>
  <c r="Q47" i="1"/>
  <c r="Q48" i="1"/>
  <c r="Q50" i="1"/>
  <c r="Q52" i="1"/>
  <c r="Q53" i="1"/>
  <c r="Q54" i="1"/>
  <c r="Q55" i="1"/>
  <c r="Q56" i="1"/>
  <c r="Q57" i="1"/>
  <c r="Q58" i="1"/>
  <c r="Q59" i="1"/>
  <c r="Q60" i="1"/>
  <c r="Q61" i="1"/>
  <c r="Q62" i="1"/>
  <c r="Q63" i="1"/>
  <c r="Q66" i="1"/>
  <c r="Q68" i="1"/>
  <c r="Q69" i="1"/>
  <c r="Q72" i="1"/>
  <c r="Q73" i="1"/>
  <c r="Q75" i="1"/>
  <c r="Q76" i="1"/>
  <c r="Q77" i="1"/>
  <c r="Q78" i="1"/>
  <c r="Q79" i="1"/>
  <c r="Q80" i="1"/>
  <c r="Q86" i="1"/>
  <c r="Q87" i="1"/>
  <c r="Q89" i="1"/>
  <c r="Q92" i="1"/>
  <c r="Q93" i="1"/>
  <c r="Q94" i="1"/>
  <c r="Q95" i="1"/>
  <c r="Q96" i="1"/>
  <c r="Q97" i="1"/>
  <c r="Q99" i="1"/>
  <c r="Q101" i="1"/>
  <c r="Q102" i="1"/>
  <c r="Q103" i="1"/>
  <c r="Q104" i="1"/>
  <c r="Q105" i="1"/>
  <c r="Q106" i="1"/>
  <c r="Q108" i="1"/>
  <c r="Q109" i="1"/>
  <c r="Q110" i="1"/>
  <c r="Q111" i="1"/>
  <c r="Q114" i="1"/>
  <c r="Q116" i="1"/>
  <c r="Q117" i="1"/>
  <c r="Q120" i="1"/>
  <c r="Q121" i="1"/>
  <c r="Q122" i="1"/>
  <c r="Q124" i="1"/>
  <c r="Q125" i="1"/>
  <c r="Q126" i="1"/>
  <c r="Q127" i="1"/>
  <c r="Q129" i="1"/>
  <c r="Q133" i="1"/>
  <c r="Q134" i="1"/>
  <c r="Q135" i="1"/>
  <c r="Q136" i="1"/>
  <c r="Q137" i="1"/>
  <c r="Q138" i="1"/>
  <c r="Q139" i="1"/>
  <c r="Q140" i="1"/>
  <c r="Q141" i="1"/>
  <c r="Q142" i="1"/>
  <c r="Q143" i="1"/>
  <c r="Q144" i="1"/>
  <c r="Q145" i="1"/>
  <c r="Q146" i="1"/>
  <c r="Q147" i="1"/>
  <c r="Q148" i="1"/>
  <c r="Q149" i="1"/>
  <c r="Q150" i="1"/>
  <c r="Q151" i="1"/>
  <c r="Q152" i="1"/>
  <c r="Q153" i="1"/>
  <c r="Q157" i="1"/>
  <c r="Q158" i="1"/>
  <c r="Q159" i="1"/>
  <c r="Q160" i="1"/>
  <c r="Q161" i="1"/>
  <c r="Q162" i="1"/>
  <c r="Q163" i="1"/>
  <c r="Q164" i="1"/>
  <c r="Q165" i="1"/>
  <c r="Q166" i="1"/>
  <c r="Q167" i="1"/>
  <c r="Q169" i="1"/>
  <c r="Q170" i="1"/>
  <c r="Q171" i="1"/>
  <c r="Q172" i="1"/>
  <c r="Q173" i="1"/>
  <c r="Q174" i="1"/>
  <c r="Q176" i="1"/>
  <c r="Q180" i="1"/>
  <c r="Q181" i="1"/>
  <c r="Q183" i="1"/>
  <c r="Q184" i="1"/>
  <c r="Q185" i="1"/>
  <c r="Q186" i="1"/>
  <c r="Q188" i="1"/>
  <c r="Q189" i="1"/>
  <c r="Q190" i="1"/>
  <c r="Q191" i="1"/>
  <c r="Q192" i="1"/>
  <c r="Q194" i="1"/>
  <c r="Q195" i="1"/>
  <c r="Q196" i="1"/>
  <c r="Q198" i="1"/>
  <c r="Q199" i="1"/>
  <c r="Q201" i="1"/>
  <c r="Q202" i="1"/>
  <c r="Q203" i="1"/>
  <c r="Q207" i="1"/>
  <c r="Q208" i="1"/>
  <c r="Q209" i="1"/>
  <c r="Q210" i="1"/>
  <c r="Q213" i="1"/>
  <c r="Q214" i="1"/>
  <c r="Q216" i="1"/>
  <c r="Q217" i="1"/>
  <c r="Q218" i="1"/>
  <c r="Q45" i="1"/>
  <c r="Q49" i="1"/>
  <c r="Q51" i="1"/>
  <c r="Q64" i="1"/>
  <c r="Q65" i="1"/>
  <c r="Q67" i="1"/>
  <c r="Q70" i="1"/>
  <c r="Q71" i="1"/>
  <c r="Q74" i="1"/>
  <c r="Q81" i="1"/>
  <c r="Q82" i="1"/>
  <c r="Q83" i="1"/>
  <c r="Q84" i="1"/>
  <c r="Q85" i="1"/>
  <c r="Q88" i="1"/>
  <c r="Q90" i="1"/>
  <c r="Q91" i="1"/>
  <c r="Q98" i="1"/>
  <c r="Q100" i="1"/>
  <c r="Q107" i="1"/>
  <c r="Q112" i="1"/>
  <c r="Q113" i="1"/>
  <c r="Q115" i="1"/>
  <c r="Q118" i="1"/>
  <c r="Q119" i="1"/>
  <c r="Q123" i="1"/>
  <c r="Q128" i="1"/>
  <c r="Q130" i="1"/>
  <c r="Q131" i="1"/>
  <c r="Q132" i="1"/>
  <c r="Q154" i="1"/>
  <c r="Q155" i="1"/>
  <c r="Q156" i="1"/>
  <c r="Q168" i="1"/>
  <c r="Q175" i="1"/>
  <c r="Q177" i="1"/>
  <c r="Q178" i="1"/>
  <c r="Q179" i="1"/>
  <c r="Q182" i="1"/>
  <c r="Q187" i="1"/>
  <c r="Q193" i="1"/>
  <c r="Q197" i="1"/>
  <c r="Q200" i="1"/>
  <c r="Q204" i="1"/>
  <c r="Q205" i="1"/>
  <c r="Q206" i="1"/>
  <c r="Q211" i="1"/>
  <c r="Q212" i="1"/>
  <c r="Q215" i="1"/>
  <c r="P43" i="1"/>
  <c r="P44" i="1"/>
  <c r="P46" i="1"/>
  <c r="P47" i="1"/>
  <c r="P48" i="1"/>
  <c r="P50" i="1"/>
  <c r="P52" i="1"/>
  <c r="P53" i="1"/>
  <c r="P54" i="1"/>
  <c r="P55" i="1"/>
  <c r="P56" i="1"/>
  <c r="P57" i="1"/>
  <c r="P58" i="1"/>
  <c r="P59" i="1"/>
  <c r="P60" i="1"/>
  <c r="P61" i="1"/>
  <c r="P62" i="1"/>
  <c r="P63" i="1"/>
  <c r="P66" i="1"/>
  <c r="P68" i="1"/>
  <c r="P69" i="1"/>
  <c r="P72" i="1"/>
  <c r="P73" i="1"/>
  <c r="P75" i="1"/>
  <c r="P76" i="1"/>
  <c r="P77" i="1"/>
  <c r="P78" i="1"/>
  <c r="P79" i="1"/>
  <c r="P80" i="1"/>
  <c r="P86" i="1"/>
  <c r="P87" i="1"/>
  <c r="P89" i="1"/>
  <c r="P92" i="1"/>
  <c r="P93" i="1"/>
  <c r="P94" i="1"/>
  <c r="P95" i="1"/>
  <c r="P96" i="1"/>
  <c r="P97" i="1"/>
  <c r="P99" i="1"/>
  <c r="P101" i="1"/>
  <c r="P102" i="1"/>
  <c r="P103" i="1"/>
  <c r="P104" i="1"/>
  <c r="P105" i="1"/>
  <c r="P106" i="1"/>
  <c r="P108" i="1"/>
  <c r="P109" i="1"/>
  <c r="P110" i="1"/>
  <c r="P111" i="1"/>
  <c r="P114" i="1"/>
  <c r="P116" i="1"/>
  <c r="P117" i="1"/>
  <c r="P120" i="1"/>
  <c r="P121" i="1"/>
  <c r="P122" i="1"/>
  <c r="P124" i="1"/>
  <c r="P125" i="1"/>
  <c r="P126" i="1"/>
  <c r="P127" i="1"/>
  <c r="P129" i="1"/>
  <c r="P133" i="1"/>
  <c r="P134" i="1"/>
  <c r="P135" i="1"/>
  <c r="P136" i="1"/>
  <c r="P137" i="1"/>
  <c r="P138" i="1"/>
  <c r="P139" i="1"/>
  <c r="P140" i="1"/>
  <c r="P141" i="1"/>
  <c r="P142" i="1"/>
  <c r="P143" i="1"/>
  <c r="P144" i="1"/>
  <c r="P145" i="1"/>
  <c r="P146" i="1"/>
  <c r="P147" i="1"/>
  <c r="P148" i="1"/>
  <c r="P149" i="1"/>
  <c r="P150" i="1"/>
  <c r="P151" i="1"/>
  <c r="P152" i="1"/>
  <c r="P153" i="1"/>
  <c r="P157" i="1"/>
  <c r="P158" i="1"/>
  <c r="P159" i="1"/>
  <c r="P160" i="1"/>
  <c r="P161" i="1"/>
  <c r="P162" i="1"/>
  <c r="P163" i="1"/>
  <c r="P164" i="1"/>
  <c r="P165" i="1"/>
  <c r="P166" i="1"/>
  <c r="P167" i="1"/>
  <c r="P169" i="1"/>
  <c r="P170" i="1"/>
  <c r="P171" i="1"/>
  <c r="P172" i="1"/>
  <c r="P173" i="1"/>
  <c r="P174" i="1"/>
  <c r="P176" i="1"/>
  <c r="P180" i="1"/>
  <c r="P181" i="1"/>
  <c r="P183" i="1"/>
  <c r="P184" i="1"/>
  <c r="P185" i="1"/>
  <c r="P186" i="1"/>
  <c r="P188" i="1"/>
  <c r="P189" i="1"/>
  <c r="P190" i="1"/>
  <c r="P191" i="1"/>
  <c r="P192" i="1"/>
  <c r="P194" i="1"/>
  <c r="P195" i="1"/>
  <c r="P196" i="1"/>
  <c r="P198" i="1"/>
  <c r="P199" i="1"/>
  <c r="P201" i="1"/>
  <c r="P202" i="1"/>
  <c r="P203" i="1"/>
  <c r="P207" i="1"/>
  <c r="P208" i="1"/>
  <c r="P209" i="1"/>
  <c r="P210" i="1"/>
  <c r="P213" i="1"/>
  <c r="P214" i="1"/>
  <c r="P216" i="1"/>
  <c r="P217" i="1"/>
  <c r="P218" i="1"/>
  <c r="P45" i="1"/>
  <c r="P49" i="1"/>
  <c r="P51" i="1"/>
  <c r="P64" i="1"/>
  <c r="P65" i="1"/>
  <c r="P67" i="1"/>
  <c r="P70" i="1"/>
  <c r="P71" i="1"/>
  <c r="P74" i="1"/>
  <c r="P81" i="1"/>
  <c r="P82" i="1"/>
  <c r="P83" i="1"/>
  <c r="P84" i="1"/>
  <c r="P85" i="1"/>
  <c r="P88" i="1"/>
  <c r="P90" i="1"/>
  <c r="P91" i="1"/>
  <c r="P98" i="1"/>
  <c r="P100" i="1"/>
  <c r="P107" i="1"/>
  <c r="P112" i="1"/>
  <c r="P113" i="1"/>
  <c r="P115" i="1"/>
  <c r="P118" i="1"/>
  <c r="P119" i="1"/>
  <c r="P123" i="1"/>
  <c r="P128" i="1"/>
  <c r="P130" i="1"/>
  <c r="P131" i="1"/>
  <c r="P132" i="1"/>
  <c r="P154" i="1"/>
  <c r="P155" i="1"/>
  <c r="P156" i="1"/>
  <c r="P168" i="1"/>
  <c r="P175" i="1"/>
  <c r="P177" i="1"/>
  <c r="P178" i="1"/>
  <c r="P179" i="1"/>
  <c r="P182" i="1"/>
  <c r="P187" i="1"/>
  <c r="P193" i="1"/>
  <c r="P197" i="1"/>
  <c r="P200" i="1"/>
  <c r="P204" i="1"/>
  <c r="P205" i="1"/>
  <c r="P206" i="1"/>
  <c r="P211" i="1"/>
  <c r="P212" i="1"/>
  <c r="P215" i="1"/>
  <c r="O43" i="1"/>
  <c r="O44" i="1"/>
  <c r="O46" i="1"/>
  <c r="O47" i="1"/>
  <c r="O48" i="1"/>
  <c r="O50" i="1"/>
  <c r="O52" i="1"/>
  <c r="O53" i="1"/>
  <c r="O54" i="1"/>
  <c r="O55" i="1"/>
  <c r="O56" i="1"/>
  <c r="O57" i="1"/>
  <c r="O58" i="1"/>
  <c r="O59" i="1"/>
  <c r="O60" i="1"/>
  <c r="O61" i="1"/>
  <c r="O62" i="1"/>
  <c r="O63" i="1"/>
  <c r="O66" i="1"/>
  <c r="O68" i="1"/>
  <c r="O69" i="1"/>
  <c r="O72" i="1"/>
  <c r="O73" i="1"/>
  <c r="O75" i="1"/>
  <c r="O76" i="1"/>
  <c r="O77" i="1"/>
  <c r="O78" i="1"/>
  <c r="O79" i="1"/>
  <c r="O80" i="1"/>
  <c r="O86" i="1"/>
  <c r="O87" i="1"/>
  <c r="O89" i="1"/>
  <c r="O92" i="1"/>
  <c r="O93" i="1"/>
  <c r="O94" i="1"/>
  <c r="O95" i="1"/>
  <c r="O96" i="1"/>
  <c r="O97" i="1"/>
  <c r="O99" i="1"/>
  <c r="O101" i="1"/>
  <c r="O102" i="1"/>
  <c r="O103" i="1"/>
  <c r="O104" i="1"/>
  <c r="O105" i="1"/>
  <c r="O106" i="1"/>
  <c r="O108" i="1"/>
  <c r="O109" i="1"/>
  <c r="O110" i="1"/>
  <c r="O111" i="1"/>
  <c r="O114" i="1"/>
  <c r="O116" i="1"/>
  <c r="O117" i="1"/>
  <c r="O120" i="1"/>
  <c r="O121" i="1"/>
  <c r="O122" i="1"/>
  <c r="O124" i="1"/>
  <c r="O125" i="1"/>
  <c r="O126" i="1"/>
  <c r="O127" i="1"/>
  <c r="O129" i="1"/>
  <c r="O133" i="1"/>
  <c r="O134" i="1"/>
  <c r="O135" i="1"/>
  <c r="O136" i="1"/>
  <c r="O137" i="1"/>
  <c r="O138" i="1"/>
  <c r="O139" i="1"/>
  <c r="O140" i="1"/>
  <c r="O141" i="1"/>
  <c r="O142" i="1"/>
  <c r="O143" i="1"/>
  <c r="O144" i="1"/>
  <c r="O145" i="1"/>
  <c r="O146" i="1"/>
  <c r="O147" i="1"/>
  <c r="O148" i="1"/>
  <c r="O149" i="1"/>
  <c r="O150" i="1"/>
  <c r="O151" i="1"/>
  <c r="O152" i="1"/>
  <c r="O153" i="1"/>
  <c r="O157" i="1"/>
  <c r="O158" i="1"/>
  <c r="O159" i="1"/>
  <c r="O160" i="1"/>
  <c r="O161" i="1"/>
  <c r="O162" i="1"/>
  <c r="O163" i="1"/>
  <c r="O164" i="1"/>
  <c r="O165" i="1"/>
  <c r="O166" i="1"/>
  <c r="O167" i="1"/>
  <c r="O169" i="1"/>
  <c r="O170" i="1"/>
  <c r="O171" i="1"/>
  <c r="O172" i="1"/>
  <c r="O173" i="1"/>
  <c r="O174" i="1"/>
  <c r="O176" i="1"/>
  <c r="O180" i="1"/>
  <c r="O181" i="1"/>
  <c r="O183" i="1"/>
  <c r="O184" i="1"/>
  <c r="O185" i="1"/>
  <c r="O186" i="1"/>
  <c r="O188" i="1"/>
  <c r="O189" i="1"/>
  <c r="O190" i="1"/>
  <c r="O191" i="1"/>
  <c r="O192" i="1"/>
  <c r="O194" i="1"/>
  <c r="O195" i="1"/>
  <c r="O196" i="1"/>
  <c r="O198" i="1"/>
  <c r="O199" i="1"/>
  <c r="O201" i="1"/>
  <c r="O202" i="1"/>
  <c r="O203" i="1"/>
  <c r="O207" i="1"/>
  <c r="O208" i="1"/>
  <c r="O209" i="1"/>
  <c r="O210" i="1"/>
  <c r="O213" i="1"/>
  <c r="O214" i="1"/>
  <c r="O216" i="1"/>
  <c r="O217" i="1"/>
  <c r="O218" i="1"/>
  <c r="O45" i="1"/>
  <c r="O49" i="1"/>
  <c r="O51" i="1"/>
  <c r="O64" i="1"/>
  <c r="O65" i="1"/>
  <c r="O67" i="1"/>
  <c r="O70" i="1"/>
  <c r="O71" i="1"/>
  <c r="O74" i="1"/>
  <c r="O81" i="1"/>
  <c r="O82" i="1"/>
  <c r="O83" i="1"/>
  <c r="O84" i="1"/>
  <c r="O85" i="1"/>
  <c r="O88" i="1"/>
  <c r="O90" i="1"/>
  <c r="O91" i="1"/>
  <c r="O98" i="1"/>
  <c r="O100" i="1"/>
  <c r="O107" i="1"/>
  <c r="O112" i="1"/>
  <c r="O113" i="1"/>
  <c r="O115" i="1"/>
  <c r="O118" i="1"/>
  <c r="O119" i="1"/>
  <c r="O123" i="1"/>
  <c r="O128" i="1"/>
  <c r="O130" i="1"/>
  <c r="O131" i="1"/>
  <c r="O132" i="1"/>
  <c r="O154" i="1"/>
  <c r="O155" i="1"/>
  <c r="O156" i="1"/>
  <c r="O168" i="1"/>
  <c r="O175" i="1"/>
  <c r="O177" i="1"/>
  <c r="O178" i="1"/>
  <c r="O179" i="1"/>
  <c r="O182" i="1"/>
  <c r="O187" i="1"/>
  <c r="O193" i="1"/>
  <c r="O197" i="1"/>
  <c r="O200" i="1"/>
  <c r="O204" i="1"/>
  <c r="O205" i="1"/>
  <c r="O206" i="1"/>
  <c r="O211" i="1"/>
  <c r="O212" i="1"/>
  <c r="O215" i="1"/>
  <c r="N43" i="1"/>
  <c r="N44" i="1"/>
  <c r="N46" i="1"/>
  <c r="N47" i="1"/>
  <c r="N48" i="1"/>
  <c r="N50" i="1"/>
  <c r="N52" i="1"/>
  <c r="N53" i="1"/>
  <c r="N54" i="1"/>
  <c r="N55" i="1"/>
  <c r="N56" i="1"/>
  <c r="N57" i="1"/>
  <c r="N58" i="1"/>
  <c r="N59" i="1"/>
  <c r="N60" i="1"/>
  <c r="N61" i="1"/>
  <c r="N62" i="1"/>
  <c r="N63" i="1"/>
  <c r="N66" i="1"/>
  <c r="N68" i="1"/>
  <c r="N69" i="1"/>
  <c r="N72" i="1"/>
  <c r="N73" i="1"/>
  <c r="N75" i="1"/>
  <c r="N76" i="1"/>
  <c r="N77" i="1"/>
  <c r="N78" i="1"/>
  <c r="N79" i="1"/>
  <c r="N80" i="1"/>
  <c r="N86" i="1"/>
  <c r="N87" i="1"/>
  <c r="N89" i="1"/>
  <c r="N92" i="1"/>
  <c r="N93" i="1"/>
  <c r="N94" i="1"/>
  <c r="N95" i="1"/>
  <c r="N96" i="1"/>
  <c r="N97" i="1"/>
  <c r="N99" i="1"/>
  <c r="N101" i="1"/>
  <c r="N102" i="1"/>
  <c r="N103" i="1"/>
  <c r="N104" i="1"/>
  <c r="N105" i="1"/>
  <c r="N106" i="1"/>
  <c r="N108" i="1"/>
  <c r="N109" i="1"/>
  <c r="N110" i="1"/>
  <c r="N111" i="1"/>
  <c r="N114" i="1"/>
  <c r="N116" i="1"/>
  <c r="N117" i="1"/>
  <c r="N120" i="1"/>
  <c r="N121" i="1"/>
  <c r="N122" i="1"/>
  <c r="N124" i="1"/>
  <c r="N125" i="1"/>
  <c r="N126" i="1"/>
  <c r="N127" i="1"/>
  <c r="N129" i="1"/>
  <c r="N133" i="1"/>
  <c r="N134" i="1"/>
  <c r="N135" i="1"/>
  <c r="N136" i="1"/>
  <c r="N137" i="1"/>
  <c r="N138" i="1"/>
  <c r="N139" i="1"/>
  <c r="N140" i="1"/>
  <c r="N141" i="1"/>
  <c r="N142" i="1"/>
  <c r="N143" i="1"/>
  <c r="N144" i="1"/>
  <c r="N145" i="1"/>
  <c r="N146" i="1"/>
  <c r="N147" i="1"/>
  <c r="N148" i="1"/>
  <c r="N149" i="1"/>
  <c r="N150" i="1"/>
  <c r="N151" i="1"/>
  <c r="N152" i="1"/>
  <c r="N153" i="1"/>
  <c r="N157" i="1"/>
  <c r="N158" i="1"/>
  <c r="N159" i="1"/>
  <c r="N160" i="1"/>
  <c r="N161" i="1"/>
  <c r="N162" i="1"/>
  <c r="N163" i="1"/>
  <c r="N164" i="1"/>
  <c r="N165" i="1"/>
  <c r="N166" i="1"/>
  <c r="N167" i="1"/>
  <c r="N169" i="1"/>
  <c r="N170" i="1"/>
  <c r="N171" i="1"/>
  <c r="N172" i="1"/>
  <c r="N173" i="1"/>
  <c r="N174" i="1"/>
  <c r="N176" i="1"/>
  <c r="N180" i="1"/>
  <c r="N181" i="1"/>
  <c r="N183" i="1"/>
  <c r="N184" i="1"/>
  <c r="N185" i="1"/>
  <c r="N186" i="1"/>
  <c r="N188" i="1"/>
  <c r="N189" i="1"/>
  <c r="N190" i="1"/>
  <c r="N191" i="1"/>
  <c r="N192" i="1"/>
  <c r="N194" i="1"/>
  <c r="N195" i="1"/>
  <c r="N196" i="1"/>
  <c r="N198" i="1"/>
  <c r="N199" i="1"/>
  <c r="N201" i="1"/>
  <c r="N202" i="1"/>
  <c r="N203" i="1"/>
  <c r="N207" i="1"/>
  <c r="N208" i="1"/>
  <c r="N209" i="1"/>
  <c r="N210" i="1"/>
  <c r="N213" i="1"/>
  <c r="N214" i="1"/>
  <c r="N216" i="1"/>
  <c r="N217" i="1"/>
  <c r="N218" i="1"/>
  <c r="N45" i="1"/>
  <c r="N49" i="1"/>
  <c r="N51" i="1"/>
  <c r="N64" i="1"/>
  <c r="N65" i="1"/>
  <c r="N67" i="1"/>
  <c r="N70" i="1"/>
  <c r="N71" i="1"/>
  <c r="N74" i="1"/>
  <c r="N81" i="1"/>
  <c r="N82" i="1"/>
  <c r="N83" i="1"/>
  <c r="N84" i="1"/>
  <c r="N85" i="1"/>
  <c r="N88" i="1"/>
  <c r="N90" i="1"/>
  <c r="N91" i="1"/>
  <c r="N98" i="1"/>
  <c r="N100" i="1"/>
  <c r="N107" i="1"/>
  <c r="N112" i="1"/>
  <c r="N113" i="1"/>
  <c r="N115" i="1"/>
  <c r="N118" i="1"/>
  <c r="N119" i="1"/>
  <c r="N123" i="1"/>
  <c r="N128" i="1"/>
  <c r="N130" i="1"/>
  <c r="N131" i="1"/>
  <c r="N132" i="1"/>
  <c r="N154" i="1"/>
  <c r="N155" i="1"/>
  <c r="N156" i="1"/>
  <c r="N168" i="1"/>
  <c r="N175" i="1"/>
  <c r="N177" i="1"/>
  <c r="N178" i="1"/>
  <c r="N179" i="1"/>
  <c r="N182" i="1"/>
  <c r="N187" i="1"/>
  <c r="N193" i="1"/>
  <c r="N197" i="1"/>
  <c r="N200" i="1"/>
  <c r="N204" i="1"/>
  <c r="N205" i="1"/>
  <c r="N206" i="1"/>
  <c r="N211" i="1"/>
  <c r="N212" i="1"/>
  <c r="N215" i="1"/>
  <c r="CS4" i="4" l="1"/>
  <c r="CK36" i="4"/>
  <c r="GX35" i="4"/>
  <c r="HA35" i="4"/>
  <c r="HI35" i="4" s="1"/>
  <c r="HO35" i="4" s="1"/>
  <c r="HA24" i="4"/>
  <c r="HI24" i="4" s="1"/>
  <c r="HO24" i="4" s="1"/>
  <c r="GX24" i="4"/>
  <c r="GX33" i="4"/>
  <c r="HA33" i="4"/>
  <c r="HI33" i="4" s="1"/>
  <c r="HO33" i="4" s="1"/>
  <c r="GX32" i="4"/>
  <c r="HA32" i="4"/>
  <c r="HI32" i="4" s="1"/>
  <c r="HO32" i="4" s="1"/>
  <c r="GX23" i="4"/>
  <c r="HA23" i="4"/>
  <c r="HI23" i="4" s="1"/>
  <c r="HO23" i="4" s="1"/>
  <c r="GX31" i="4"/>
  <c r="HA31" i="4"/>
  <c r="HI31" i="4" s="1"/>
  <c r="HO31" i="4" s="1"/>
  <c r="HA34" i="4"/>
  <c r="HI34" i="4" s="1"/>
  <c r="HO34" i="4" s="1"/>
  <c r="GX34" i="4"/>
  <c r="FW12" i="4"/>
  <c r="DW22" i="4"/>
  <c r="DL22" i="4"/>
  <c r="S14" i="4"/>
  <c r="AH5" i="3"/>
  <c r="AG5" i="3"/>
  <c r="AH6" i="3"/>
  <c r="AF4" i="3"/>
  <c r="C6" i="3"/>
  <c r="AE3" i="3"/>
  <c r="I4" i="3"/>
  <c r="E6" i="3"/>
  <c r="Q4" i="3"/>
  <c r="K6" i="3"/>
  <c r="Y4" i="3"/>
  <c r="M6" i="3"/>
  <c r="AG4" i="3"/>
  <c r="S6" i="3"/>
  <c r="J5" i="3"/>
  <c r="U6" i="3"/>
  <c r="R5" i="3"/>
  <c r="AA6" i="3"/>
  <c r="Z5" i="3"/>
  <c r="AC6" i="3"/>
  <c r="C5" i="3"/>
  <c r="I3" i="3"/>
  <c r="Q3" i="3"/>
  <c r="Y3" i="3"/>
  <c r="AG3" i="3"/>
  <c r="J4" i="3"/>
  <c r="R4" i="3"/>
  <c r="Z4" i="3"/>
  <c r="AH4" i="3"/>
  <c r="K5" i="3"/>
  <c r="S5" i="3"/>
  <c r="AA5" i="3"/>
  <c r="D6" i="3"/>
  <c r="L6" i="3"/>
  <c r="T6" i="3"/>
  <c r="AB6" i="3"/>
  <c r="C3" i="3"/>
  <c r="K3" i="3"/>
  <c r="S3" i="3"/>
  <c r="AA3" i="3"/>
  <c r="D4" i="3"/>
  <c r="L4" i="3"/>
  <c r="T4" i="3"/>
  <c r="AB4" i="3"/>
  <c r="E5" i="3"/>
  <c r="M5" i="3"/>
  <c r="U5" i="3"/>
  <c r="AC5" i="3"/>
  <c r="F6" i="3"/>
  <c r="N6" i="3"/>
  <c r="V6" i="3"/>
  <c r="AD6" i="3"/>
  <c r="H3" i="3"/>
  <c r="P3" i="3"/>
  <c r="X3" i="3"/>
  <c r="AF3" i="3"/>
  <c r="D3" i="3"/>
  <c r="L3" i="3"/>
  <c r="T3" i="3"/>
  <c r="AB3" i="3"/>
  <c r="E4" i="3"/>
  <c r="M4" i="3"/>
  <c r="U4" i="3"/>
  <c r="AC4" i="3"/>
  <c r="F5" i="3"/>
  <c r="N5" i="3"/>
  <c r="V5" i="3"/>
  <c r="AD5" i="3"/>
  <c r="G6" i="3"/>
  <c r="O6" i="3"/>
  <c r="W6" i="3"/>
  <c r="AE6" i="3"/>
  <c r="C4" i="3"/>
  <c r="J3" i="3"/>
  <c r="R3" i="3"/>
  <c r="Z3" i="3"/>
  <c r="AH3" i="3"/>
  <c r="K4" i="3"/>
  <c r="S4" i="3"/>
  <c r="AA4" i="3"/>
  <c r="D5" i="3"/>
  <c r="L5" i="3"/>
  <c r="T5" i="3"/>
  <c r="AB5" i="3"/>
  <c r="E3" i="3"/>
  <c r="M3" i="3"/>
  <c r="U3" i="3"/>
  <c r="AC3" i="3"/>
  <c r="F4" i="3"/>
  <c r="N4" i="3"/>
  <c r="V4" i="3"/>
  <c r="AD4" i="3"/>
  <c r="G5" i="3"/>
  <c r="O5" i="3"/>
  <c r="W5" i="3"/>
  <c r="AE5" i="3"/>
  <c r="H6" i="3"/>
  <c r="P6" i="3"/>
  <c r="X6" i="3"/>
  <c r="AF6" i="3"/>
  <c r="F3" i="3"/>
  <c r="N3" i="3"/>
  <c r="V3" i="3"/>
  <c r="AD3" i="3"/>
  <c r="G4" i="3"/>
  <c r="O4" i="3"/>
  <c r="W4" i="3"/>
  <c r="AE4" i="3"/>
  <c r="H5" i="3"/>
  <c r="P5" i="3"/>
  <c r="X5" i="3"/>
  <c r="AF5" i="3"/>
  <c r="I6" i="3"/>
  <c r="Q6" i="3"/>
  <c r="Y6" i="3"/>
  <c r="AG6" i="3"/>
  <c r="G3" i="3"/>
  <c r="O3" i="3"/>
  <c r="W3" i="3"/>
  <c r="H4" i="3"/>
  <c r="P4" i="3"/>
  <c r="X4" i="3"/>
  <c r="I5" i="3"/>
  <c r="Q5" i="3"/>
  <c r="Y5" i="3"/>
  <c r="J6" i="3"/>
  <c r="R6" i="3"/>
  <c r="Z6" i="3"/>
  <c r="CW17" i="4"/>
  <c r="BS24" i="4"/>
  <c r="AO7" i="4"/>
  <c r="K20" i="4"/>
  <c r="K35" i="4"/>
  <c r="K11" i="4"/>
  <c r="BS32" i="4"/>
  <c r="AO14" i="4"/>
  <c r="CW12" i="4"/>
  <c r="AO20" i="4"/>
  <c r="AO19" i="4"/>
  <c r="BS20" i="4"/>
  <c r="AO28" i="4"/>
  <c r="K30" i="4"/>
  <c r="CW13" i="4"/>
  <c r="BS25" i="4"/>
  <c r="AO18" i="4"/>
  <c r="BS26" i="4"/>
  <c r="CW22" i="4"/>
  <c r="CW10" i="4"/>
  <c r="BS7" i="4"/>
  <c r="CW16" i="4"/>
  <c r="AO34" i="4"/>
  <c r="BS4" i="4"/>
  <c r="BS5" i="4"/>
  <c r="K33" i="4"/>
  <c r="CW21" i="4"/>
  <c r="CW6" i="4"/>
  <c r="BS35" i="4"/>
  <c r="K19" i="4"/>
  <c r="AO29" i="4"/>
  <c r="K21" i="4"/>
  <c r="CW28" i="4"/>
  <c r="BS23" i="4"/>
  <c r="CW4" i="4"/>
  <c r="K12" i="4"/>
  <c r="AO17" i="4"/>
  <c r="BS22" i="4"/>
  <c r="AO13" i="4"/>
  <c r="K18" i="4"/>
  <c r="AO25" i="4"/>
  <c r="BS17" i="4"/>
  <c r="K8" i="4"/>
  <c r="K34" i="4"/>
  <c r="K22" i="4"/>
  <c r="AO31" i="4"/>
  <c r="AO5" i="4"/>
  <c r="CW24" i="4"/>
  <c r="CW26" i="4"/>
  <c r="AO21" i="4"/>
  <c r="BS10" i="4"/>
  <c r="K10" i="4"/>
  <c r="AO24" i="4"/>
  <c r="K9" i="4"/>
  <c r="BS11" i="4"/>
  <c r="BS15" i="4"/>
  <c r="K15" i="4"/>
  <c r="AO8" i="4"/>
  <c r="AO35" i="4"/>
  <c r="CW18" i="4"/>
  <c r="K23" i="4"/>
  <c r="K13" i="4"/>
  <c r="BS14" i="4"/>
  <c r="K31" i="4"/>
  <c r="CW32" i="4"/>
  <c r="BS12" i="4"/>
  <c r="BS6" i="4"/>
  <c r="K29" i="4"/>
  <c r="BS33" i="4"/>
  <c r="K32" i="4"/>
  <c r="AO10" i="4"/>
  <c r="AO9" i="4"/>
  <c r="CW31" i="4"/>
  <c r="AO15" i="4"/>
  <c r="CW14" i="4"/>
  <c r="AO11" i="4"/>
  <c r="AO6" i="4"/>
  <c r="AO23" i="4"/>
  <c r="CW15" i="4"/>
  <c r="BS30" i="4"/>
  <c r="K5" i="4"/>
  <c r="CW29" i="4"/>
  <c r="BS9" i="4"/>
  <c r="BS34" i="4"/>
  <c r="BS27" i="4"/>
  <c r="AO4" i="4"/>
  <c r="K4" i="4"/>
  <c r="AO26" i="4"/>
  <c r="CW27" i="4"/>
  <c r="AO32" i="4"/>
  <c r="CW30" i="4"/>
  <c r="K17" i="4"/>
  <c r="CW34" i="4"/>
  <c r="K28" i="4"/>
  <c r="AO30" i="4"/>
  <c r="BS16" i="4"/>
  <c r="CW11" i="4"/>
  <c r="AO27" i="4"/>
  <c r="BS13" i="4"/>
  <c r="CW7" i="4"/>
  <c r="CW19" i="4"/>
  <c r="BS8" i="4"/>
  <c r="K26" i="4"/>
  <c r="CW20" i="4"/>
  <c r="CW9" i="4"/>
  <c r="K7" i="4"/>
  <c r="AO16" i="4"/>
  <c r="K6" i="4"/>
  <c r="BS21" i="4"/>
  <c r="CW23" i="4"/>
  <c r="CW35" i="4"/>
  <c r="CW5" i="4"/>
  <c r="BS31" i="4"/>
  <c r="K25" i="4"/>
  <c r="AO12" i="4"/>
  <c r="K27" i="4"/>
  <c r="BS29" i="4"/>
  <c r="CW25" i="4"/>
  <c r="K14" i="4"/>
  <c r="CW8" i="4"/>
  <c r="BS19" i="4"/>
  <c r="BS18" i="4"/>
  <c r="CW33" i="4"/>
  <c r="BS28" i="4"/>
  <c r="K16" i="4"/>
  <c r="AO22" i="4"/>
  <c r="K24" i="4"/>
  <c r="AO33" i="4"/>
  <c r="CY4" i="4" l="1"/>
  <c r="CS36" i="4"/>
  <c r="IE32" i="4"/>
  <c r="IM32" i="4" s="1"/>
  <c r="IB32" i="4"/>
  <c r="GE12" i="4"/>
  <c r="IE33" i="4"/>
  <c r="IM33" i="4" s="1"/>
  <c r="IB33" i="4"/>
  <c r="IE31" i="4"/>
  <c r="IM31" i="4" s="1"/>
  <c r="IB31" i="4"/>
  <c r="IE34" i="4"/>
  <c r="IM34" i="4" s="1"/>
  <c r="IB34" i="4"/>
  <c r="IB23" i="4"/>
  <c r="IE23" i="4"/>
  <c r="IM23" i="4" s="1"/>
  <c r="IE24" i="4"/>
  <c r="IM24" i="4" s="1"/>
  <c r="IB24" i="4"/>
  <c r="IB35" i="4"/>
  <c r="IE35" i="4"/>
  <c r="IM35" i="4" s="1"/>
  <c r="EC22" i="4"/>
  <c r="AO45" i="4"/>
  <c r="BS45" i="4"/>
  <c r="K45" i="4"/>
  <c r="CW36" i="4"/>
  <c r="CW45" i="4"/>
  <c r="L33" i="4"/>
  <c r="L8" i="4"/>
  <c r="L7" i="4"/>
  <c r="L6" i="4"/>
  <c r="L31" i="4"/>
  <c r="L30" i="4"/>
  <c r="L4" i="4"/>
  <c r="K36" i="4"/>
  <c r="BS36" i="4"/>
  <c r="L13" i="4"/>
  <c r="L26" i="4"/>
  <c r="L28" i="4"/>
  <c r="L9" i="4"/>
  <c r="L18" i="4"/>
  <c r="L20" i="4"/>
  <c r="O20" i="4" s="1"/>
  <c r="L15" i="4"/>
  <c r="L10" i="4"/>
  <c r="L12" i="4"/>
  <c r="L11" i="4"/>
  <c r="AO36" i="4"/>
  <c r="L5" i="4"/>
  <c r="L35" i="4"/>
  <c r="L16" i="4"/>
  <c r="L32" i="4"/>
  <c r="L29" i="4"/>
  <c r="O29" i="4" s="1"/>
  <c r="L34" i="4"/>
  <c r="L27" i="4"/>
  <c r="L25" i="4"/>
  <c r="L14" i="4"/>
  <c r="O14" i="4" s="1"/>
  <c r="L23" i="4"/>
  <c r="L22" i="4"/>
  <c r="L21" i="4"/>
  <c r="L24" i="4"/>
  <c r="L19" i="4"/>
  <c r="L17" i="4"/>
  <c r="O17" i="4" s="1"/>
  <c r="M7" i="3"/>
  <c r="AC7" i="3"/>
  <c r="AH7" i="3"/>
  <c r="S10" i="4"/>
  <c r="S11" i="4"/>
  <c r="S29" i="4"/>
  <c r="AG7" i="3"/>
  <c r="AD7" i="3"/>
  <c r="O7" i="3"/>
  <c r="N7" i="3"/>
  <c r="W7" i="3"/>
  <c r="V7" i="3"/>
  <c r="U7" i="3"/>
  <c r="X7" i="3"/>
  <c r="S7" i="3"/>
  <c r="Q7" i="3"/>
  <c r="AF7" i="3"/>
  <c r="Y7" i="3"/>
  <c r="P7" i="3"/>
  <c r="K7" i="3"/>
  <c r="I7" i="3"/>
  <c r="AE7" i="3"/>
  <c r="D7" i="3"/>
  <c r="G7" i="3"/>
  <c r="F7" i="3"/>
  <c r="E7" i="3"/>
  <c r="H7" i="3"/>
  <c r="C7" i="3"/>
  <c r="AA7" i="3"/>
  <c r="Z7" i="3"/>
  <c r="AB7" i="3"/>
  <c r="R7" i="3"/>
  <c r="T7" i="3"/>
  <c r="J7" i="3"/>
  <c r="L7" i="3"/>
  <c r="AI3" i="3"/>
  <c r="AI5" i="3"/>
  <c r="AI6" i="3"/>
  <c r="AI4" i="3"/>
  <c r="DO4" i="4" l="1"/>
  <c r="CY36" i="4"/>
  <c r="GK12" i="4"/>
  <c r="EP22" i="4"/>
  <c r="ES22" i="4"/>
  <c r="FA22" i="4" s="1"/>
  <c r="FG22" i="4" s="1"/>
  <c r="N25" i="4"/>
  <c r="N19" i="4"/>
  <c r="O19" i="4" s="1"/>
  <c r="N12" i="4"/>
  <c r="O12" i="4" s="1"/>
  <c r="N13" i="4"/>
  <c r="N24" i="4"/>
  <c r="O24" i="4" s="1"/>
  <c r="N10" i="4"/>
  <c r="O10" i="4" s="1"/>
  <c r="N21" i="4"/>
  <c r="N32" i="4"/>
  <c r="O32" i="4" s="1"/>
  <c r="N15" i="4"/>
  <c r="N34" i="4"/>
  <c r="O34" i="4" s="1"/>
  <c r="N8" i="4"/>
  <c r="P29" i="4"/>
  <c r="N29" i="4"/>
  <c r="N22" i="4"/>
  <c r="N16" i="4"/>
  <c r="N20" i="4"/>
  <c r="P20" i="4"/>
  <c r="Q20" i="4" s="1"/>
  <c r="U20" i="4" s="1"/>
  <c r="N4" i="4"/>
  <c r="O4" i="4" s="1"/>
  <c r="L36" i="4"/>
  <c r="N23" i="4"/>
  <c r="O23" i="4" s="1"/>
  <c r="N35" i="4"/>
  <c r="O35" i="4" s="1"/>
  <c r="N18" i="4"/>
  <c r="O18" i="4" s="1"/>
  <c r="N30" i="4"/>
  <c r="O30" i="4" s="1"/>
  <c r="N14" i="4"/>
  <c r="P14" i="4"/>
  <c r="N5" i="4"/>
  <c r="O5" i="4" s="1"/>
  <c r="N9" i="4"/>
  <c r="O9" i="4" s="1"/>
  <c r="N31" i="4"/>
  <c r="O31" i="4" s="1"/>
  <c r="N28" i="4"/>
  <c r="O28" i="4" s="1"/>
  <c r="N6" i="4"/>
  <c r="O6" i="4" s="1"/>
  <c r="N17" i="4"/>
  <c r="P17" i="4"/>
  <c r="Q17" i="4" s="1"/>
  <c r="S17" i="4" s="1"/>
  <c r="T17" i="4" s="1"/>
  <c r="N27" i="4"/>
  <c r="O27" i="4" s="1"/>
  <c r="N11" i="4"/>
  <c r="O11" i="4" s="1"/>
  <c r="N26" i="4"/>
  <c r="O26" i="4" s="1"/>
  <c r="N7" i="4"/>
  <c r="O7" i="4" s="1"/>
  <c r="N33" i="4"/>
  <c r="O33" i="4" s="1"/>
  <c r="S20" i="4"/>
  <c r="AI7" i="3"/>
  <c r="P30" i="4" l="1"/>
  <c r="T30" i="4" s="1"/>
  <c r="P32" i="4"/>
  <c r="Q32" i="4" s="1"/>
  <c r="U32" i="4" s="1"/>
  <c r="P6" i="4"/>
  <c r="T6" i="4" s="1"/>
  <c r="P18" i="4"/>
  <c r="Q18" i="4" s="1"/>
  <c r="S18" i="4" s="1"/>
  <c r="T18" i="4" s="1"/>
  <c r="P22" i="4"/>
  <c r="T22" i="4" s="1"/>
  <c r="P10" i="4"/>
  <c r="T10" i="4" s="1"/>
  <c r="O21" i="4"/>
  <c r="P21" i="4" s="1"/>
  <c r="P28" i="4"/>
  <c r="T28" i="4" s="1"/>
  <c r="P24" i="4"/>
  <c r="T24" i="4" s="1"/>
  <c r="P7" i="4"/>
  <c r="Q7" i="4" s="1"/>
  <c r="S7" i="4" s="1"/>
  <c r="T7" i="4" s="1"/>
  <c r="P31" i="4"/>
  <c r="Q31" i="4" s="1"/>
  <c r="U31" i="4" s="1"/>
  <c r="P12" i="4"/>
  <c r="O8" i="4"/>
  <c r="P8" i="4" s="1"/>
  <c r="O16" i="4"/>
  <c r="P16" i="4" s="1"/>
  <c r="P27" i="4"/>
  <c r="P33" i="4"/>
  <c r="P35" i="4"/>
  <c r="Q35" i="4" s="1"/>
  <c r="U35" i="4" s="1"/>
  <c r="P23" i="4"/>
  <c r="T23" i="4" s="1"/>
  <c r="P26" i="4"/>
  <c r="Q26" i="4" s="1"/>
  <c r="U26" i="4" s="1"/>
  <c r="P9" i="4"/>
  <c r="Q9" i="4" s="1"/>
  <c r="U9" i="4" s="1"/>
  <c r="P11" i="4"/>
  <c r="Q11" i="4" s="1"/>
  <c r="U11" i="4" s="1"/>
  <c r="P5" i="4"/>
  <c r="Q5" i="4" s="1"/>
  <c r="S5" i="4" s="1"/>
  <c r="T5" i="4" s="1"/>
  <c r="P34" i="4"/>
  <c r="Q34" i="4" s="1"/>
  <c r="U34" i="4" s="1"/>
  <c r="P19" i="4"/>
  <c r="Q19" i="4" s="1"/>
  <c r="S19" i="4" s="1"/>
  <c r="T19" i="4" s="1"/>
  <c r="O13" i="4"/>
  <c r="P13" i="4" s="1"/>
  <c r="O25" i="4"/>
  <c r="P25" i="4" s="1"/>
  <c r="O22" i="4"/>
  <c r="O15" i="4"/>
  <c r="P15" i="4" s="1"/>
  <c r="DW4" i="4"/>
  <c r="DO36" i="4"/>
  <c r="FW22" i="4"/>
  <c r="FT22" i="4"/>
  <c r="FG36" i="4"/>
  <c r="HA12" i="4"/>
  <c r="FA36" i="4"/>
  <c r="T20" i="4"/>
  <c r="Q27" i="4"/>
  <c r="S27" i="4" s="1"/>
  <c r="T27" i="4" s="1"/>
  <c r="Q29" i="4"/>
  <c r="U29" i="4" s="1"/>
  <c r="T29" i="4"/>
  <c r="P4" i="4"/>
  <c r="Q4" i="4" s="1"/>
  <c r="S4" i="4" s="1"/>
  <c r="T12" i="4"/>
  <c r="Q12" i="4"/>
  <c r="U12" i="4" s="1"/>
  <c r="Q30" i="4"/>
  <c r="U30" i="4" s="1"/>
  <c r="Q28" i="4"/>
  <c r="U28" i="4" s="1"/>
  <c r="Q33" i="4"/>
  <c r="U33" i="4" s="1"/>
  <c r="T33" i="4"/>
  <c r="Q14" i="4"/>
  <c r="U14" i="4" s="1"/>
  <c r="T14" i="4"/>
  <c r="N36" i="4"/>
  <c r="Q6" i="4"/>
  <c r="U6" i="4" s="1"/>
  <c r="T34" i="4"/>
  <c r="T21" i="4" l="1"/>
  <c r="Q21" i="4"/>
  <c r="U21" i="4" s="1"/>
  <c r="Q10" i="4"/>
  <c r="U10" i="4" s="1"/>
  <c r="O36" i="4"/>
  <c r="O45" i="4" s="1"/>
  <c r="T26" i="4"/>
  <c r="T32" i="4"/>
  <c r="Q23" i="4"/>
  <c r="U23" i="4" s="1"/>
  <c r="T31" i="4"/>
  <c r="Q24" i="4"/>
  <c r="U24" i="4" s="1"/>
  <c r="T35" i="4"/>
  <c r="T9" i="4"/>
  <c r="T11" i="4"/>
  <c r="T13" i="4"/>
  <c r="Q13" i="4"/>
  <c r="U13" i="4" s="1"/>
  <c r="T25" i="4"/>
  <c r="Q25" i="4"/>
  <c r="U25" i="4" s="1"/>
  <c r="T16" i="4"/>
  <c r="Q16" i="4"/>
  <c r="U16" i="4" s="1"/>
  <c r="T8" i="4"/>
  <c r="Q8" i="4"/>
  <c r="U8" i="4" s="1"/>
  <c r="Q15" i="4"/>
  <c r="U15" i="4" s="1"/>
  <c r="T15" i="4"/>
  <c r="Q22" i="4"/>
  <c r="U22" i="4" s="1"/>
  <c r="EC4" i="4"/>
  <c r="DW36" i="4"/>
  <c r="HI12" i="4"/>
  <c r="GE22" i="4"/>
  <c r="FW36" i="4"/>
  <c r="T4" i="4"/>
  <c r="S36" i="4"/>
  <c r="S45" i="4" s="1"/>
  <c r="U36" i="4" l="1"/>
  <c r="ES4" i="4"/>
  <c r="ES36" i="4" s="1"/>
  <c r="EC36" i="4"/>
  <c r="GK22" i="4"/>
  <c r="GE36" i="4"/>
  <c r="HO12" i="4"/>
  <c r="T41" i="4"/>
  <c r="Z21" i="4"/>
  <c r="V12" i="4" l="1"/>
  <c r="W12" i="4" s="1"/>
  <c r="X12" i="4" s="1"/>
  <c r="AB12" i="4" s="1"/>
  <c r="AJ12" i="4" s="1"/>
  <c r="AN12" i="4" s="1"/>
  <c r="AP12" i="4" s="1"/>
  <c r="AV12" i="4" s="1"/>
  <c r="BP12" i="4" s="1"/>
  <c r="V4" i="4"/>
  <c r="W4" i="4" s="1"/>
  <c r="X4" i="4" s="1"/>
  <c r="IE12" i="4"/>
  <c r="HA22" i="4"/>
  <c r="GX22" i="4"/>
  <c r="GK36" i="4"/>
  <c r="CL12" i="4"/>
  <c r="CT12" i="4" s="1"/>
  <c r="V22" i="4"/>
  <c r="W22" i="4" s="1"/>
  <c r="X22" i="4" s="1"/>
  <c r="Y22" i="4" s="1"/>
  <c r="V28" i="4"/>
  <c r="W28" i="4" s="1"/>
  <c r="X28" i="4" s="1"/>
  <c r="AB28" i="4" s="1"/>
  <c r="AJ28" i="4" s="1"/>
  <c r="AN28" i="4" s="1"/>
  <c r="AP28" i="4" s="1"/>
  <c r="AR28" i="4" s="1"/>
  <c r="AS28" i="4" s="1"/>
  <c r="AT28" i="4" s="1"/>
  <c r="AU28" i="4" s="1"/>
  <c r="V30" i="4"/>
  <c r="W30" i="4" s="1"/>
  <c r="X30" i="4" s="1"/>
  <c r="AB30" i="4" s="1"/>
  <c r="AJ30" i="4" s="1"/>
  <c r="AN30" i="4" s="1"/>
  <c r="AP30" i="4" s="1"/>
  <c r="AV30" i="4" s="1"/>
  <c r="V19" i="4"/>
  <c r="W19" i="4" s="1"/>
  <c r="X19" i="4" s="1"/>
  <c r="AB19" i="4" s="1"/>
  <c r="AJ19" i="4" s="1"/>
  <c r="AN19" i="4" s="1"/>
  <c r="AP19" i="4" s="1"/>
  <c r="AR19" i="4" s="1"/>
  <c r="AS19" i="4" s="1"/>
  <c r="AT19" i="4" s="1"/>
  <c r="AU19" i="4" s="1"/>
  <c r="V35" i="4"/>
  <c r="W35" i="4" s="1"/>
  <c r="X35" i="4" s="1"/>
  <c r="Y35" i="4" s="1"/>
  <c r="V17" i="4"/>
  <c r="W17" i="4" s="1"/>
  <c r="X17" i="4" s="1"/>
  <c r="AB17" i="4" s="1"/>
  <c r="AJ17" i="4" s="1"/>
  <c r="AN17" i="4" s="1"/>
  <c r="AP17" i="4" s="1"/>
  <c r="AV17" i="4" s="1"/>
  <c r="V20" i="4"/>
  <c r="W20" i="4" s="1"/>
  <c r="X20" i="4" s="1"/>
  <c r="AB20" i="4" s="1"/>
  <c r="AJ20" i="4" s="1"/>
  <c r="AN20" i="4" s="1"/>
  <c r="AP20" i="4" s="1"/>
  <c r="AV20" i="4" s="1"/>
  <c r="V10" i="4"/>
  <c r="W10" i="4" s="1"/>
  <c r="X10" i="4" s="1"/>
  <c r="V11" i="4"/>
  <c r="W11" i="4" s="1"/>
  <c r="X11" i="4" s="1"/>
  <c r="V21" i="4"/>
  <c r="W21" i="4" s="1"/>
  <c r="X21" i="4" s="1"/>
  <c r="AB21" i="4" s="1"/>
  <c r="AJ21" i="4" s="1"/>
  <c r="AN21" i="4" s="1"/>
  <c r="AP21" i="4" s="1"/>
  <c r="AR21" i="4" s="1"/>
  <c r="AS21" i="4" s="1"/>
  <c r="AT21" i="4" s="1"/>
  <c r="AU21" i="4" s="1"/>
  <c r="V34" i="4"/>
  <c r="W34" i="4" s="1"/>
  <c r="X34" i="4" s="1"/>
  <c r="V9" i="4"/>
  <c r="W9" i="4" s="1"/>
  <c r="X9" i="4" s="1"/>
  <c r="V25" i="4"/>
  <c r="W25" i="4" s="1"/>
  <c r="X25" i="4" s="1"/>
  <c r="Y25" i="4" s="1"/>
  <c r="V14" i="4"/>
  <c r="W14" i="4" s="1"/>
  <c r="X14" i="4" s="1"/>
  <c r="AB14" i="4" s="1"/>
  <c r="AJ14" i="4" s="1"/>
  <c r="AN14" i="4" s="1"/>
  <c r="AP14" i="4" s="1"/>
  <c r="AR14" i="4" s="1"/>
  <c r="AS14" i="4" s="1"/>
  <c r="AT14" i="4" s="1"/>
  <c r="AU14" i="4" s="1"/>
  <c r="V13" i="4"/>
  <c r="W13" i="4" s="1"/>
  <c r="X13" i="4" s="1"/>
  <c r="AB13" i="4" s="1"/>
  <c r="AJ13" i="4" s="1"/>
  <c r="AN13" i="4" s="1"/>
  <c r="AP13" i="4" s="1"/>
  <c r="AV13" i="4" s="1"/>
  <c r="V29" i="4"/>
  <c r="W29" i="4" s="1"/>
  <c r="X29" i="4" s="1"/>
  <c r="V33" i="4"/>
  <c r="W33" i="4" s="1"/>
  <c r="X33" i="4" s="1"/>
  <c r="Y33" i="4" s="1"/>
  <c r="V15" i="4"/>
  <c r="W15" i="4" s="1"/>
  <c r="X15" i="4" s="1"/>
  <c r="Z15" i="4" s="1"/>
  <c r="V23" i="4"/>
  <c r="W23" i="4" s="1"/>
  <c r="X23" i="4" s="1"/>
  <c r="U45" i="4"/>
  <c r="V31" i="4"/>
  <c r="W31" i="4" s="1"/>
  <c r="X31" i="4" s="1"/>
  <c r="V7" i="4"/>
  <c r="W7" i="4" s="1"/>
  <c r="X7" i="4" s="1"/>
  <c r="Z12" i="4"/>
  <c r="V8" i="4"/>
  <c r="W8" i="4" s="1"/>
  <c r="X8" i="4" s="1"/>
  <c r="V24" i="4"/>
  <c r="W24" i="4" s="1"/>
  <c r="X24" i="4" s="1"/>
  <c r="Y24" i="4" s="1"/>
  <c r="T45" i="4"/>
  <c r="V27" i="4"/>
  <c r="W27" i="4" s="1"/>
  <c r="X27" i="4" s="1"/>
  <c r="AB27" i="4" s="1"/>
  <c r="AJ27" i="4" s="1"/>
  <c r="AN27" i="4" s="1"/>
  <c r="AP27" i="4" s="1"/>
  <c r="AV27" i="4" s="1"/>
  <c r="V5" i="4"/>
  <c r="W5" i="4" s="1"/>
  <c r="X5" i="4" s="1"/>
  <c r="V16" i="4"/>
  <c r="W16" i="4" s="1"/>
  <c r="X16" i="4" s="1"/>
  <c r="AB16" i="4" s="1"/>
  <c r="AJ16" i="4" s="1"/>
  <c r="AN16" i="4" s="1"/>
  <c r="AP16" i="4" s="1"/>
  <c r="AV16" i="4" s="1"/>
  <c r="V26" i="4"/>
  <c r="W26" i="4" s="1"/>
  <c r="X26" i="4" s="1"/>
  <c r="V6" i="4"/>
  <c r="W6" i="4" s="1"/>
  <c r="X6" i="4" s="1"/>
  <c r="V32" i="4"/>
  <c r="W32" i="4" s="1"/>
  <c r="X32" i="4" s="1"/>
  <c r="V18" i="4"/>
  <c r="W18" i="4" s="1"/>
  <c r="X18" i="4" s="1"/>
  <c r="AR12" i="4" l="1"/>
  <c r="AS12" i="4" s="1"/>
  <c r="AT12" i="4" s="1"/>
  <c r="AU12" i="4" s="1"/>
  <c r="AY12" i="4" s="1"/>
  <c r="AW12" i="4"/>
  <c r="Y12" i="4"/>
  <c r="HI22" i="4"/>
  <c r="HA36" i="4"/>
  <c r="IM12" i="4"/>
  <c r="DP12" i="4"/>
  <c r="DX12" i="4" s="1"/>
  <c r="AY27" i="4"/>
  <c r="BP27" i="4"/>
  <c r="AW13" i="4"/>
  <c r="BP13" i="4"/>
  <c r="AW16" i="4"/>
  <c r="BP16" i="4"/>
  <c r="AW30" i="4"/>
  <c r="BP30" i="4"/>
  <c r="AW20" i="4"/>
  <c r="BP20" i="4"/>
  <c r="AY17" i="4"/>
  <c r="BP17" i="4"/>
  <c r="AV19" i="4"/>
  <c r="Y9" i="4"/>
  <c r="Y7" i="4"/>
  <c r="Y28" i="4"/>
  <c r="Y10" i="4"/>
  <c r="Z30" i="4"/>
  <c r="Z17" i="4"/>
  <c r="Y30" i="4"/>
  <c r="AR30" i="4"/>
  <c r="AS30" i="4" s="1"/>
  <c r="AT30" i="4" s="1"/>
  <c r="AU30" i="4" s="1"/>
  <c r="AY30" i="4" s="1"/>
  <c r="AB22" i="4"/>
  <c r="AJ22" i="4" s="1"/>
  <c r="AN22" i="4" s="1"/>
  <c r="AP22" i="4" s="1"/>
  <c r="AR22" i="4" s="1"/>
  <c r="AS22" i="4" s="1"/>
  <c r="AT22" i="4" s="1"/>
  <c r="AU22" i="4" s="1"/>
  <c r="Z28" i="4"/>
  <c r="AB10" i="4"/>
  <c r="AJ10" i="4" s="1"/>
  <c r="AN10" i="4" s="1"/>
  <c r="AP10" i="4" s="1"/>
  <c r="AR10" i="4" s="1"/>
  <c r="AS10" i="4" s="1"/>
  <c r="AT10" i="4" s="1"/>
  <c r="AU10" i="4" s="1"/>
  <c r="AB4" i="4"/>
  <c r="AJ4" i="4" s="1"/>
  <c r="Z4" i="4"/>
  <c r="Y4" i="4"/>
  <c r="Y21" i="4"/>
  <c r="Y19" i="4"/>
  <c r="Z19" i="4"/>
  <c r="Y17" i="4"/>
  <c r="AR20" i="4"/>
  <c r="AS20" i="4" s="1"/>
  <c r="AT20" i="4" s="1"/>
  <c r="AV28" i="4"/>
  <c r="Z13" i="4"/>
  <c r="Z20" i="4"/>
  <c r="AB24" i="4"/>
  <c r="AJ24" i="4" s="1"/>
  <c r="AN24" i="4" s="1"/>
  <c r="AP24" i="4" s="1"/>
  <c r="AV24" i="4" s="1"/>
  <c r="AR17" i="4"/>
  <c r="AS17" i="4" s="1"/>
  <c r="AT17" i="4" s="1"/>
  <c r="AU17" i="4" s="1"/>
  <c r="AW17" i="4" s="1"/>
  <c r="AX17" i="4" s="1"/>
  <c r="Z10" i="4"/>
  <c r="AX12" i="4"/>
  <c r="Y20" i="4"/>
  <c r="AB35" i="4"/>
  <c r="AJ35" i="4" s="1"/>
  <c r="AN35" i="4" s="1"/>
  <c r="AP35" i="4" s="1"/>
  <c r="AV14" i="4"/>
  <c r="BP14" i="4" s="1"/>
  <c r="AV21" i="4"/>
  <c r="Y14" i="4"/>
  <c r="AB33" i="4"/>
  <c r="AJ33" i="4" s="1"/>
  <c r="AN33" i="4" s="1"/>
  <c r="AP33" i="4" s="1"/>
  <c r="AR33" i="4" s="1"/>
  <c r="AS33" i="4" s="1"/>
  <c r="AT33" i="4" s="1"/>
  <c r="AU33" i="4" s="1"/>
  <c r="AB9" i="4"/>
  <c r="AJ9" i="4" s="1"/>
  <c r="AN9" i="4" s="1"/>
  <c r="AP9" i="4" s="1"/>
  <c r="AR9" i="4" s="1"/>
  <c r="AS9" i="4" s="1"/>
  <c r="AT9" i="4" s="1"/>
  <c r="AU9" i="4" s="1"/>
  <c r="Y13" i="4"/>
  <c r="AR13" i="4"/>
  <c r="AS13" i="4" s="1"/>
  <c r="AT13" i="4" s="1"/>
  <c r="AU13" i="4" s="1"/>
  <c r="AY13" i="4" s="1"/>
  <c r="AB11" i="4"/>
  <c r="AJ11" i="4" s="1"/>
  <c r="AN11" i="4" s="1"/>
  <c r="AP11" i="4" s="1"/>
  <c r="AV11" i="4" s="1"/>
  <c r="Y11" i="4"/>
  <c r="Z11" i="4"/>
  <c r="AB8" i="4"/>
  <c r="AJ8" i="4" s="1"/>
  <c r="AN8" i="4" s="1"/>
  <c r="AP8" i="4" s="1"/>
  <c r="AR8" i="4" s="1"/>
  <c r="AS8" i="4" s="1"/>
  <c r="AT8" i="4" s="1"/>
  <c r="AU8" i="4" s="1"/>
  <c r="Y16" i="4"/>
  <c r="Z14" i="4"/>
  <c r="AB25" i="4"/>
  <c r="AJ25" i="4" s="1"/>
  <c r="AN25" i="4" s="1"/>
  <c r="AP25" i="4" s="1"/>
  <c r="Z25" i="4"/>
  <c r="Y23" i="4"/>
  <c r="AB23" i="4"/>
  <c r="AJ23" i="4" s="1"/>
  <c r="AN23" i="4" s="1"/>
  <c r="AP23" i="4" s="1"/>
  <c r="Z9" i="4"/>
  <c r="AB15" i="4"/>
  <c r="AJ15" i="4" s="1"/>
  <c r="AN15" i="4" s="1"/>
  <c r="AP15" i="4" s="1"/>
  <c r="Y15" i="4"/>
  <c r="AB34" i="4"/>
  <c r="AJ34" i="4" s="1"/>
  <c r="AN34" i="4" s="1"/>
  <c r="AP34" i="4" s="1"/>
  <c r="Y34" i="4"/>
  <c r="Z16" i="4"/>
  <c r="Y27" i="4"/>
  <c r="Z27" i="4"/>
  <c r="AB29" i="4"/>
  <c r="AJ29" i="4" s="1"/>
  <c r="AN29" i="4" s="1"/>
  <c r="AP29" i="4" s="1"/>
  <c r="Y29" i="4"/>
  <c r="Z29" i="4"/>
  <c r="AR16" i="4"/>
  <c r="AS16" i="4" s="1"/>
  <c r="AT16" i="4" s="1"/>
  <c r="AU16" i="4" s="1"/>
  <c r="AY16" i="4" s="1"/>
  <c r="Y8" i="4"/>
  <c r="Z5" i="4"/>
  <c r="AR27" i="4"/>
  <c r="AS27" i="4" s="1"/>
  <c r="AT27" i="4" s="1"/>
  <c r="AU27" i="4" s="1"/>
  <c r="AW27" i="4" s="1"/>
  <c r="AX27" i="4" s="1"/>
  <c r="Z8" i="4"/>
  <c r="Y32" i="4"/>
  <c r="AB32" i="4"/>
  <c r="AJ32" i="4" s="1"/>
  <c r="AN32" i="4" s="1"/>
  <c r="AP32" i="4" s="1"/>
  <c r="Y6" i="4"/>
  <c r="Z6" i="4"/>
  <c r="AB6" i="4"/>
  <c r="AJ6" i="4" s="1"/>
  <c r="AN6" i="4" s="1"/>
  <c r="AP6" i="4" s="1"/>
  <c r="V36" i="4"/>
  <c r="V45" i="4" s="1"/>
  <c r="AB26" i="4"/>
  <c r="AJ26" i="4" s="1"/>
  <c r="AN26" i="4" s="1"/>
  <c r="AP26" i="4" s="1"/>
  <c r="Z26" i="4"/>
  <c r="Y26" i="4"/>
  <c r="X36" i="4"/>
  <c r="Z36" i="4" s="1"/>
  <c r="AB7" i="4"/>
  <c r="AJ7" i="4" s="1"/>
  <c r="AN7" i="4" s="1"/>
  <c r="AP7" i="4" s="1"/>
  <c r="Z7" i="4"/>
  <c r="AB5" i="4"/>
  <c r="AJ5" i="4" s="1"/>
  <c r="AN5" i="4" s="1"/>
  <c r="AP5" i="4" s="1"/>
  <c r="Y5" i="4"/>
  <c r="Y31" i="4"/>
  <c r="AB31" i="4"/>
  <c r="AJ31" i="4" s="1"/>
  <c r="AN31" i="4" s="1"/>
  <c r="AP31" i="4" s="1"/>
  <c r="AB18" i="4"/>
  <c r="AJ18" i="4" s="1"/>
  <c r="AN18" i="4" s="1"/>
  <c r="AP18" i="4" s="1"/>
  <c r="Y18" i="4"/>
  <c r="Z18" i="4"/>
  <c r="HO22" i="4" l="1"/>
  <c r="HI36" i="4"/>
  <c r="AX20" i="4"/>
  <c r="CL17" i="4"/>
  <c r="CT17" i="4" s="1"/>
  <c r="CL13" i="4"/>
  <c r="CT13" i="4" s="1"/>
  <c r="CL16" i="4"/>
  <c r="CT16" i="4" s="1"/>
  <c r="CL14" i="4"/>
  <c r="CT14" i="4" s="1"/>
  <c r="CL20" i="4"/>
  <c r="CT20" i="4" s="1"/>
  <c r="CL27" i="4"/>
  <c r="CT27" i="4" s="1"/>
  <c r="CL30" i="4"/>
  <c r="CT30" i="4" s="1"/>
  <c r="ET12" i="4"/>
  <c r="FB12" i="4" s="1"/>
  <c r="FX12" i="4" s="1"/>
  <c r="GF12" i="4" s="1"/>
  <c r="HB12" i="4" s="1"/>
  <c r="HJ12" i="4" s="1"/>
  <c r="IF12" i="4" s="1"/>
  <c r="IN12" i="4" s="1"/>
  <c r="AW24" i="4"/>
  <c r="BP24" i="4"/>
  <c r="AY19" i="4"/>
  <c r="BP19" i="4"/>
  <c r="AW21" i="4"/>
  <c r="AX21" i="4" s="1"/>
  <c r="BP21" i="4"/>
  <c r="AW11" i="4"/>
  <c r="BP11" i="4"/>
  <c r="AW28" i="4"/>
  <c r="AX28" i="4" s="1"/>
  <c r="BP28" i="4"/>
  <c r="AW19" i="4"/>
  <c r="AX19" i="4" s="1"/>
  <c r="AX30" i="4"/>
  <c r="AV22" i="4"/>
  <c r="AR24" i="4"/>
  <c r="AS24" i="4" s="1"/>
  <c r="AT24" i="4" s="1"/>
  <c r="AU24" i="4" s="1"/>
  <c r="AY24" i="4" s="1"/>
  <c r="AX13" i="4"/>
  <c r="AV10" i="4"/>
  <c r="BP10" i="4" s="1"/>
  <c r="AU20" i="4"/>
  <c r="AY20" i="4" s="1"/>
  <c r="AY28" i="4"/>
  <c r="AR11" i="4"/>
  <c r="AS11" i="4" s="1"/>
  <c r="AT11" i="4" s="1"/>
  <c r="AU11" i="4" s="1"/>
  <c r="AY11" i="4" s="1"/>
  <c r="AV35" i="4"/>
  <c r="BP35" i="4" s="1"/>
  <c r="AR35" i="4"/>
  <c r="AS35" i="4" s="1"/>
  <c r="AT35" i="4" s="1"/>
  <c r="AU35" i="4" s="1"/>
  <c r="AY21" i="4"/>
  <c r="AV9" i="4"/>
  <c r="AW14" i="4"/>
  <c r="AX14" i="4" s="1"/>
  <c r="AY14" i="4"/>
  <c r="AV33" i="4"/>
  <c r="AV8" i="4"/>
  <c r="Y36" i="4"/>
  <c r="X45" i="4"/>
  <c r="AX16" i="4"/>
  <c r="AV23" i="4"/>
  <c r="BP23" i="4" s="1"/>
  <c r="AR23" i="4"/>
  <c r="AS23" i="4" s="1"/>
  <c r="AT23" i="4" s="1"/>
  <c r="AU23" i="4" s="1"/>
  <c r="AV34" i="4"/>
  <c r="AR34" i="4"/>
  <c r="AS34" i="4" s="1"/>
  <c r="AT34" i="4" s="1"/>
  <c r="AR25" i="4"/>
  <c r="AS25" i="4" s="1"/>
  <c r="AT25" i="4" s="1"/>
  <c r="AU25" i="4" s="1"/>
  <c r="AV25" i="4"/>
  <c r="BP25" i="4" s="1"/>
  <c r="AV29" i="4"/>
  <c r="BP29" i="4" s="1"/>
  <c r="AR29" i="4"/>
  <c r="AS29" i="4" s="1"/>
  <c r="AT29" i="4" s="1"/>
  <c r="AR15" i="4"/>
  <c r="AS15" i="4" s="1"/>
  <c r="AT15" i="4" s="1"/>
  <c r="AU15" i="4" s="1"/>
  <c r="AV15" i="4"/>
  <c r="BP15" i="4" s="1"/>
  <c r="CL15" i="4" s="1"/>
  <c r="AR31" i="4"/>
  <c r="AS31" i="4" s="1"/>
  <c r="AT31" i="4" s="1"/>
  <c r="AU31" i="4" s="1"/>
  <c r="AV31" i="4"/>
  <c r="BP31" i="4" s="1"/>
  <c r="AV6" i="4"/>
  <c r="BP6" i="4" s="1"/>
  <c r="CL6" i="4" s="1"/>
  <c r="AR6" i="4"/>
  <c r="AS6" i="4" s="1"/>
  <c r="AT6" i="4" s="1"/>
  <c r="AU6" i="4" s="1"/>
  <c r="AV5" i="4"/>
  <c r="BP5" i="4" s="1"/>
  <c r="AR5" i="4"/>
  <c r="AS5" i="4" s="1"/>
  <c r="AT5" i="4" s="1"/>
  <c r="AU5" i="4" s="1"/>
  <c r="AV32" i="4"/>
  <c r="BP32" i="4" s="1"/>
  <c r="AR32" i="4"/>
  <c r="AS32" i="4" s="1"/>
  <c r="AT32" i="4" s="1"/>
  <c r="AU32" i="4" s="1"/>
  <c r="AR7" i="4"/>
  <c r="AS7" i="4" s="1"/>
  <c r="AT7" i="4" s="1"/>
  <c r="AU7" i="4" s="1"/>
  <c r="AV7" i="4"/>
  <c r="BP7" i="4" s="1"/>
  <c r="AR26" i="4"/>
  <c r="AS26" i="4" s="1"/>
  <c r="AT26" i="4" s="1"/>
  <c r="AU26" i="4" s="1"/>
  <c r="AV26" i="4"/>
  <c r="BP26" i="4" s="1"/>
  <c r="AB36" i="4"/>
  <c r="AR18" i="4"/>
  <c r="AS18" i="4" s="1"/>
  <c r="AT18" i="4" s="1"/>
  <c r="AU18" i="4" s="1"/>
  <c r="AV18" i="4"/>
  <c r="BP18" i="4" s="1"/>
  <c r="AN4" i="4"/>
  <c r="AJ36" i="4"/>
  <c r="IE22" i="4" l="1"/>
  <c r="HO36" i="4"/>
  <c r="DP17" i="4"/>
  <c r="DX17" i="4" s="1"/>
  <c r="DP20" i="4"/>
  <c r="DX20" i="4" s="1"/>
  <c r="DP14" i="4"/>
  <c r="DX14" i="4" s="1"/>
  <c r="CL18" i="4"/>
  <c r="CT18" i="4" s="1"/>
  <c r="CL21" i="4"/>
  <c r="CT21" i="4" s="1"/>
  <c r="DP30" i="4"/>
  <c r="DX30" i="4" s="1"/>
  <c r="DP16" i="4"/>
  <c r="DX16" i="4" s="1"/>
  <c r="CL26" i="4"/>
  <c r="CT26" i="4" s="1"/>
  <c r="CL25" i="4"/>
  <c r="CT25" i="4" s="1"/>
  <c r="CL35" i="4"/>
  <c r="CT35" i="4" s="1"/>
  <c r="CL19" i="4"/>
  <c r="CT19" i="4" s="1"/>
  <c r="CL23" i="4"/>
  <c r="CT23" i="4" s="1"/>
  <c r="CL5" i="4"/>
  <c r="CT5" i="4" s="1"/>
  <c r="DP27" i="4"/>
  <c r="DX27" i="4" s="1"/>
  <c r="DP13" i="4"/>
  <c r="DX13" i="4" s="1"/>
  <c r="CL11" i="4"/>
  <c r="CT11" i="4" s="1"/>
  <c r="CL29" i="4"/>
  <c r="CT29" i="4" s="1"/>
  <c r="CL24" i="4"/>
  <c r="CT24" i="4" s="1"/>
  <c r="CL10" i="4"/>
  <c r="CT10" i="4" s="1"/>
  <c r="CL32" i="4"/>
  <c r="CT32" i="4" s="1"/>
  <c r="CL7" i="4"/>
  <c r="CT7" i="4" s="1"/>
  <c r="CL31" i="4"/>
  <c r="CT31" i="4" s="1"/>
  <c r="CL28" i="4"/>
  <c r="CT28" i="4" s="1"/>
  <c r="AW33" i="4"/>
  <c r="AX33" i="4" s="1"/>
  <c r="BP33" i="4"/>
  <c r="AW34" i="4"/>
  <c r="AX34" i="4" s="1"/>
  <c r="BP34" i="4"/>
  <c r="AY9" i="4"/>
  <c r="BP9" i="4"/>
  <c r="AW22" i="4"/>
  <c r="AX22" i="4" s="1"/>
  <c r="BP22" i="4"/>
  <c r="AY8" i="4"/>
  <c r="BP8" i="4"/>
  <c r="AY22" i="4"/>
  <c r="AX24" i="4"/>
  <c r="AY10" i="4"/>
  <c r="AW10" i="4"/>
  <c r="AX10" i="4" s="1"/>
  <c r="AX11" i="4"/>
  <c r="AW35" i="4"/>
  <c r="AX35" i="4" s="1"/>
  <c r="AY35" i="4"/>
  <c r="AW8" i="4"/>
  <c r="AX8" i="4" s="1"/>
  <c r="AW9" i="4"/>
  <c r="AX9" i="4" s="1"/>
  <c r="AY33" i="4"/>
  <c r="AW25" i="4"/>
  <c r="AX25" i="4" s="1"/>
  <c r="AY25" i="4"/>
  <c r="AU34" i="4"/>
  <c r="AY34" i="4" s="1"/>
  <c r="AY15" i="4"/>
  <c r="AW15" i="4"/>
  <c r="AX15" i="4" s="1"/>
  <c r="AU29" i="4"/>
  <c r="AY29" i="4" s="1"/>
  <c r="AY23" i="4"/>
  <c r="AW23" i="4"/>
  <c r="AX23" i="4" s="1"/>
  <c r="AW29" i="4"/>
  <c r="AX29" i="4" s="1"/>
  <c r="AY32" i="4"/>
  <c r="AW32" i="4"/>
  <c r="AX32" i="4" s="1"/>
  <c r="AJ45" i="4"/>
  <c r="AY26" i="4"/>
  <c r="AW26" i="4"/>
  <c r="AX26" i="4" s="1"/>
  <c r="AY5" i="4"/>
  <c r="AW5" i="4"/>
  <c r="AX5" i="4" s="1"/>
  <c r="AY7" i="4"/>
  <c r="AW7" i="4"/>
  <c r="AX7" i="4" s="1"/>
  <c r="AW6" i="4"/>
  <c r="AX6" i="4" s="1"/>
  <c r="AY6" i="4"/>
  <c r="AW31" i="4"/>
  <c r="AX31" i="4" s="1"/>
  <c r="AY31" i="4"/>
  <c r="AY18" i="4"/>
  <c r="AW18" i="4"/>
  <c r="AX18" i="4" s="1"/>
  <c r="AN36" i="4"/>
  <c r="AN45" i="4" s="1"/>
  <c r="AP4" i="4"/>
  <c r="IM22" i="4" l="1"/>
  <c r="IM36" i="4" s="1"/>
  <c r="IE36" i="4"/>
  <c r="DP32" i="4"/>
  <c r="DX32" i="4" s="1"/>
  <c r="DP7" i="4"/>
  <c r="DX7" i="4" s="1"/>
  <c r="DP26" i="4"/>
  <c r="DX26" i="4" s="1"/>
  <c r="ET20" i="4"/>
  <c r="FB20" i="4" s="1"/>
  <c r="FX20" i="4" s="1"/>
  <c r="GF20" i="4" s="1"/>
  <c r="HB20" i="4" s="1"/>
  <c r="HJ20" i="4" s="1"/>
  <c r="IF20" i="4" s="1"/>
  <c r="IN20" i="4" s="1"/>
  <c r="ET27" i="4"/>
  <c r="FB27" i="4" s="1"/>
  <c r="FX27" i="4" s="1"/>
  <c r="GF27" i="4" s="1"/>
  <c r="HB27" i="4" s="1"/>
  <c r="HJ27" i="4" s="1"/>
  <c r="IF27" i="4" s="1"/>
  <c r="IN27" i="4" s="1"/>
  <c r="ET17" i="4"/>
  <c r="FB17" i="4" s="1"/>
  <c r="FX17" i="4" s="1"/>
  <c r="GF17" i="4" s="1"/>
  <c r="HB17" i="4" s="1"/>
  <c r="HJ17" i="4" s="1"/>
  <c r="IF17" i="4" s="1"/>
  <c r="IN17" i="4" s="1"/>
  <c r="DP5" i="4"/>
  <c r="DX5" i="4" s="1"/>
  <c r="DP23" i="4"/>
  <c r="DX23" i="4" s="1"/>
  <c r="ET30" i="4"/>
  <c r="FB30" i="4" s="1"/>
  <c r="FX30" i="4" s="1"/>
  <c r="GF30" i="4" s="1"/>
  <c r="HB30" i="4" s="1"/>
  <c r="HJ30" i="4" s="1"/>
  <c r="IF30" i="4" s="1"/>
  <c r="IN30" i="4" s="1"/>
  <c r="DP24" i="4"/>
  <c r="DX24" i="4" s="1"/>
  <c r="DP21" i="4"/>
  <c r="DX21" i="4" s="1"/>
  <c r="DP29" i="4"/>
  <c r="DX29" i="4" s="1"/>
  <c r="DX18" i="4"/>
  <c r="DP18" i="4"/>
  <c r="DP11" i="4"/>
  <c r="DX11" i="4" s="1"/>
  <c r="DP35" i="4"/>
  <c r="DX35" i="4" s="1"/>
  <c r="DP31" i="4"/>
  <c r="DX31" i="4" s="1"/>
  <c r="DP25" i="4"/>
  <c r="DX25" i="4" s="1"/>
  <c r="DP28" i="4"/>
  <c r="DX28" i="4" s="1"/>
  <c r="DP19" i="4"/>
  <c r="DX19" i="4" s="1"/>
  <c r="CL33" i="4"/>
  <c r="CT33" i="4" s="1"/>
  <c r="CL8" i="4"/>
  <c r="CT8" i="4" s="1"/>
  <c r="CL22" i="4"/>
  <c r="CT22" i="4" s="1"/>
  <c r="DP10" i="4"/>
  <c r="DX10" i="4" s="1"/>
  <c r="ET14" i="4"/>
  <c r="FB14" i="4" s="1"/>
  <c r="FX14" i="4" s="1"/>
  <c r="GF14" i="4" s="1"/>
  <c r="HB14" i="4" s="1"/>
  <c r="HJ14" i="4" s="1"/>
  <c r="IF14" i="4" s="1"/>
  <c r="IN14" i="4" s="1"/>
  <c r="ET16" i="4"/>
  <c r="FB16" i="4" s="1"/>
  <c r="FX16" i="4" s="1"/>
  <c r="GF16" i="4" s="1"/>
  <c r="HB16" i="4" s="1"/>
  <c r="HJ16" i="4" s="1"/>
  <c r="IF16" i="4" s="1"/>
  <c r="IN16" i="4" s="1"/>
  <c r="CL34" i="4"/>
  <c r="CT34" i="4" s="1"/>
  <c r="ET13" i="4"/>
  <c r="FB13" i="4" s="1"/>
  <c r="FX13" i="4" s="1"/>
  <c r="GF13" i="4" s="1"/>
  <c r="HB13" i="4" s="1"/>
  <c r="HJ13" i="4" s="1"/>
  <c r="IF13" i="4" s="1"/>
  <c r="IN13" i="4" s="1"/>
  <c r="CL9" i="4"/>
  <c r="CT9" i="4" s="1"/>
  <c r="AR4" i="4"/>
  <c r="AP36" i="4"/>
  <c r="AV4" i="4"/>
  <c r="DP33" i="4" l="1"/>
  <c r="DX33" i="4" s="1"/>
  <c r="ET29" i="4"/>
  <c r="FB29" i="4" s="1"/>
  <c r="FX29" i="4" s="1"/>
  <c r="GF29" i="4" s="1"/>
  <c r="HB29" i="4" s="1"/>
  <c r="HJ29" i="4" s="1"/>
  <c r="IF29" i="4" s="1"/>
  <c r="IN29" i="4" s="1"/>
  <c r="ET23" i="4"/>
  <c r="FB23" i="4" s="1"/>
  <c r="FX23" i="4" s="1"/>
  <c r="GF23" i="4" s="1"/>
  <c r="HB23" i="4" s="1"/>
  <c r="HJ23" i="4" s="1"/>
  <c r="IF23" i="4" s="1"/>
  <c r="IN23" i="4" s="1"/>
  <c r="ET31" i="4"/>
  <c r="FB31" i="4" s="1"/>
  <c r="FX31" i="4" s="1"/>
  <c r="GF31" i="4" s="1"/>
  <c r="HB31" i="4" s="1"/>
  <c r="HJ31" i="4" s="1"/>
  <c r="IF31" i="4" s="1"/>
  <c r="IN31" i="4" s="1"/>
  <c r="DP9" i="4"/>
  <c r="DX9" i="4" s="1"/>
  <c r="DP34" i="4"/>
  <c r="DX34" i="4" s="1"/>
  <c r="ET28" i="4"/>
  <c r="FB28" i="4" s="1"/>
  <c r="FX28" i="4" s="1"/>
  <c r="GF28" i="4" s="1"/>
  <c r="HB28" i="4" s="1"/>
  <c r="HJ28" i="4" s="1"/>
  <c r="IF28" i="4" s="1"/>
  <c r="IN28" i="4" s="1"/>
  <c r="ET24" i="4"/>
  <c r="FB24" i="4" s="1"/>
  <c r="FX24" i="4" s="1"/>
  <c r="GF24" i="4" s="1"/>
  <c r="HB24" i="4" s="1"/>
  <c r="HJ24" i="4" s="1"/>
  <c r="IF24" i="4" s="1"/>
  <c r="IN24" i="4" s="1"/>
  <c r="ET7" i="4"/>
  <c r="FB7" i="4" s="1"/>
  <c r="FX7" i="4" s="1"/>
  <c r="GF7" i="4" s="1"/>
  <c r="HB7" i="4" s="1"/>
  <c r="HJ7" i="4" s="1"/>
  <c r="IF7" i="4" s="1"/>
  <c r="IN7" i="4" s="1"/>
  <c r="ET25" i="4"/>
  <c r="FB25" i="4" s="1"/>
  <c r="FX25" i="4" s="1"/>
  <c r="GF25" i="4" s="1"/>
  <c r="HB25" i="4" s="1"/>
  <c r="HJ25" i="4" s="1"/>
  <c r="IF25" i="4" s="1"/>
  <c r="IN25" i="4" s="1"/>
  <c r="ET19" i="4"/>
  <c r="FB19" i="4" s="1"/>
  <c r="FX19" i="4" s="1"/>
  <c r="GF19" i="4" s="1"/>
  <c r="HB19" i="4" s="1"/>
  <c r="HJ19" i="4" s="1"/>
  <c r="IF19" i="4" s="1"/>
  <c r="IN19" i="4" s="1"/>
  <c r="DP22" i="4"/>
  <c r="DX22" i="4" s="1"/>
  <c r="ET11" i="4"/>
  <c r="FB11" i="4" s="1"/>
  <c r="FX11" i="4" s="1"/>
  <c r="GF11" i="4" s="1"/>
  <c r="HB11" i="4" s="1"/>
  <c r="HJ11" i="4" s="1"/>
  <c r="IF11" i="4" s="1"/>
  <c r="IN11" i="4" s="1"/>
  <c r="DP8" i="4"/>
  <c r="DX8" i="4" s="1"/>
  <c r="ET18" i="4"/>
  <c r="FB18" i="4" s="1"/>
  <c r="FX18" i="4" s="1"/>
  <c r="GF18" i="4" s="1"/>
  <c r="HB18" i="4" s="1"/>
  <c r="HJ18" i="4" s="1"/>
  <c r="IF18" i="4" s="1"/>
  <c r="IN18" i="4" s="1"/>
  <c r="ET32" i="4"/>
  <c r="FB32" i="4" s="1"/>
  <c r="FX32" i="4" s="1"/>
  <c r="GF32" i="4" s="1"/>
  <c r="HB32" i="4" s="1"/>
  <c r="HJ32" i="4" s="1"/>
  <c r="IF32" i="4" s="1"/>
  <c r="IN32" i="4" s="1"/>
  <c r="ET10" i="4"/>
  <c r="FB10" i="4" s="1"/>
  <c r="FX10" i="4" s="1"/>
  <c r="GF10" i="4" s="1"/>
  <c r="HB10" i="4" s="1"/>
  <c r="HJ10" i="4" s="1"/>
  <c r="IF10" i="4" s="1"/>
  <c r="IN10" i="4" s="1"/>
  <c r="ET35" i="4"/>
  <c r="FB35" i="4" s="1"/>
  <c r="FX35" i="4" s="1"/>
  <c r="GF35" i="4" s="1"/>
  <c r="HB35" i="4" s="1"/>
  <c r="HJ35" i="4" s="1"/>
  <c r="IF35" i="4" s="1"/>
  <c r="IN35" i="4" s="1"/>
  <c r="ET21" i="4"/>
  <c r="FB21" i="4" s="1"/>
  <c r="FX21" i="4" s="1"/>
  <c r="GF21" i="4" s="1"/>
  <c r="HB21" i="4" s="1"/>
  <c r="HJ21" i="4" s="1"/>
  <c r="IF21" i="4" s="1"/>
  <c r="IN21" i="4" s="1"/>
  <c r="ET5" i="4"/>
  <c r="FB5" i="4" s="1"/>
  <c r="FX5" i="4" s="1"/>
  <c r="GF5" i="4" s="1"/>
  <c r="HB5" i="4" s="1"/>
  <c r="HJ5" i="4" s="1"/>
  <c r="IF5" i="4" s="1"/>
  <c r="IN5" i="4" s="1"/>
  <c r="ET26" i="4"/>
  <c r="FB26" i="4" s="1"/>
  <c r="FX26" i="4" s="1"/>
  <c r="GF26" i="4" s="1"/>
  <c r="HB26" i="4" s="1"/>
  <c r="HJ26" i="4" s="1"/>
  <c r="IF26" i="4" s="1"/>
  <c r="IN26" i="4" s="1"/>
  <c r="AY4" i="4"/>
  <c r="AY36" i="4" s="1"/>
  <c r="BP4" i="4"/>
  <c r="AS4" i="4"/>
  <c r="AR36" i="4"/>
  <c r="ET22" i="4" l="1"/>
  <c r="FB22" i="4" s="1"/>
  <c r="FX22" i="4" s="1"/>
  <c r="GF22" i="4" s="1"/>
  <c r="HB22" i="4" s="1"/>
  <c r="HJ22" i="4" s="1"/>
  <c r="IF22" i="4" s="1"/>
  <c r="IN22" i="4" s="1"/>
  <c r="CL4" i="4"/>
  <c r="CT4" i="4" s="1"/>
  <c r="ET8" i="4"/>
  <c r="FB8" i="4" s="1"/>
  <c r="FX8" i="4" s="1"/>
  <c r="GF8" i="4" s="1"/>
  <c r="HB8" i="4" s="1"/>
  <c r="HJ8" i="4" s="1"/>
  <c r="IF8" i="4" s="1"/>
  <c r="IN8" i="4" s="1"/>
  <c r="ET34" i="4"/>
  <c r="FB34" i="4" s="1"/>
  <c r="FX34" i="4" s="1"/>
  <c r="GF34" i="4" s="1"/>
  <c r="HB34" i="4" s="1"/>
  <c r="HJ34" i="4" s="1"/>
  <c r="IF34" i="4" s="1"/>
  <c r="IN34" i="4" s="1"/>
  <c r="ET9" i="4"/>
  <c r="FB9" i="4" s="1"/>
  <c r="FX9" i="4" s="1"/>
  <c r="GF9" i="4" s="1"/>
  <c r="HB9" i="4" s="1"/>
  <c r="HJ9" i="4" s="1"/>
  <c r="IF9" i="4" s="1"/>
  <c r="IN9" i="4" s="1"/>
  <c r="ET33" i="4"/>
  <c r="FB33" i="4" s="1"/>
  <c r="FX33" i="4" s="1"/>
  <c r="GF33" i="4" s="1"/>
  <c r="HB33" i="4" s="1"/>
  <c r="HJ33" i="4" s="1"/>
  <c r="IF33" i="4" s="1"/>
  <c r="IN33" i="4" s="1"/>
  <c r="AS36" i="4"/>
  <c r="AS45" i="4" s="1"/>
  <c r="AT4" i="4"/>
  <c r="AU4" i="4" s="1"/>
  <c r="AW4" i="4" s="1"/>
  <c r="AW36" i="4" s="1"/>
  <c r="DP4" i="4" l="1"/>
  <c r="DX4" i="4" s="1"/>
  <c r="AW45" i="4"/>
  <c r="AX4" i="4"/>
  <c r="AX41" i="4"/>
  <c r="AY45" i="4" s="1"/>
  <c r="ET4" i="4" l="1"/>
  <c r="FB4" i="4" s="1"/>
  <c r="FX4" i="4" s="1"/>
  <c r="GF4" i="4" s="1"/>
  <c r="HB4" i="4" s="1"/>
  <c r="HJ4" i="4" s="1"/>
  <c r="IF4" i="4" s="1"/>
  <c r="IN4" i="4" s="1"/>
  <c r="AZ11" i="4"/>
  <c r="BA11" i="4" s="1"/>
  <c r="BB11" i="4" s="1"/>
  <c r="AZ5" i="4"/>
  <c r="BA5" i="4" s="1"/>
  <c r="BB5" i="4" s="1"/>
  <c r="AZ23" i="4"/>
  <c r="BA23" i="4" s="1"/>
  <c r="BB23" i="4" s="1"/>
  <c r="AZ12" i="4"/>
  <c r="BA12" i="4" s="1"/>
  <c r="BB12" i="4" s="1"/>
  <c r="AZ9" i="4"/>
  <c r="BA9" i="4" s="1"/>
  <c r="BB9" i="4" s="1"/>
  <c r="AZ7" i="4"/>
  <c r="BA7" i="4" s="1"/>
  <c r="BB7" i="4" s="1"/>
  <c r="AZ34" i="4"/>
  <c r="BA34" i="4" s="1"/>
  <c r="BB34" i="4" s="1"/>
  <c r="AZ18" i="4"/>
  <c r="BA18" i="4" s="1"/>
  <c r="BB18" i="4" s="1"/>
  <c r="AZ4" i="4"/>
  <c r="BA4" i="4" s="1"/>
  <c r="BB4" i="4" s="1"/>
  <c r="BF4" i="4" s="1"/>
  <c r="BN4" i="4" s="1"/>
  <c r="BR4" i="4" s="1"/>
  <c r="BT4" i="4" s="1"/>
  <c r="AZ27" i="4"/>
  <c r="BA27" i="4" s="1"/>
  <c r="BB27" i="4" s="1"/>
  <c r="AZ25" i="4"/>
  <c r="BA25" i="4" s="1"/>
  <c r="BB25" i="4" s="1"/>
  <c r="AZ28" i="4"/>
  <c r="BA28" i="4" s="1"/>
  <c r="BB28" i="4" s="1"/>
  <c r="AZ35" i="4"/>
  <c r="BA35" i="4" s="1"/>
  <c r="BB35" i="4" s="1"/>
  <c r="BF35" i="4" s="1"/>
  <c r="BN35" i="4" s="1"/>
  <c r="BR35" i="4" s="1"/>
  <c r="BT35" i="4" s="1"/>
  <c r="AZ15" i="4"/>
  <c r="BA15" i="4" s="1"/>
  <c r="BB15" i="4" s="1"/>
  <c r="AZ33" i="4"/>
  <c r="BA33" i="4" s="1"/>
  <c r="BB33" i="4" s="1"/>
  <c r="AZ32" i="4"/>
  <c r="BA32" i="4" s="1"/>
  <c r="BB32" i="4" s="1"/>
  <c r="AZ30" i="4"/>
  <c r="BA30" i="4" s="1"/>
  <c r="BB30" i="4" s="1"/>
  <c r="AZ17" i="4"/>
  <c r="BA17" i="4" s="1"/>
  <c r="BB17" i="4" s="1"/>
  <c r="AZ16" i="4"/>
  <c r="BA16" i="4" s="1"/>
  <c r="BB16" i="4" s="1"/>
  <c r="AZ19" i="4"/>
  <c r="BA19" i="4" s="1"/>
  <c r="BB19" i="4" s="1"/>
  <c r="AZ14" i="4"/>
  <c r="BA14" i="4" s="1"/>
  <c r="BB14" i="4" s="1"/>
  <c r="AZ6" i="4"/>
  <c r="BA6" i="4" s="1"/>
  <c r="BB6" i="4" s="1"/>
  <c r="AZ13" i="4"/>
  <c r="BA13" i="4" s="1"/>
  <c r="BB13" i="4" s="1"/>
  <c r="AZ21" i="4"/>
  <c r="BA21" i="4" s="1"/>
  <c r="BB21" i="4" s="1"/>
  <c r="AZ24" i="4"/>
  <c r="BA24" i="4" s="1"/>
  <c r="BB24" i="4" s="1"/>
  <c r="AX45" i="4"/>
  <c r="AZ29" i="4"/>
  <c r="BA29" i="4" s="1"/>
  <c r="BB29" i="4" s="1"/>
  <c r="AZ22" i="4"/>
  <c r="BA22" i="4" s="1"/>
  <c r="BB22" i="4" s="1"/>
  <c r="AZ10" i="4"/>
  <c r="BA10" i="4" s="1"/>
  <c r="BB10" i="4" s="1"/>
  <c r="AZ26" i="4"/>
  <c r="BA26" i="4" s="1"/>
  <c r="BB26" i="4" s="1"/>
  <c r="AZ31" i="4"/>
  <c r="BA31" i="4" s="1"/>
  <c r="BB31" i="4" s="1"/>
  <c r="AZ8" i="4"/>
  <c r="BA8" i="4" s="1"/>
  <c r="BB8" i="4" s="1"/>
  <c r="AZ20" i="4"/>
  <c r="BA20" i="4" s="1"/>
  <c r="BB20" i="4" s="1"/>
  <c r="BC5" i="4" l="1"/>
  <c r="BF5" i="4"/>
  <c r="BN5" i="4" s="1"/>
  <c r="BR5" i="4" s="1"/>
  <c r="BT5" i="4" s="1"/>
  <c r="BV4" i="4"/>
  <c r="BW4" i="4" s="1"/>
  <c r="BX4" i="4" s="1"/>
  <c r="BZ4" i="4"/>
  <c r="CC4" i="4" s="1"/>
  <c r="BD11" i="4"/>
  <c r="BF11" i="4"/>
  <c r="BN11" i="4" s="1"/>
  <c r="BR11" i="4" s="1"/>
  <c r="BT11" i="4" s="1"/>
  <c r="BC8" i="4"/>
  <c r="BF8" i="4"/>
  <c r="BN8" i="4" s="1"/>
  <c r="BR8" i="4" s="1"/>
  <c r="BT8" i="4" s="1"/>
  <c r="BC21" i="4"/>
  <c r="BF21" i="4"/>
  <c r="BN21" i="4" s="1"/>
  <c r="BR21" i="4" s="1"/>
  <c r="BT21" i="4" s="1"/>
  <c r="BZ21" i="4" s="1"/>
  <c r="CA21" i="4" s="1"/>
  <c r="BC32" i="4"/>
  <c r="BF32" i="4"/>
  <c r="BN32" i="4" s="1"/>
  <c r="BR32" i="4" s="1"/>
  <c r="BT32" i="4" s="1"/>
  <c r="BZ32" i="4" s="1"/>
  <c r="CA32" i="4" s="1"/>
  <c r="BF18" i="4"/>
  <c r="BN18" i="4" s="1"/>
  <c r="BR18" i="4" s="1"/>
  <c r="BT18" i="4" s="1"/>
  <c r="BC31" i="4"/>
  <c r="BF31" i="4"/>
  <c r="BN31" i="4" s="1"/>
  <c r="BR31" i="4" s="1"/>
  <c r="BT31" i="4" s="1"/>
  <c r="BV31" i="4" s="1"/>
  <c r="BW31" i="4" s="1"/>
  <c r="BX31" i="4" s="1"/>
  <c r="BY31" i="4" s="1"/>
  <c r="BC13" i="4"/>
  <c r="BF13" i="4"/>
  <c r="BN13" i="4" s="1"/>
  <c r="BR13" i="4" s="1"/>
  <c r="BT13" i="4" s="1"/>
  <c r="BV13" i="4" s="1"/>
  <c r="BW13" i="4" s="1"/>
  <c r="BX13" i="4" s="1"/>
  <c r="BY13" i="4" s="1"/>
  <c r="BC33" i="4"/>
  <c r="BF33" i="4"/>
  <c r="BN33" i="4" s="1"/>
  <c r="BR33" i="4" s="1"/>
  <c r="BT33" i="4" s="1"/>
  <c r="BV33" i="4" s="1"/>
  <c r="BW33" i="4" s="1"/>
  <c r="BX33" i="4" s="1"/>
  <c r="BC34" i="4"/>
  <c r="BF34" i="4"/>
  <c r="BN34" i="4" s="1"/>
  <c r="BR34" i="4" s="1"/>
  <c r="BT34" i="4" s="1"/>
  <c r="BZ34" i="4" s="1"/>
  <c r="BF26" i="4"/>
  <c r="BN26" i="4" s="1"/>
  <c r="BR26" i="4" s="1"/>
  <c r="BT26" i="4" s="1"/>
  <c r="BF17" i="4"/>
  <c r="BN17" i="4" s="1"/>
  <c r="BR17" i="4" s="1"/>
  <c r="BT17" i="4" s="1"/>
  <c r="BD20" i="4"/>
  <c r="BF20" i="4"/>
  <c r="BN20" i="4" s="1"/>
  <c r="BR20" i="4" s="1"/>
  <c r="BT20" i="4" s="1"/>
  <c r="BZ20" i="4" s="1"/>
  <c r="CA20" i="4" s="1"/>
  <c r="BD6" i="4"/>
  <c r="BF6" i="4"/>
  <c r="BN6" i="4" s="1"/>
  <c r="BR6" i="4" s="1"/>
  <c r="BT6" i="4" s="1"/>
  <c r="BC22" i="4"/>
  <c r="BF22" i="4"/>
  <c r="BN22" i="4" s="1"/>
  <c r="BR22" i="4" s="1"/>
  <c r="BT22" i="4" s="1"/>
  <c r="BV22" i="4" s="1"/>
  <c r="BW22" i="4" s="1"/>
  <c r="BX22" i="4" s="1"/>
  <c r="BY22" i="4" s="1"/>
  <c r="BF28" i="4"/>
  <c r="BN28" i="4" s="1"/>
  <c r="BR28" i="4" s="1"/>
  <c r="BT28" i="4" s="1"/>
  <c r="BC12" i="4"/>
  <c r="BF12" i="4"/>
  <c r="BN12" i="4" s="1"/>
  <c r="BF27" i="4"/>
  <c r="BN27" i="4" s="1"/>
  <c r="BR27" i="4" s="1"/>
  <c r="BT27" i="4" s="1"/>
  <c r="BF24" i="4"/>
  <c r="BN24" i="4" s="1"/>
  <c r="BR24" i="4" s="1"/>
  <c r="BT24" i="4" s="1"/>
  <c r="BC15" i="4"/>
  <c r="BF15" i="4"/>
  <c r="BN15" i="4" s="1"/>
  <c r="BR15" i="4" s="1"/>
  <c r="BT15" i="4" s="1"/>
  <c r="BV15" i="4" s="1"/>
  <c r="BW15" i="4" s="1"/>
  <c r="BX15" i="4" s="1"/>
  <c r="BY15" i="4" s="1"/>
  <c r="BC7" i="4"/>
  <c r="BF7" i="4"/>
  <c r="BN7" i="4" s="1"/>
  <c r="BR7" i="4" s="1"/>
  <c r="BT7" i="4" s="1"/>
  <c r="BC10" i="4"/>
  <c r="BF10" i="4"/>
  <c r="BN10" i="4" s="1"/>
  <c r="BR10" i="4" s="1"/>
  <c r="BT10" i="4" s="1"/>
  <c r="BD14" i="4"/>
  <c r="BF14" i="4"/>
  <c r="BN14" i="4" s="1"/>
  <c r="BR14" i="4" s="1"/>
  <c r="BT14" i="4" s="1"/>
  <c r="BV14" i="4" s="1"/>
  <c r="BW14" i="4" s="1"/>
  <c r="BX14" i="4" s="1"/>
  <c r="BY14" i="4" s="1"/>
  <c r="BD9" i="4"/>
  <c r="BF9" i="4"/>
  <c r="BN9" i="4" s="1"/>
  <c r="BR9" i="4" s="1"/>
  <c r="BT9" i="4" s="1"/>
  <c r="BC19" i="4"/>
  <c r="BF19" i="4"/>
  <c r="BN19" i="4" s="1"/>
  <c r="BR19" i="4" s="1"/>
  <c r="BT19" i="4" s="1"/>
  <c r="BV19" i="4" s="1"/>
  <c r="BW19" i="4" s="1"/>
  <c r="BX19" i="4" s="1"/>
  <c r="BY19" i="4" s="1"/>
  <c r="BC29" i="4"/>
  <c r="BF29" i="4"/>
  <c r="BN29" i="4" s="1"/>
  <c r="BR29" i="4" s="1"/>
  <c r="BT29" i="4" s="1"/>
  <c r="BZ29" i="4" s="1"/>
  <c r="CA29" i="4" s="1"/>
  <c r="BF16" i="4"/>
  <c r="BN16" i="4" s="1"/>
  <c r="BR16" i="4" s="1"/>
  <c r="BT16" i="4" s="1"/>
  <c r="BD25" i="4"/>
  <c r="BF25" i="4"/>
  <c r="BN25" i="4" s="1"/>
  <c r="BR25" i="4" s="1"/>
  <c r="BT25" i="4" s="1"/>
  <c r="BV25" i="4" s="1"/>
  <c r="BW25" i="4" s="1"/>
  <c r="BX25" i="4" s="1"/>
  <c r="BY25" i="4" s="1"/>
  <c r="BC23" i="4"/>
  <c r="BF23" i="4"/>
  <c r="BN23" i="4" s="1"/>
  <c r="BR23" i="4" s="1"/>
  <c r="BT23" i="4" s="1"/>
  <c r="BV23" i="4" s="1"/>
  <c r="BW23" i="4" s="1"/>
  <c r="BX23" i="4" s="1"/>
  <c r="BY23" i="4" s="1"/>
  <c r="BF30" i="4"/>
  <c r="BN30" i="4" s="1"/>
  <c r="BR30" i="4" s="1"/>
  <c r="BT30" i="4" s="1"/>
  <c r="BD28" i="4"/>
  <c r="BC28" i="4"/>
  <c r="BD19" i="4"/>
  <c r="BD12" i="4"/>
  <c r="BD5" i="4"/>
  <c r="BD27" i="4"/>
  <c r="BD16" i="4"/>
  <c r="BC27" i="4"/>
  <c r="BD17" i="4"/>
  <c r="BD7" i="4"/>
  <c r="BD15" i="4"/>
  <c r="BC9" i="4"/>
  <c r="BC25" i="4"/>
  <c r="BC35" i="4"/>
  <c r="BC16" i="4"/>
  <c r="BD13" i="4"/>
  <c r="BC24" i="4"/>
  <c r="BC20" i="4"/>
  <c r="BC30" i="4"/>
  <c r="AZ36" i="4"/>
  <c r="AZ45" i="4" s="1"/>
  <c r="BC11" i="4"/>
  <c r="BD29" i="4"/>
  <c r="BC18" i="4"/>
  <c r="BD30" i="4"/>
  <c r="BC17" i="4"/>
  <c r="BD18" i="4"/>
  <c r="BD21" i="4"/>
  <c r="BC14" i="4"/>
  <c r="BC6" i="4"/>
  <c r="BD26" i="4"/>
  <c r="BC26" i="4"/>
  <c r="BV35" i="4"/>
  <c r="BW35" i="4" s="1"/>
  <c r="BX35" i="4" s="1"/>
  <c r="BY35" i="4" s="1"/>
  <c r="BZ35" i="4"/>
  <c r="CA35" i="4" s="1"/>
  <c r="BD10" i="4"/>
  <c r="BD8" i="4"/>
  <c r="BC4" i="4"/>
  <c r="BD4" i="4"/>
  <c r="BB36" i="4"/>
  <c r="BZ28" i="4" l="1"/>
  <c r="CA28" i="4" s="1"/>
  <c r="BV28" i="4"/>
  <c r="BW28" i="4" s="1"/>
  <c r="BX28" i="4" s="1"/>
  <c r="BY28" i="4" s="1"/>
  <c r="BZ18" i="4"/>
  <c r="CC18" i="4" s="1"/>
  <c r="BV18" i="4"/>
  <c r="BW18" i="4" s="1"/>
  <c r="BX18" i="4" s="1"/>
  <c r="BY18" i="4" s="1"/>
  <c r="BZ30" i="4"/>
  <c r="CC30" i="4" s="1"/>
  <c r="BV30" i="4"/>
  <c r="BW30" i="4" s="1"/>
  <c r="BX30" i="4" s="1"/>
  <c r="BY30" i="4" s="1"/>
  <c r="BV17" i="4"/>
  <c r="BW17" i="4" s="1"/>
  <c r="BX17" i="4" s="1"/>
  <c r="BY17" i="4" s="1"/>
  <c r="BZ17" i="4"/>
  <c r="CC17" i="4" s="1"/>
  <c r="BZ26" i="4"/>
  <c r="CA26" i="4" s="1"/>
  <c r="BV26" i="4"/>
  <c r="BW26" i="4" s="1"/>
  <c r="BX26" i="4" s="1"/>
  <c r="BY26" i="4" s="1"/>
  <c r="BV24" i="4"/>
  <c r="BW24" i="4" s="1"/>
  <c r="BX24" i="4" s="1"/>
  <c r="BY24" i="4" s="1"/>
  <c r="BZ24" i="4"/>
  <c r="CA24" i="4" s="1"/>
  <c r="BV16" i="4"/>
  <c r="BW16" i="4" s="1"/>
  <c r="BX16" i="4" s="1"/>
  <c r="BY16" i="4" s="1"/>
  <c r="BZ16" i="4"/>
  <c r="BV27" i="4"/>
  <c r="BW27" i="4" s="1"/>
  <c r="BX27" i="4" s="1"/>
  <c r="BY27" i="4" s="1"/>
  <c r="BZ27" i="4"/>
  <c r="CC27" i="4" s="1"/>
  <c r="BV11" i="4"/>
  <c r="BW11" i="4" s="1"/>
  <c r="BX11" i="4" s="1"/>
  <c r="BY11" i="4" s="1"/>
  <c r="BZ11" i="4"/>
  <c r="BZ7" i="4"/>
  <c r="CC7" i="4" s="1"/>
  <c r="BV7" i="4"/>
  <c r="BW7" i="4" s="1"/>
  <c r="BX7" i="4" s="1"/>
  <c r="BY7" i="4" s="1"/>
  <c r="BY4" i="4"/>
  <c r="CA4" i="4" s="1"/>
  <c r="CB4" i="4" s="1"/>
  <c r="BV6" i="4"/>
  <c r="BW6" i="4" s="1"/>
  <c r="BX6" i="4" s="1"/>
  <c r="BY6" i="4" s="1"/>
  <c r="BZ6" i="4"/>
  <c r="BZ9" i="4"/>
  <c r="CA9" i="4" s="1"/>
  <c r="BV9" i="4"/>
  <c r="BW9" i="4" s="1"/>
  <c r="BX9" i="4" s="1"/>
  <c r="BV5" i="4"/>
  <c r="BW5" i="4" s="1"/>
  <c r="BX5" i="4" s="1"/>
  <c r="BY5" i="4" s="1"/>
  <c r="BZ5" i="4"/>
  <c r="BV10" i="4"/>
  <c r="BW10" i="4" s="1"/>
  <c r="BX10" i="4" s="1"/>
  <c r="BY10" i="4" s="1"/>
  <c r="BZ10" i="4"/>
  <c r="BZ8" i="4"/>
  <c r="CC8" i="4" s="1"/>
  <c r="BV8" i="4"/>
  <c r="BW8" i="4" s="1"/>
  <c r="BX8" i="4" s="1"/>
  <c r="BY8" i="4" s="1"/>
  <c r="BC36" i="4"/>
  <c r="BF36" i="4"/>
  <c r="BR12" i="4"/>
  <c r="BN36" i="4"/>
  <c r="BZ19" i="4"/>
  <c r="CA19" i="4" s="1"/>
  <c r="CB19" i="4" s="1"/>
  <c r="BZ25" i="4"/>
  <c r="CA25" i="4" s="1"/>
  <c r="CB25" i="4" s="1"/>
  <c r="BZ23" i="4"/>
  <c r="CA23" i="4" s="1"/>
  <c r="CB23" i="4" s="1"/>
  <c r="BZ14" i="4"/>
  <c r="CA14" i="4" s="1"/>
  <c r="CB14" i="4" s="1"/>
  <c r="BV34" i="4"/>
  <c r="BW34" i="4" s="1"/>
  <c r="BX34" i="4" s="1"/>
  <c r="BY34" i="4" s="1"/>
  <c r="CC34" i="4" s="1"/>
  <c r="BZ13" i="4"/>
  <c r="CA13" i="4" s="1"/>
  <c r="CB13" i="4" s="1"/>
  <c r="BV32" i="4"/>
  <c r="BW32" i="4" s="1"/>
  <c r="BX32" i="4" s="1"/>
  <c r="BY32" i="4" s="1"/>
  <c r="CC32" i="4" s="1"/>
  <c r="BV29" i="4"/>
  <c r="BW29" i="4" s="1"/>
  <c r="BX29" i="4" s="1"/>
  <c r="CB29" i="4" s="1"/>
  <c r="BZ15" i="4"/>
  <c r="CA15" i="4" s="1"/>
  <c r="CB15" i="4" s="1"/>
  <c r="BZ33" i="4"/>
  <c r="CA33" i="4" s="1"/>
  <c r="CB33" i="4" s="1"/>
  <c r="BV21" i="4"/>
  <c r="BW21" i="4" s="1"/>
  <c r="BX21" i="4" s="1"/>
  <c r="BY21" i="4" s="1"/>
  <c r="CC21" i="4" s="1"/>
  <c r="BV20" i="4"/>
  <c r="BW20" i="4" s="1"/>
  <c r="BX20" i="4" s="1"/>
  <c r="BY20" i="4" s="1"/>
  <c r="CC20" i="4" s="1"/>
  <c r="BZ31" i="4"/>
  <c r="CC31" i="4" s="1"/>
  <c r="BZ22" i="4"/>
  <c r="CC22" i="4" s="1"/>
  <c r="CC35" i="4"/>
  <c r="BY33" i="4"/>
  <c r="CA34" i="4"/>
  <c r="CB35" i="4"/>
  <c r="CA16" i="4"/>
  <c r="BD36" i="4"/>
  <c r="BB45" i="4"/>
  <c r="CC26" i="4" l="1"/>
  <c r="CB28" i="4"/>
  <c r="CC28" i="4"/>
  <c r="CB16" i="4"/>
  <c r="CA27" i="4"/>
  <c r="CB27" i="4" s="1"/>
  <c r="CA7" i="4"/>
  <c r="CB7" i="4" s="1"/>
  <c r="CA18" i="4"/>
  <c r="CB18" i="4" s="1"/>
  <c r="CC16" i="4"/>
  <c r="CA30" i="4"/>
  <c r="CB30" i="4" s="1"/>
  <c r="CC24" i="4"/>
  <c r="CA8" i="4"/>
  <c r="CB8" i="4" s="1"/>
  <c r="CA17" i="4"/>
  <c r="CB17" i="4" s="1"/>
  <c r="CB26" i="4"/>
  <c r="CB24" i="4"/>
  <c r="BY9" i="4"/>
  <c r="CC9" i="4" s="1"/>
  <c r="CB9" i="4"/>
  <c r="CC11" i="4"/>
  <c r="CA11" i="4"/>
  <c r="CB11" i="4" s="1"/>
  <c r="CC6" i="4"/>
  <c r="CA6" i="4"/>
  <c r="CB6" i="4" s="1"/>
  <c r="CA10" i="4"/>
  <c r="CB10" i="4" s="1"/>
  <c r="CC10" i="4"/>
  <c r="CC5" i="4"/>
  <c r="CA5" i="4"/>
  <c r="CB5" i="4" s="1"/>
  <c r="BN45" i="4"/>
  <c r="BT12" i="4"/>
  <c r="BR36" i="4"/>
  <c r="BR45" i="4" s="1"/>
  <c r="CC25" i="4"/>
  <c r="CC14" i="4"/>
  <c r="CC19" i="4"/>
  <c r="CC23" i="4"/>
  <c r="CB34" i="4"/>
  <c r="CC15" i="4"/>
  <c r="CC13" i="4"/>
  <c r="CB32" i="4"/>
  <c r="BY29" i="4"/>
  <c r="CC29" i="4" s="1"/>
  <c r="CC33" i="4"/>
  <c r="CA31" i="4"/>
  <c r="CB31" i="4" s="1"/>
  <c r="CB20" i="4"/>
  <c r="CB21" i="4"/>
  <c r="CA22" i="4"/>
  <c r="CB22" i="4" s="1"/>
  <c r="BT36" i="4" l="1"/>
  <c r="BZ12" i="4"/>
  <c r="CA12" i="4" s="1"/>
  <c r="CA36" i="4" s="1"/>
  <c r="BV12" i="4"/>
  <c r="BW12" i="4" l="1"/>
  <c r="BV36" i="4"/>
  <c r="BX12" i="4" l="1"/>
  <c r="BW36" i="4"/>
  <c r="BW45" i="4" l="1"/>
  <c r="CB41" i="4"/>
  <c r="CA45" i="4"/>
  <c r="BY12" i="4"/>
  <c r="CC12" i="4" s="1"/>
  <c r="CB12" i="4"/>
  <c r="CC36" i="4" l="1"/>
  <c r="CC45" i="4" s="1"/>
  <c r="CB45" i="4"/>
  <c r="CD20" i="4" l="1"/>
  <c r="CE20" i="4" s="1"/>
  <c r="CF20" i="4" s="1"/>
  <c r="CD33" i="4"/>
  <c r="CE33" i="4" s="1"/>
  <c r="CF33" i="4" s="1"/>
  <c r="CD25" i="4"/>
  <c r="CE25" i="4" s="1"/>
  <c r="CF25" i="4" s="1"/>
  <c r="CD35" i="4"/>
  <c r="CE35" i="4" s="1"/>
  <c r="CF35" i="4" s="1"/>
  <c r="CD17" i="4"/>
  <c r="CE17" i="4" s="1"/>
  <c r="CF17" i="4" s="1"/>
  <c r="CD27" i="4"/>
  <c r="CE27" i="4" s="1"/>
  <c r="CF27" i="4" s="1"/>
  <c r="CD4" i="4"/>
  <c r="CE4" i="4" s="1"/>
  <c r="CF4" i="4" s="1"/>
  <c r="CJ4" i="4" s="1"/>
  <c r="CR4" i="4" s="1"/>
  <c r="CV4" i="4" s="1"/>
  <c r="CX4" i="4" s="1"/>
  <c r="CD13" i="4"/>
  <c r="CE13" i="4" s="1"/>
  <c r="CF13" i="4" s="1"/>
  <c r="CD22" i="4"/>
  <c r="CE22" i="4" s="1"/>
  <c r="CF22" i="4" s="1"/>
  <c r="CD8" i="4"/>
  <c r="CE8" i="4" s="1"/>
  <c r="CF8" i="4" s="1"/>
  <c r="CD15" i="4"/>
  <c r="CE15" i="4" s="1"/>
  <c r="CF15" i="4" s="1"/>
  <c r="CD30" i="4"/>
  <c r="CE30" i="4" s="1"/>
  <c r="CF30" i="4" s="1"/>
  <c r="CD7" i="4"/>
  <c r="CE7" i="4" s="1"/>
  <c r="CF7" i="4" s="1"/>
  <c r="CD21" i="4"/>
  <c r="CE21" i="4" s="1"/>
  <c r="CF21" i="4" s="1"/>
  <c r="CD34" i="4"/>
  <c r="CE34" i="4" s="1"/>
  <c r="CF34" i="4" s="1"/>
  <c r="CD5" i="4"/>
  <c r="CE5" i="4" s="1"/>
  <c r="CF5" i="4" s="1"/>
  <c r="CD23" i="4"/>
  <c r="CE23" i="4" s="1"/>
  <c r="CF23" i="4" s="1"/>
  <c r="CD19" i="4"/>
  <c r="CE19" i="4" s="1"/>
  <c r="CF19" i="4" s="1"/>
  <c r="CD18" i="4"/>
  <c r="CE18" i="4" s="1"/>
  <c r="CF18" i="4" s="1"/>
  <c r="CD16" i="4"/>
  <c r="CE16" i="4" s="1"/>
  <c r="CF16" i="4" s="1"/>
  <c r="CD14" i="4"/>
  <c r="CE14" i="4" s="1"/>
  <c r="CF14" i="4" s="1"/>
  <c r="CD26" i="4"/>
  <c r="CE26" i="4" s="1"/>
  <c r="CF26" i="4" s="1"/>
  <c r="CD31" i="4"/>
  <c r="CE31" i="4" s="1"/>
  <c r="CF31" i="4" s="1"/>
  <c r="CD11" i="4"/>
  <c r="CE11" i="4" s="1"/>
  <c r="CF11" i="4" s="1"/>
  <c r="CD32" i="4"/>
  <c r="CE32" i="4" s="1"/>
  <c r="CF32" i="4" s="1"/>
  <c r="CD6" i="4"/>
  <c r="CE6" i="4" s="1"/>
  <c r="CF6" i="4" s="1"/>
  <c r="CD9" i="4"/>
  <c r="CE9" i="4" s="1"/>
  <c r="CF9" i="4" s="1"/>
  <c r="CJ9" i="4" s="1"/>
  <c r="CR9" i="4" s="1"/>
  <c r="CV9" i="4" s="1"/>
  <c r="CX9" i="4" s="1"/>
  <c r="CD29" i="4"/>
  <c r="CE29" i="4" s="1"/>
  <c r="CF29" i="4" s="1"/>
  <c r="CJ29" i="4" s="1"/>
  <c r="CD24" i="4"/>
  <c r="CE24" i="4" s="1"/>
  <c r="CF24" i="4" s="1"/>
  <c r="CJ24" i="4" s="1"/>
  <c r="CD28" i="4"/>
  <c r="CE28" i="4" s="1"/>
  <c r="CF28" i="4" s="1"/>
  <c r="CJ28" i="4" s="1"/>
  <c r="CD10" i="4"/>
  <c r="CE10" i="4" s="1"/>
  <c r="CF10" i="4" s="1"/>
  <c r="CJ10" i="4" s="1"/>
  <c r="CR10" i="4" s="1"/>
  <c r="CV10" i="4" s="1"/>
  <c r="CX10" i="4" s="1"/>
  <c r="CD12" i="4"/>
  <c r="CE12" i="4" s="1"/>
  <c r="CF12" i="4" s="1"/>
  <c r="CJ12" i="4" s="1"/>
  <c r="CJ13" i="4" l="1"/>
  <c r="DD10" i="4"/>
  <c r="CZ10" i="4"/>
  <c r="DA10" i="4" s="1"/>
  <c r="DB10" i="4" s="1"/>
  <c r="DC10" i="4" s="1"/>
  <c r="CJ31" i="4"/>
  <c r="DD4" i="4"/>
  <c r="DG4" i="4" s="1"/>
  <c r="CZ4" i="4"/>
  <c r="DA4" i="4" s="1"/>
  <c r="DB4" i="4" s="1"/>
  <c r="DC4" i="4" s="1"/>
  <c r="CG11" i="4"/>
  <c r="CJ11" i="4"/>
  <c r="CR11" i="4" s="1"/>
  <c r="CV11" i="4" s="1"/>
  <c r="CX11" i="4" s="1"/>
  <c r="CJ26" i="4"/>
  <c r="CR26" i="4" s="1"/>
  <c r="CJ21" i="4"/>
  <c r="CJ27" i="4"/>
  <c r="CH6" i="4"/>
  <c r="CJ6" i="4"/>
  <c r="CR6" i="4" s="1"/>
  <c r="CV6" i="4" s="1"/>
  <c r="CX6" i="4" s="1"/>
  <c r="CJ14" i="4"/>
  <c r="CR14" i="4" s="1"/>
  <c r="CG7" i="4"/>
  <c r="CJ7" i="4"/>
  <c r="CR7" i="4" s="1"/>
  <c r="CV7" i="4" s="1"/>
  <c r="CX7" i="4" s="1"/>
  <c r="CJ17" i="4"/>
  <c r="CR17" i="4" s="1"/>
  <c r="CJ30" i="4"/>
  <c r="CG5" i="4"/>
  <c r="CJ5" i="4"/>
  <c r="CR5" i="4" s="1"/>
  <c r="CV5" i="4" s="1"/>
  <c r="CX5" i="4" s="1"/>
  <c r="CJ16" i="4"/>
  <c r="CZ9" i="4"/>
  <c r="DA9" i="4" s="1"/>
  <c r="DB9" i="4" s="1"/>
  <c r="DD9" i="4"/>
  <c r="CJ18" i="4"/>
  <c r="CJ15" i="4"/>
  <c r="CJ25" i="4"/>
  <c r="CJ19" i="4"/>
  <c r="CH8" i="4"/>
  <c r="CJ8" i="4"/>
  <c r="CR8" i="4" s="1"/>
  <c r="CV8" i="4" s="1"/>
  <c r="CX8" i="4" s="1"/>
  <c r="CJ23" i="4"/>
  <c r="CJ22" i="4"/>
  <c r="CJ20" i="4"/>
  <c r="CH26" i="4"/>
  <c r="CH25" i="4"/>
  <c r="CG13" i="4"/>
  <c r="CG31" i="4"/>
  <c r="CH14" i="4"/>
  <c r="CH17" i="4"/>
  <c r="CG30" i="4"/>
  <c r="CJ35" i="4"/>
  <c r="CG34" i="4"/>
  <c r="CG15" i="4"/>
  <c r="CH19" i="4"/>
  <c r="CJ33" i="4"/>
  <c r="CJ32" i="4"/>
  <c r="CG20" i="4"/>
  <c r="CG22" i="4"/>
  <c r="CH7" i="4"/>
  <c r="CG32" i="4"/>
  <c r="CG23" i="4"/>
  <c r="CH20" i="4"/>
  <c r="CG21" i="4"/>
  <c r="CG26" i="4"/>
  <c r="CH21" i="4"/>
  <c r="CH27" i="4"/>
  <c r="CG17" i="4"/>
  <c r="CG18" i="4"/>
  <c r="CG14" i="4"/>
  <c r="CH15" i="4"/>
  <c r="CG16" i="4"/>
  <c r="CH13" i="4"/>
  <c r="CG25" i="4"/>
  <c r="CG8" i="4"/>
  <c r="CG33" i="4"/>
  <c r="CG6" i="4"/>
  <c r="CH18" i="4"/>
  <c r="CG27" i="4"/>
  <c r="CH5" i="4"/>
  <c r="CH16" i="4"/>
  <c r="CJ34" i="4"/>
  <c r="CG35" i="4"/>
  <c r="CH11" i="4"/>
  <c r="CG19" i="4"/>
  <c r="CH30" i="4"/>
  <c r="CR28" i="4"/>
  <c r="CH28" i="4"/>
  <c r="CG28" i="4"/>
  <c r="CF36" i="4"/>
  <c r="CG4" i="4"/>
  <c r="CH4" i="4"/>
  <c r="CD36" i="4"/>
  <c r="CD45" i="4" s="1"/>
  <c r="CH10" i="4"/>
  <c r="CG10" i="4"/>
  <c r="CH9" i="4"/>
  <c r="CG9" i="4"/>
  <c r="CG24" i="4"/>
  <c r="CG12" i="4"/>
  <c r="CH12" i="4"/>
  <c r="CR12" i="4"/>
  <c r="CR29" i="4"/>
  <c r="CG29" i="4"/>
  <c r="CH29" i="4"/>
  <c r="DE9" i="4" l="1"/>
  <c r="DF9" i="4" s="1"/>
  <c r="DC9" i="4"/>
  <c r="DG9" i="4" s="1"/>
  <c r="CZ8" i="4"/>
  <c r="DA8" i="4" s="1"/>
  <c r="DB8" i="4" s="1"/>
  <c r="DC8" i="4" s="1"/>
  <c r="DD8" i="4"/>
  <c r="DD7" i="4"/>
  <c r="CZ7" i="4"/>
  <c r="DA7" i="4" s="1"/>
  <c r="DB7" i="4" s="1"/>
  <c r="DC7" i="4" s="1"/>
  <c r="CZ6" i="4"/>
  <c r="DA6" i="4" s="1"/>
  <c r="DB6" i="4" s="1"/>
  <c r="DC6" i="4" s="1"/>
  <c r="DD6" i="4"/>
  <c r="DD5" i="4"/>
  <c r="DG5" i="4" s="1"/>
  <c r="CZ5" i="4"/>
  <c r="DA5" i="4" s="1"/>
  <c r="DB5" i="4" s="1"/>
  <c r="DC5" i="4" s="1"/>
  <c r="CZ11" i="4"/>
  <c r="DA11" i="4" s="1"/>
  <c r="DB11" i="4" s="1"/>
  <c r="DD11" i="4"/>
  <c r="DE10" i="4"/>
  <c r="DF10" i="4" s="1"/>
  <c r="DG10" i="4"/>
  <c r="DE4" i="4"/>
  <c r="DF4" i="4" s="1"/>
  <c r="CR25" i="4"/>
  <c r="CV25" i="4" s="1"/>
  <c r="CX25" i="4" s="1"/>
  <c r="CR19" i="4"/>
  <c r="CV19" i="4" s="1"/>
  <c r="CX19" i="4" s="1"/>
  <c r="CR22" i="4"/>
  <c r="CV22" i="4" s="1"/>
  <c r="CX22" i="4" s="1"/>
  <c r="CR35" i="4"/>
  <c r="CV35" i="4" s="1"/>
  <c r="CX35" i="4" s="1"/>
  <c r="CR24" i="4"/>
  <c r="CV24" i="4" s="1"/>
  <c r="CX24" i="4" s="1"/>
  <c r="CR15" i="4"/>
  <c r="CV15" i="4" s="1"/>
  <c r="CX15" i="4" s="1"/>
  <c r="CR23" i="4"/>
  <c r="CV23" i="4" s="1"/>
  <c r="CX23" i="4" s="1"/>
  <c r="CR27" i="4"/>
  <c r="CV27" i="4" s="1"/>
  <c r="CX27" i="4" s="1"/>
  <c r="CR13" i="4"/>
  <c r="CV13" i="4" s="1"/>
  <c r="CX13" i="4" s="1"/>
  <c r="CR20" i="4"/>
  <c r="CV20" i="4" s="1"/>
  <c r="CX20" i="4" s="1"/>
  <c r="CR34" i="4"/>
  <c r="CV34" i="4" s="1"/>
  <c r="CX34" i="4" s="1"/>
  <c r="CR32" i="4"/>
  <c r="CV32" i="4" s="1"/>
  <c r="CX32" i="4" s="1"/>
  <c r="CR16" i="4"/>
  <c r="CV16" i="4" s="1"/>
  <c r="CX16" i="4" s="1"/>
  <c r="CR18" i="4"/>
  <c r="CV18" i="4" s="1"/>
  <c r="CX18" i="4" s="1"/>
  <c r="CR31" i="4"/>
  <c r="CV31" i="4" s="1"/>
  <c r="CX31" i="4" s="1"/>
  <c r="CR30" i="4"/>
  <c r="CV30" i="4" s="1"/>
  <c r="CX30" i="4" s="1"/>
  <c r="CR33" i="4"/>
  <c r="CV33" i="4" s="1"/>
  <c r="CX33" i="4" s="1"/>
  <c r="CR21" i="4"/>
  <c r="CV21" i="4" s="1"/>
  <c r="CX21" i="4" s="1"/>
  <c r="CV14" i="4"/>
  <c r="CX14" i="4" s="1"/>
  <c r="CV29" i="4"/>
  <c r="CX29" i="4" s="1"/>
  <c r="CZ29" i="4" s="1"/>
  <c r="DA29" i="4" s="1"/>
  <c r="DB29" i="4" s="1"/>
  <c r="DC29" i="4" s="1"/>
  <c r="CV28" i="4"/>
  <c r="CX28" i="4" s="1"/>
  <c r="CV26" i="4"/>
  <c r="CX26" i="4" s="1"/>
  <c r="CV17" i="4"/>
  <c r="CX17" i="4" s="1"/>
  <c r="CJ36" i="4"/>
  <c r="CG36" i="4"/>
  <c r="CF45" i="4"/>
  <c r="CH36" i="4"/>
  <c r="DE5" i="4" l="1"/>
  <c r="DF5" i="4" s="1"/>
  <c r="DG7" i="4"/>
  <c r="DE7" i="4"/>
  <c r="DF7" i="4" s="1"/>
  <c r="DE11" i="4"/>
  <c r="DF11" i="4" s="1"/>
  <c r="DG8" i="4"/>
  <c r="DE8" i="4"/>
  <c r="DF8" i="4" s="1"/>
  <c r="DC11" i="4"/>
  <c r="DG11" i="4" s="1"/>
  <c r="DE6" i="4"/>
  <c r="DF6" i="4" s="1"/>
  <c r="DG6" i="4"/>
  <c r="DD34" i="4"/>
  <c r="DE34" i="4" s="1"/>
  <c r="CZ34" i="4"/>
  <c r="DA34" i="4" s="1"/>
  <c r="DB34" i="4" s="1"/>
  <c r="DC34" i="4" s="1"/>
  <c r="CZ31" i="4"/>
  <c r="DA31" i="4" s="1"/>
  <c r="DB31" i="4" s="1"/>
  <c r="DC31" i="4" s="1"/>
  <c r="DD31" i="4"/>
  <c r="CZ20" i="4"/>
  <c r="DA20" i="4" s="1"/>
  <c r="DB20" i="4" s="1"/>
  <c r="DC20" i="4" s="1"/>
  <c r="DD20" i="4"/>
  <c r="DE20" i="4" s="1"/>
  <c r="CZ27" i="4"/>
  <c r="DA27" i="4" s="1"/>
  <c r="DB27" i="4" s="1"/>
  <c r="DC27" i="4" s="1"/>
  <c r="DD27" i="4"/>
  <c r="CZ22" i="4"/>
  <c r="DA22" i="4" s="1"/>
  <c r="DB22" i="4" s="1"/>
  <c r="DD22" i="4"/>
  <c r="CZ18" i="4"/>
  <c r="DA18" i="4" s="1"/>
  <c r="DB18" i="4" s="1"/>
  <c r="DC18" i="4" s="1"/>
  <c r="DD18" i="4"/>
  <c r="DD21" i="4"/>
  <c r="CZ21" i="4"/>
  <c r="DA21" i="4" s="1"/>
  <c r="DB21" i="4" s="1"/>
  <c r="CZ24" i="4"/>
  <c r="DA24" i="4" s="1"/>
  <c r="DB24" i="4" s="1"/>
  <c r="DC24" i="4" s="1"/>
  <c r="DD24" i="4"/>
  <c r="DE24" i="4" s="1"/>
  <c r="DD30" i="4"/>
  <c r="DE30" i="4" s="1"/>
  <c r="CZ30" i="4"/>
  <c r="DA30" i="4" s="1"/>
  <c r="DB30" i="4" s="1"/>
  <c r="DC30" i="4" s="1"/>
  <c r="CZ33" i="4"/>
  <c r="DA33" i="4" s="1"/>
  <c r="DB33" i="4" s="1"/>
  <c r="DD33" i="4"/>
  <c r="CZ13" i="4"/>
  <c r="DA13" i="4" s="1"/>
  <c r="DB13" i="4" s="1"/>
  <c r="DC13" i="4" s="1"/>
  <c r="DD13" i="4"/>
  <c r="DE13" i="4" s="1"/>
  <c r="CZ19" i="4"/>
  <c r="DA19" i="4" s="1"/>
  <c r="DB19" i="4" s="1"/>
  <c r="DC19" i="4" s="1"/>
  <c r="DD19" i="4"/>
  <c r="DG19" i="4" s="1"/>
  <c r="CZ16" i="4"/>
  <c r="DA16" i="4" s="1"/>
  <c r="DB16" i="4" s="1"/>
  <c r="DD16" i="4"/>
  <c r="CZ32" i="4"/>
  <c r="DA32" i="4" s="1"/>
  <c r="DB32" i="4" s="1"/>
  <c r="DD32" i="4"/>
  <c r="CZ15" i="4"/>
  <c r="DA15" i="4" s="1"/>
  <c r="DB15" i="4" s="1"/>
  <c r="DC15" i="4" s="1"/>
  <c r="DD15" i="4"/>
  <c r="DG15" i="4" s="1"/>
  <c r="DD25" i="4"/>
  <c r="DE25" i="4" s="1"/>
  <c r="CZ25" i="4"/>
  <c r="DA25" i="4" s="1"/>
  <c r="DB25" i="4" s="1"/>
  <c r="DC25" i="4" s="1"/>
  <c r="DD29" i="4"/>
  <c r="DG29" i="4" s="1"/>
  <c r="CZ35" i="4"/>
  <c r="DA35" i="4" s="1"/>
  <c r="DB35" i="4" s="1"/>
  <c r="DD35" i="4"/>
  <c r="CZ23" i="4"/>
  <c r="DA23" i="4" s="1"/>
  <c r="DB23" i="4" s="1"/>
  <c r="DD23" i="4"/>
  <c r="DE23" i="4" s="1"/>
  <c r="CZ14" i="4"/>
  <c r="DA14" i="4" s="1"/>
  <c r="DB14" i="4" s="1"/>
  <c r="DC14" i="4" s="1"/>
  <c r="DD14" i="4"/>
  <c r="DE14" i="4" s="1"/>
  <c r="DD17" i="4"/>
  <c r="DG17" i="4" s="1"/>
  <c r="CZ17" i="4"/>
  <c r="DA17" i="4" s="1"/>
  <c r="DB17" i="4" s="1"/>
  <c r="DC17" i="4" s="1"/>
  <c r="DD26" i="4"/>
  <c r="DE26" i="4" s="1"/>
  <c r="CZ26" i="4"/>
  <c r="DA26" i="4" s="1"/>
  <c r="DB26" i="4" s="1"/>
  <c r="DC26" i="4" s="1"/>
  <c r="CZ28" i="4"/>
  <c r="DA28" i="4" s="1"/>
  <c r="DB28" i="4" s="1"/>
  <c r="DC28" i="4" s="1"/>
  <c r="DD28" i="4"/>
  <c r="DE28" i="4" s="1"/>
  <c r="CR36" i="4"/>
  <c r="CR45" i="4" s="1"/>
  <c r="CV12" i="4"/>
  <c r="DE31" i="4" l="1"/>
  <c r="DF31" i="4" s="1"/>
  <c r="DE29" i="4"/>
  <c r="DF29" i="4" s="1"/>
  <c r="DG31" i="4"/>
  <c r="DE15" i="4"/>
  <c r="DF15" i="4" s="1"/>
  <c r="DG20" i="4"/>
  <c r="DF34" i="4"/>
  <c r="DE19" i="4"/>
  <c r="DF19" i="4" s="1"/>
  <c r="DG24" i="4"/>
  <c r="DF13" i="4"/>
  <c r="DG34" i="4"/>
  <c r="DF25" i="4"/>
  <c r="DG30" i="4"/>
  <c r="DE17" i="4"/>
  <c r="DF17" i="4" s="1"/>
  <c r="DF24" i="4"/>
  <c r="DF20" i="4"/>
  <c r="DC32" i="4"/>
  <c r="DG32" i="4" s="1"/>
  <c r="DC21" i="4"/>
  <c r="DG21" i="4" s="1"/>
  <c r="DG13" i="4"/>
  <c r="DG26" i="4"/>
  <c r="DC23" i="4"/>
  <c r="DG23" i="4" s="1"/>
  <c r="DF23" i="4"/>
  <c r="DE32" i="4"/>
  <c r="DF32" i="4" s="1"/>
  <c r="DE33" i="4"/>
  <c r="DF33" i="4" s="1"/>
  <c r="DG18" i="4"/>
  <c r="DE18" i="4"/>
  <c r="DF18" i="4" s="1"/>
  <c r="DE35" i="4"/>
  <c r="DF35" i="4" s="1"/>
  <c r="DE22" i="4"/>
  <c r="DF22" i="4" s="1"/>
  <c r="DC16" i="4"/>
  <c r="DG16" i="4" s="1"/>
  <c r="DC22" i="4"/>
  <c r="DG22" i="4" s="1"/>
  <c r="DC35" i="4"/>
  <c r="DG35" i="4" s="1"/>
  <c r="DE16" i="4"/>
  <c r="DF16" i="4" s="1"/>
  <c r="DG25" i="4"/>
  <c r="DG27" i="4"/>
  <c r="DE27" i="4"/>
  <c r="DF27" i="4" s="1"/>
  <c r="DC33" i="4"/>
  <c r="DG33" i="4" s="1"/>
  <c r="DF30" i="4"/>
  <c r="DG28" i="4"/>
  <c r="DE21" i="4"/>
  <c r="DF21" i="4" s="1"/>
  <c r="DF14" i="4"/>
  <c r="DF28" i="4"/>
  <c r="DF26" i="4"/>
  <c r="DG14" i="4"/>
  <c r="CX12" i="4"/>
  <c r="CV36" i="4"/>
  <c r="CV45" i="4" s="1"/>
  <c r="CZ12" i="4" l="1"/>
  <c r="DD12" i="4"/>
  <c r="DE12" i="4" s="1"/>
  <c r="CX36" i="4"/>
  <c r="DA12" i="4" l="1"/>
  <c r="CZ36" i="4"/>
  <c r="DE36" i="4"/>
  <c r="DA36" i="4" l="1"/>
  <c r="DB12" i="4"/>
  <c r="DC12" i="4" l="1"/>
  <c r="DG12" i="4" s="1"/>
  <c r="DG36" i="4" s="1"/>
  <c r="DF12" i="4"/>
  <c r="DA45" i="4"/>
  <c r="DF41" i="4"/>
  <c r="DE45" i="4"/>
  <c r="DG45" i="4" l="1"/>
  <c r="DH34" i="4"/>
  <c r="DI34" i="4" s="1"/>
  <c r="DJ34" i="4" s="1"/>
  <c r="DN34" i="4" s="1"/>
  <c r="DV34" i="4" s="1"/>
  <c r="DZ34" i="4" s="1"/>
  <c r="EB34" i="4" s="1"/>
  <c r="DH10" i="4"/>
  <c r="DI10" i="4" s="1"/>
  <c r="DJ10" i="4" s="1"/>
  <c r="DN10" i="4" s="1"/>
  <c r="DV10" i="4" s="1"/>
  <c r="DZ10" i="4" s="1"/>
  <c r="EB10" i="4" s="1"/>
  <c r="DH12" i="4"/>
  <c r="DI12" i="4" s="1"/>
  <c r="DJ12" i="4" s="1"/>
  <c r="DN12" i="4" s="1"/>
  <c r="DV12" i="4" s="1"/>
  <c r="DZ12" i="4" s="1"/>
  <c r="EB12" i="4" s="1"/>
  <c r="DH22" i="4"/>
  <c r="DI22" i="4" s="1"/>
  <c r="DJ22" i="4" s="1"/>
  <c r="DN22" i="4" s="1"/>
  <c r="DV22" i="4" s="1"/>
  <c r="DZ22" i="4" s="1"/>
  <c r="EB22" i="4" s="1"/>
  <c r="DH8" i="4"/>
  <c r="DI8" i="4" s="1"/>
  <c r="DJ8" i="4" s="1"/>
  <c r="DN8" i="4" s="1"/>
  <c r="DV8" i="4" s="1"/>
  <c r="DZ8" i="4" s="1"/>
  <c r="EB8" i="4" s="1"/>
  <c r="DH26" i="4"/>
  <c r="DI26" i="4" s="1"/>
  <c r="DJ26" i="4" s="1"/>
  <c r="DN26" i="4" s="1"/>
  <c r="DV26" i="4" s="1"/>
  <c r="DZ26" i="4" s="1"/>
  <c r="EB26" i="4" s="1"/>
  <c r="DH24" i="4"/>
  <c r="DI24" i="4" s="1"/>
  <c r="DJ24" i="4" s="1"/>
  <c r="DN24" i="4" s="1"/>
  <c r="DV24" i="4" s="1"/>
  <c r="DZ24" i="4" s="1"/>
  <c r="EB24" i="4" s="1"/>
  <c r="DH4" i="4"/>
  <c r="DH14" i="4"/>
  <c r="DI14" i="4" s="1"/>
  <c r="DJ14" i="4" s="1"/>
  <c r="DN14" i="4" s="1"/>
  <c r="DV14" i="4" s="1"/>
  <c r="DZ14" i="4" s="1"/>
  <c r="EB14" i="4" s="1"/>
  <c r="DH16" i="4"/>
  <c r="DI16" i="4" s="1"/>
  <c r="DJ16" i="4" s="1"/>
  <c r="DN16" i="4" s="1"/>
  <c r="DV16" i="4" s="1"/>
  <c r="DZ16" i="4" s="1"/>
  <c r="EB16" i="4" s="1"/>
  <c r="DH25" i="4"/>
  <c r="DI25" i="4" s="1"/>
  <c r="DJ25" i="4" s="1"/>
  <c r="DN25" i="4" s="1"/>
  <c r="DV25" i="4" s="1"/>
  <c r="DZ25" i="4" s="1"/>
  <c r="EB25" i="4" s="1"/>
  <c r="DH28" i="4"/>
  <c r="DI28" i="4" s="1"/>
  <c r="DJ28" i="4" s="1"/>
  <c r="DN28" i="4" s="1"/>
  <c r="DV28" i="4" s="1"/>
  <c r="DZ28" i="4" s="1"/>
  <c r="EB28" i="4" s="1"/>
  <c r="DF45" i="4"/>
  <c r="DH6" i="4"/>
  <c r="DI6" i="4" s="1"/>
  <c r="DJ6" i="4" s="1"/>
  <c r="DN6" i="4" s="1"/>
  <c r="DV6" i="4" s="1"/>
  <c r="DZ6" i="4" s="1"/>
  <c r="EB6" i="4" s="1"/>
  <c r="DH9" i="4"/>
  <c r="DI9" i="4" s="1"/>
  <c r="DJ9" i="4" s="1"/>
  <c r="DN9" i="4" s="1"/>
  <c r="DV9" i="4" s="1"/>
  <c r="DZ9" i="4" s="1"/>
  <c r="EB9" i="4" s="1"/>
  <c r="DH11" i="4"/>
  <c r="DI11" i="4" s="1"/>
  <c r="DJ11" i="4" s="1"/>
  <c r="DN11" i="4" s="1"/>
  <c r="DV11" i="4" s="1"/>
  <c r="DZ11" i="4" s="1"/>
  <c r="EB11" i="4" s="1"/>
  <c r="DH21" i="4"/>
  <c r="DI21" i="4" s="1"/>
  <c r="DJ21" i="4" s="1"/>
  <c r="DN21" i="4" s="1"/>
  <c r="DV21" i="4" s="1"/>
  <c r="DZ21" i="4" s="1"/>
  <c r="EB21" i="4" s="1"/>
  <c r="DH32" i="4"/>
  <c r="DI32" i="4" s="1"/>
  <c r="DJ32" i="4" s="1"/>
  <c r="DN32" i="4" s="1"/>
  <c r="DV32" i="4" s="1"/>
  <c r="DZ32" i="4" s="1"/>
  <c r="EB32" i="4" s="1"/>
  <c r="DH17" i="4"/>
  <c r="DI17" i="4" s="1"/>
  <c r="DJ17" i="4" s="1"/>
  <c r="DN17" i="4" s="1"/>
  <c r="DV17" i="4" s="1"/>
  <c r="DZ17" i="4" s="1"/>
  <c r="EB17" i="4" s="1"/>
  <c r="DH19" i="4"/>
  <c r="DI19" i="4" s="1"/>
  <c r="DJ19" i="4" s="1"/>
  <c r="DN19" i="4" s="1"/>
  <c r="DV19" i="4" s="1"/>
  <c r="DZ19" i="4" s="1"/>
  <c r="EB19" i="4" s="1"/>
  <c r="DH30" i="4"/>
  <c r="DI30" i="4" s="1"/>
  <c r="DJ30" i="4" s="1"/>
  <c r="DN30" i="4" s="1"/>
  <c r="DV30" i="4" s="1"/>
  <c r="DZ30" i="4" s="1"/>
  <c r="EB30" i="4" s="1"/>
  <c r="DH33" i="4"/>
  <c r="DI33" i="4" s="1"/>
  <c r="DJ33" i="4" s="1"/>
  <c r="DN33" i="4" s="1"/>
  <c r="DV33" i="4" s="1"/>
  <c r="DZ33" i="4" s="1"/>
  <c r="EB33" i="4" s="1"/>
  <c r="DH35" i="4"/>
  <c r="DI35" i="4" s="1"/>
  <c r="DJ35" i="4" s="1"/>
  <c r="DN35" i="4" s="1"/>
  <c r="DV35" i="4" s="1"/>
  <c r="DZ35" i="4" s="1"/>
  <c r="EB35" i="4" s="1"/>
  <c r="DH13" i="4"/>
  <c r="DI13" i="4" s="1"/>
  <c r="DJ13" i="4" s="1"/>
  <c r="DN13" i="4" s="1"/>
  <c r="DV13" i="4" s="1"/>
  <c r="DZ13" i="4" s="1"/>
  <c r="EB13" i="4" s="1"/>
  <c r="DH23" i="4"/>
  <c r="DI23" i="4" s="1"/>
  <c r="DJ23" i="4" s="1"/>
  <c r="DN23" i="4" s="1"/>
  <c r="DV23" i="4" s="1"/>
  <c r="DZ23" i="4" s="1"/>
  <c r="EB23" i="4" s="1"/>
  <c r="DH27" i="4"/>
  <c r="DI27" i="4" s="1"/>
  <c r="DJ27" i="4" s="1"/>
  <c r="DN27" i="4" s="1"/>
  <c r="DV27" i="4" s="1"/>
  <c r="DZ27" i="4" s="1"/>
  <c r="EB27" i="4" s="1"/>
  <c r="DH29" i="4"/>
  <c r="DI29" i="4" s="1"/>
  <c r="DJ29" i="4" s="1"/>
  <c r="DN29" i="4" s="1"/>
  <c r="DV29" i="4" s="1"/>
  <c r="DZ29" i="4" s="1"/>
  <c r="EB29" i="4" s="1"/>
  <c r="DH5" i="4"/>
  <c r="DI5" i="4" s="1"/>
  <c r="DJ5" i="4" s="1"/>
  <c r="DN5" i="4" s="1"/>
  <c r="DV5" i="4" s="1"/>
  <c r="DZ5" i="4" s="1"/>
  <c r="EB5" i="4" s="1"/>
  <c r="DH15" i="4"/>
  <c r="DI15" i="4" s="1"/>
  <c r="DJ15" i="4" s="1"/>
  <c r="DN15" i="4" s="1"/>
  <c r="DV15" i="4" s="1"/>
  <c r="DZ15" i="4" s="1"/>
  <c r="EB15" i="4" s="1"/>
  <c r="DH18" i="4"/>
  <c r="DI18" i="4" s="1"/>
  <c r="DJ18" i="4" s="1"/>
  <c r="DN18" i="4" s="1"/>
  <c r="DV18" i="4" s="1"/>
  <c r="DZ18" i="4" s="1"/>
  <c r="EB18" i="4" s="1"/>
  <c r="DH20" i="4"/>
  <c r="DI20" i="4" s="1"/>
  <c r="DJ20" i="4" s="1"/>
  <c r="DN20" i="4" s="1"/>
  <c r="DV20" i="4" s="1"/>
  <c r="DZ20" i="4" s="1"/>
  <c r="EB20" i="4" s="1"/>
  <c r="DH31" i="4"/>
  <c r="DI31" i="4" s="1"/>
  <c r="DJ31" i="4" s="1"/>
  <c r="DN31" i="4" s="1"/>
  <c r="DV31" i="4" s="1"/>
  <c r="DZ31" i="4" s="1"/>
  <c r="EB31" i="4" s="1"/>
  <c r="DH7" i="4"/>
  <c r="DI7" i="4" s="1"/>
  <c r="DJ7" i="4" s="1"/>
  <c r="DN7" i="4" s="1"/>
  <c r="DV7" i="4" s="1"/>
  <c r="DZ7" i="4" s="1"/>
  <c r="EB7" i="4" s="1"/>
  <c r="ED22" i="4" l="1"/>
  <c r="EE22" i="4" s="1"/>
  <c r="EF22" i="4" s="1"/>
  <c r="EG22" i="4" s="1"/>
  <c r="EH22" i="4"/>
  <c r="ED29" i="4"/>
  <c r="EE29" i="4" s="1"/>
  <c r="EF29" i="4" s="1"/>
  <c r="EH29" i="4"/>
  <c r="EH17" i="4"/>
  <c r="ED17" i="4"/>
  <c r="EE17" i="4" s="1"/>
  <c r="EF17" i="4" s="1"/>
  <c r="EG17" i="4" s="1"/>
  <c r="EH25" i="4"/>
  <c r="EI25" i="4" s="1"/>
  <c r="ED25" i="4"/>
  <c r="EE25" i="4" s="1"/>
  <c r="EF25" i="4" s="1"/>
  <c r="EH12" i="4"/>
  <c r="EI12" i="4" s="1"/>
  <c r="ED12" i="4"/>
  <c r="EE12" i="4" s="1"/>
  <c r="EF12" i="4" s="1"/>
  <c r="EH5" i="4"/>
  <c r="ED5" i="4"/>
  <c r="EE5" i="4" s="1"/>
  <c r="EF5" i="4" s="1"/>
  <c r="EG5" i="4" s="1"/>
  <c r="ED32" i="4"/>
  <c r="EE32" i="4" s="1"/>
  <c r="EF32" i="4" s="1"/>
  <c r="EG32" i="4" s="1"/>
  <c r="EH32" i="4"/>
  <c r="ED16" i="4"/>
  <c r="EE16" i="4" s="1"/>
  <c r="EF16" i="4" s="1"/>
  <c r="EG16" i="4" s="1"/>
  <c r="EH16" i="4"/>
  <c r="EH10" i="4"/>
  <c r="ED10" i="4"/>
  <c r="EE10" i="4" s="1"/>
  <c r="EF10" i="4" s="1"/>
  <c r="ED19" i="4"/>
  <c r="EE19" i="4" s="1"/>
  <c r="EF19" i="4" s="1"/>
  <c r="EG19" i="4" s="1"/>
  <c r="EH19" i="4"/>
  <c r="EH21" i="4"/>
  <c r="ED21" i="4"/>
  <c r="EE21" i="4" s="1"/>
  <c r="EF21" i="4" s="1"/>
  <c r="ED14" i="4"/>
  <c r="EE14" i="4" s="1"/>
  <c r="EF14" i="4" s="1"/>
  <c r="EH14" i="4"/>
  <c r="EH34" i="4"/>
  <c r="ED34" i="4"/>
  <c r="EE34" i="4" s="1"/>
  <c r="EF34" i="4" s="1"/>
  <c r="EG34" i="4" s="1"/>
  <c r="ED27" i="4"/>
  <c r="EE27" i="4" s="1"/>
  <c r="EF27" i="4" s="1"/>
  <c r="EG27" i="4" s="1"/>
  <c r="EH27" i="4"/>
  <c r="EH11" i="4"/>
  <c r="EI11" i="4" s="1"/>
  <c r="ED11" i="4"/>
  <c r="EE11" i="4" s="1"/>
  <c r="EF11" i="4" s="1"/>
  <c r="EH28" i="4"/>
  <c r="ED28" i="4"/>
  <c r="EE28" i="4" s="1"/>
  <c r="EF28" i="4" s="1"/>
  <c r="EH31" i="4"/>
  <c r="ED31" i="4"/>
  <c r="EE31" i="4" s="1"/>
  <c r="EF31" i="4" s="1"/>
  <c r="EH35" i="4"/>
  <c r="ED35" i="4"/>
  <c r="EE35" i="4" s="1"/>
  <c r="EF35" i="4" s="1"/>
  <c r="EH24" i="4"/>
  <c r="ED24" i="4"/>
  <c r="EE24" i="4" s="1"/>
  <c r="EF24" i="4" s="1"/>
  <c r="EG24" i="4" s="1"/>
  <c r="EH23" i="4"/>
  <c r="EI23" i="4" s="1"/>
  <c r="ED23" i="4"/>
  <c r="EE23" i="4" s="1"/>
  <c r="EF23" i="4" s="1"/>
  <c r="ED20" i="4"/>
  <c r="EE20" i="4" s="1"/>
  <c r="EF20" i="4" s="1"/>
  <c r="EH20" i="4"/>
  <c r="ED18" i="4"/>
  <c r="EE18" i="4" s="1"/>
  <c r="EF18" i="4" s="1"/>
  <c r="EG18" i="4" s="1"/>
  <c r="EH18" i="4"/>
  <c r="ED33" i="4"/>
  <c r="EE33" i="4" s="1"/>
  <c r="EF33" i="4" s="1"/>
  <c r="EG33" i="4" s="1"/>
  <c r="EH33" i="4"/>
  <c r="ED6" i="4"/>
  <c r="EE6" i="4" s="1"/>
  <c r="EF6" i="4" s="1"/>
  <c r="EG6" i="4" s="1"/>
  <c r="EH6" i="4"/>
  <c r="ED26" i="4"/>
  <c r="EE26" i="4" s="1"/>
  <c r="EF26" i="4" s="1"/>
  <c r="EG26" i="4" s="1"/>
  <c r="EH26" i="4"/>
  <c r="EH7" i="4"/>
  <c r="ED7" i="4"/>
  <c r="EE7" i="4" s="1"/>
  <c r="EF7" i="4" s="1"/>
  <c r="EG7" i="4" s="1"/>
  <c r="ED13" i="4"/>
  <c r="EE13" i="4" s="1"/>
  <c r="EF13" i="4" s="1"/>
  <c r="EH13" i="4"/>
  <c r="EI13" i="4" s="1"/>
  <c r="EH9" i="4"/>
  <c r="EI9" i="4" s="1"/>
  <c r="ED9" i="4"/>
  <c r="EE9" i="4" s="1"/>
  <c r="EF9" i="4" s="1"/>
  <c r="EH15" i="4"/>
  <c r="ED15" i="4"/>
  <c r="EE15" i="4" s="1"/>
  <c r="EF15" i="4" s="1"/>
  <c r="EG15" i="4" s="1"/>
  <c r="EH30" i="4"/>
  <c r="EI30" i="4" s="1"/>
  <c r="ED30" i="4"/>
  <c r="EE30" i="4" s="1"/>
  <c r="EF30" i="4" s="1"/>
  <c r="EH8" i="4"/>
  <c r="ED8" i="4"/>
  <c r="EE8" i="4" s="1"/>
  <c r="EF8" i="4" s="1"/>
  <c r="EG8" i="4" s="1"/>
  <c r="DL30" i="4"/>
  <c r="DK30" i="4"/>
  <c r="DL5" i="4"/>
  <c r="DK5" i="4"/>
  <c r="DL25" i="4"/>
  <c r="DK25" i="4"/>
  <c r="DK27" i="4"/>
  <c r="DL27" i="4"/>
  <c r="DL16" i="4"/>
  <c r="DK16" i="4"/>
  <c r="DK23" i="4"/>
  <c r="DK14" i="4"/>
  <c r="DL14" i="4"/>
  <c r="DK34" i="4"/>
  <c r="DK31" i="4"/>
  <c r="DK13" i="4"/>
  <c r="DL13" i="4"/>
  <c r="DK11" i="4"/>
  <c r="DL11" i="4"/>
  <c r="DH36" i="4"/>
  <c r="DH45" i="4" s="1"/>
  <c r="DI4" i="4"/>
  <c r="DJ4" i="4" s="1"/>
  <c r="DN4" i="4" s="1"/>
  <c r="DL20" i="4"/>
  <c r="DK20" i="4"/>
  <c r="DK35" i="4"/>
  <c r="DL9" i="4"/>
  <c r="DK9" i="4"/>
  <c r="DK24" i="4"/>
  <c r="DK29" i="4"/>
  <c r="DL29" i="4"/>
  <c r="DK12" i="4"/>
  <c r="DL12" i="4"/>
  <c r="DK32" i="4"/>
  <c r="DL10" i="4"/>
  <c r="DK10" i="4"/>
  <c r="DK21" i="4"/>
  <c r="DL21" i="4"/>
  <c r="DK18" i="4"/>
  <c r="DL18" i="4"/>
  <c r="DK33" i="4"/>
  <c r="DK6" i="4"/>
  <c r="DL6" i="4"/>
  <c r="DK26" i="4"/>
  <c r="DL26" i="4"/>
  <c r="DL15" i="4"/>
  <c r="DK15" i="4"/>
  <c r="DK19" i="4"/>
  <c r="DL19" i="4"/>
  <c r="DK28" i="4"/>
  <c r="DL28" i="4"/>
  <c r="DK22" i="4"/>
  <c r="DK8" i="4"/>
  <c r="DL8" i="4"/>
  <c r="DL17" i="4"/>
  <c r="DK17" i="4"/>
  <c r="DL7" i="4"/>
  <c r="DK7" i="4"/>
  <c r="EG10" i="4" l="1"/>
  <c r="EK10" i="4" s="1"/>
  <c r="EG25" i="4"/>
  <c r="EK25" i="4" s="1"/>
  <c r="EJ25" i="4"/>
  <c r="EK24" i="4"/>
  <c r="EI24" i="4"/>
  <c r="EJ24" i="4" s="1"/>
  <c r="EI21" i="4"/>
  <c r="EJ21" i="4" s="1"/>
  <c r="EK32" i="4"/>
  <c r="EI32" i="4"/>
  <c r="EJ32" i="4" s="1"/>
  <c r="EK33" i="4"/>
  <c r="EI33" i="4"/>
  <c r="EJ33" i="4" s="1"/>
  <c r="EK18" i="4"/>
  <c r="EI18" i="4"/>
  <c r="EJ18" i="4" s="1"/>
  <c r="EG35" i="4"/>
  <c r="EK35" i="4" s="1"/>
  <c r="EI27" i="4"/>
  <c r="EJ27" i="4" s="1"/>
  <c r="EK27" i="4"/>
  <c r="EK19" i="4"/>
  <c r="EI19" i="4"/>
  <c r="EJ19" i="4" s="1"/>
  <c r="EK7" i="4"/>
  <c r="EI7" i="4"/>
  <c r="EJ7" i="4" s="1"/>
  <c r="EI35" i="4"/>
  <c r="EJ35" i="4" s="1"/>
  <c r="EK17" i="4"/>
  <c r="EI17" i="4"/>
  <c r="EJ17" i="4" s="1"/>
  <c r="EJ13" i="4"/>
  <c r="EG13" i="4"/>
  <c r="EK13" i="4" s="1"/>
  <c r="EK15" i="4"/>
  <c r="EI15" i="4"/>
  <c r="EJ15" i="4" s="1"/>
  <c r="EK26" i="4"/>
  <c r="EI26" i="4"/>
  <c r="EJ26" i="4" s="1"/>
  <c r="EI20" i="4"/>
  <c r="EJ20" i="4" s="1"/>
  <c r="EG31" i="4"/>
  <c r="EK31" i="4" s="1"/>
  <c r="EK5" i="4"/>
  <c r="EI5" i="4"/>
  <c r="EJ5" i="4" s="1"/>
  <c r="EI29" i="4"/>
  <c r="EJ29" i="4" s="1"/>
  <c r="EG30" i="4"/>
  <c r="EK30" i="4" s="1"/>
  <c r="EJ30" i="4"/>
  <c r="EJ9" i="4"/>
  <c r="EG9" i="4"/>
  <c r="EK9" i="4" s="1"/>
  <c r="EG20" i="4"/>
  <c r="EK20" i="4" s="1"/>
  <c r="EI34" i="4"/>
  <c r="EJ34" i="4" s="1"/>
  <c r="EK34" i="4"/>
  <c r="EI10" i="4"/>
  <c r="EJ10" i="4" s="1"/>
  <c r="EG12" i="4"/>
  <c r="EK12" i="4" s="1"/>
  <c r="EJ12" i="4"/>
  <c r="EG29" i="4"/>
  <c r="EK29" i="4" s="1"/>
  <c r="EG21" i="4"/>
  <c r="EK21" i="4" s="1"/>
  <c r="EK6" i="4"/>
  <c r="EI6" i="4"/>
  <c r="EJ6" i="4" s="1"/>
  <c r="EG23" i="4"/>
  <c r="EK23" i="4" s="1"/>
  <c r="EJ23" i="4"/>
  <c r="EG28" i="4"/>
  <c r="EK28" i="4" s="1"/>
  <c r="EI14" i="4"/>
  <c r="EJ14" i="4" s="1"/>
  <c r="EI22" i="4"/>
  <c r="EJ22" i="4" s="1"/>
  <c r="EK22" i="4"/>
  <c r="EG11" i="4"/>
  <c r="EK11" i="4" s="1"/>
  <c r="EJ11" i="4"/>
  <c r="DV4" i="4"/>
  <c r="DN36" i="4"/>
  <c r="EK8" i="4"/>
  <c r="EI8" i="4"/>
  <c r="EJ8" i="4" s="1"/>
  <c r="EI28" i="4"/>
  <c r="EJ28" i="4" s="1"/>
  <c r="EG14" i="4"/>
  <c r="EK14" i="4" s="1"/>
  <c r="EK16" i="4"/>
  <c r="EI16" i="4"/>
  <c r="EJ16" i="4" s="1"/>
  <c r="DL4" i="4"/>
  <c r="DK4" i="4"/>
  <c r="DK36" i="4" s="1"/>
  <c r="DJ36" i="4"/>
  <c r="EI31" i="4" l="1"/>
  <c r="EJ31" i="4" s="1"/>
  <c r="DZ4" i="4"/>
  <c r="DV36" i="4"/>
  <c r="DV45" i="4" s="1"/>
  <c r="DL36" i="4"/>
  <c r="DJ45" i="4"/>
  <c r="EB4" i="4" l="1"/>
  <c r="DZ36" i="4"/>
  <c r="DZ45" i="4" s="1"/>
  <c r="ED4" i="4" l="1"/>
  <c r="EH4" i="4"/>
  <c r="EK4" i="4" s="1"/>
  <c r="EK36" i="4" s="1"/>
  <c r="EB36" i="4"/>
  <c r="EE4" i="4" l="1"/>
  <c r="ED36" i="4"/>
  <c r="EF4" i="4" l="1"/>
  <c r="EG4" i="4" s="1"/>
  <c r="EI4" i="4" s="1"/>
  <c r="EE36" i="4"/>
  <c r="EE45" i="4" l="1"/>
  <c r="EJ4" i="4"/>
  <c r="EI36" i="4"/>
  <c r="EI45" i="4" s="1"/>
  <c r="EJ41" i="4" l="1"/>
  <c r="EL32" i="4" l="1"/>
  <c r="EM32" i="4" s="1"/>
  <c r="EN32" i="4" s="1"/>
  <c r="EL12" i="4"/>
  <c r="EM12" i="4" s="1"/>
  <c r="EN12" i="4" s="1"/>
  <c r="ER12" i="4" s="1"/>
  <c r="EZ12" i="4" s="1"/>
  <c r="FD12" i="4" s="1"/>
  <c r="FF12" i="4" s="1"/>
  <c r="EL4" i="4"/>
  <c r="EL24" i="4"/>
  <c r="EM24" i="4" s="1"/>
  <c r="EN24" i="4" s="1"/>
  <c r="EL8" i="4"/>
  <c r="EM8" i="4" s="1"/>
  <c r="EN8" i="4" s="1"/>
  <c r="ER8" i="4" s="1"/>
  <c r="EZ8" i="4" s="1"/>
  <c r="FD8" i="4" s="1"/>
  <c r="FF8" i="4" s="1"/>
  <c r="EL16" i="4"/>
  <c r="EM16" i="4" s="1"/>
  <c r="EN16" i="4" s="1"/>
  <c r="ER16" i="4" s="1"/>
  <c r="EZ16" i="4" s="1"/>
  <c r="FD16" i="4" s="1"/>
  <c r="FF16" i="4" s="1"/>
  <c r="EL15" i="4"/>
  <c r="EM15" i="4" s="1"/>
  <c r="EN15" i="4" s="1"/>
  <c r="ER15" i="4" s="1"/>
  <c r="EZ15" i="4" s="1"/>
  <c r="FD15" i="4" s="1"/>
  <c r="FF15" i="4" s="1"/>
  <c r="EL14" i="4"/>
  <c r="EM14" i="4" s="1"/>
  <c r="EN14" i="4" s="1"/>
  <c r="ER14" i="4" s="1"/>
  <c r="EZ14" i="4" s="1"/>
  <c r="FD14" i="4" s="1"/>
  <c r="FF14" i="4" s="1"/>
  <c r="EL17" i="4"/>
  <c r="EM17" i="4" s="1"/>
  <c r="EN17" i="4" s="1"/>
  <c r="ER17" i="4" s="1"/>
  <c r="EZ17" i="4" s="1"/>
  <c r="FD17" i="4" s="1"/>
  <c r="FF17" i="4" s="1"/>
  <c r="EL27" i="4"/>
  <c r="EM27" i="4" s="1"/>
  <c r="EN27" i="4" s="1"/>
  <c r="ER27" i="4" s="1"/>
  <c r="EZ27" i="4" s="1"/>
  <c r="FD27" i="4" s="1"/>
  <c r="FF27" i="4" s="1"/>
  <c r="EL23" i="4"/>
  <c r="EM23" i="4" s="1"/>
  <c r="EN23" i="4" s="1"/>
  <c r="EL21" i="4"/>
  <c r="EM21" i="4" s="1"/>
  <c r="EN21" i="4" s="1"/>
  <c r="ER21" i="4" s="1"/>
  <c r="EZ21" i="4" s="1"/>
  <c r="FD21" i="4" s="1"/>
  <c r="FF21" i="4" s="1"/>
  <c r="EL33" i="4"/>
  <c r="EM33" i="4" s="1"/>
  <c r="EN33" i="4" s="1"/>
  <c r="EL18" i="4"/>
  <c r="EM18" i="4" s="1"/>
  <c r="EN18" i="4" s="1"/>
  <c r="ER18" i="4" s="1"/>
  <c r="EZ18" i="4" s="1"/>
  <c r="FD18" i="4" s="1"/>
  <c r="FF18" i="4" s="1"/>
  <c r="EL9" i="4"/>
  <c r="EM9" i="4" s="1"/>
  <c r="EN9" i="4" s="1"/>
  <c r="ER9" i="4" s="1"/>
  <c r="EZ9" i="4" s="1"/>
  <c r="FD9" i="4" s="1"/>
  <c r="FF9" i="4" s="1"/>
  <c r="EL34" i="4"/>
  <c r="EM34" i="4" s="1"/>
  <c r="EN34" i="4" s="1"/>
  <c r="EL6" i="4"/>
  <c r="EM6" i="4" s="1"/>
  <c r="EN6" i="4" s="1"/>
  <c r="ER6" i="4" s="1"/>
  <c r="EZ6" i="4" s="1"/>
  <c r="FD6" i="4" s="1"/>
  <c r="FF6" i="4" s="1"/>
  <c r="EL35" i="4"/>
  <c r="EM35" i="4" s="1"/>
  <c r="EN35" i="4" s="1"/>
  <c r="EL29" i="4"/>
  <c r="EM29" i="4" s="1"/>
  <c r="EN29" i="4" s="1"/>
  <c r="ER29" i="4" s="1"/>
  <c r="EZ29" i="4" s="1"/>
  <c r="FD29" i="4" s="1"/>
  <c r="FF29" i="4" s="1"/>
  <c r="EL22" i="4"/>
  <c r="EM22" i="4" s="1"/>
  <c r="EN22" i="4" s="1"/>
  <c r="EL13" i="4"/>
  <c r="EM13" i="4" s="1"/>
  <c r="EN13" i="4" s="1"/>
  <c r="ER13" i="4" s="1"/>
  <c r="EZ13" i="4" s="1"/>
  <c r="FD13" i="4" s="1"/>
  <c r="FF13" i="4" s="1"/>
  <c r="EL11" i="4"/>
  <c r="EM11" i="4" s="1"/>
  <c r="EN11" i="4" s="1"/>
  <c r="ER11" i="4" s="1"/>
  <c r="EZ11" i="4" s="1"/>
  <c r="FD11" i="4" s="1"/>
  <c r="FF11" i="4" s="1"/>
  <c r="EL30" i="4"/>
  <c r="EM30" i="4" s="1"/>
  <c r="EN30" i="4" s="1"/>
  <c r="ER30" i="4" s="1"/>
  <c r="EZ30" i="4" s="1"/>
  <c r="FD30" i="4" s="1"/>
  <c r="FF30" i="4" s="1"/>
  <c r="EL25" i="4"/>
  <c r="EM25" i="4" s="1"/>
  <c r="EN25" i="4" s="1"/>
  <c r="ER25" i="4" s="1"/>
  <c r="EZ25" i="4" s="1"/>
  <c r="FD25" i="4" s="1"/>
  <c r="FF25" i="4" s="1"/>
  <c r="EL28" i="4"/>
  <c r="EM28" i="4" s="1"/>
  <c r="EN28" i="4" s="1"/>
  <c r="ER28" i="4" s="1"/>
  <c r="EZ28" i="4" s="1"/>
  <c r="FD28" i="4" s="1"/>
  <c r="FF28" i="4" s="1"/>
  <c r="EL5" i="4"/>
  <c r="EM5" i="4" s="1"/>
  <c r="EN5" i="4" s="1"/>
  <c r="ER5" i="4" s="1"/>
  <c r="EZ5" i="4" s="1"/>
  <c r="FD5" i="4" s="1"/>
  <c r="FF5" i="4" s="1"/>
  <c r="EL31" i="4"/>
  <c r="EM31" i="4" s="1"/>
  <c r="EN31" i="4" s="1"/>
  <c r="EL20" i="4"/>
  <c r="EM20" i="4" s="1"/>
  <c r="EN20" i="4" s="1"/>
  <c r="ER20" i="4" s="1"/>
  <c r="EZ20" i="4" s="1"/>
  <c r="FD20" i="4" s="1"/>
  <c r="FF20" i="4" s="1"/>
  <c r="EL19" i="4"/>
  <c r="EM19" i="4" s="1"/>
  <c r="EN19" i="4" s="1"/>
  <c r="ER19" i="4" s="1"/>
  <c r="EZ19" i="4" s="1"/>
  <c r="FD19" i="4" s="1"/>
  <c r="FF19" i="4" s="1"/>
  <c r="EL10" i="4"/>
  <c r="EM10" i="4" s="1"/>
  <c r="EN10" i="4" s="1"/>
  <c r="ER10" i="4" s="1"/>
  <c r="EZ10" i="4" s="1"/>
  <c r="FD10" i="4" s="1"/>
  <c r="FF10" i="4" s="1"/>
  <c r="EL26" i="4"/>
  <c r="EM26" i="4" s="1"/>
  <c r="EN26" i="4" s="1"/>
  <c r="ER26" i="4" s="1"/>
  <c r="EZ26" i="4" s="1"/>
  <c r="FD26" i="4" s="1"/>
  <c r="FF26" i="4" s="1"/>
  <c r="EJ45" i="4"/>
  <c r="EL7" i="4"/>
  <c r="EM7" i="4" s="1"/>
  <c r="EN7" i="4" s="1"/>
  <c r="ER7" i="4" s="1"/>
  <c r="EZ7" i="4" s="1"/>
  <c r="FD7" i="4" s="1"/>
  <c r="FF7" i="4" s="1"/>
  <c r="EK45" i="4"/>
  <c r="FH14" i="4" l="1"/>
  <c r="FI14" i="4" s="1"/>
  <c r="FJ14" i="4" s="1"/>
  <c r="FK14" i="4" s="1"/>
  <c r="FL14" i="4"/>
  <c r="FM14" i="4" s="1"/>
  <c r="FH9" i="4"/>
  <c r="FI9" i="4" s="1"/>
  <c r="FJ9" i="4" s="1"/>
  <c r="FK9" i="4" s="1"/>
  <c r="FL9" i="4"/>
  <c r="FM9" i="4" s="1"/>
  <c r="FL11" i="4"/>
  <c r="FH11" i="4"/>
  <c r="FI11" i="4" s="1"/>
  <c r="FJ11" i="4" s="1"/>
  <c r="FK11" i="4" s="1"/>
  <c r="FL18" i="4"/>
  <c r="FH18" i="4"/>
  <c r="FI18" i="4" s="1"/>
  <c r="FJ18" i="4" s="1"/>
  <c r="FK18" i="4" s="1"/>
  <c r="FH16" i="4"/>
  <c r="FI16" i="4" s="1"/>
  <c r="FJ16" i="4" s="1"/>
  <c r="FK16" i="4" s="1"/>
  <c r="FL16" i="4"/>
  <c r="FH25" i="4"/>
  <c r="FI25" i="4" s="1"/>
  <c r="FJ25" i="4" s="1"/>
  <c r="FK25" i="4" s="1"/>
  <c r="FL25" i="4"/>
  <c r="FM25" i="4" s="1"/>
  <c r="FH30" i="4"/>
  <c r="FI30" i="4" s="1"/>
  <c r="FJ30" i="4" s="1"/>
  <c r="FK30" i="4" s="1"/>
  <c r="FL30" i="4"/>
  <c r="FM30" i="4" s="1"/>
  <c r="FH10" i="4"/>
  <c r="FI10" i="4" s="1"/>
  <c r="FJ10" i="4" s="1"/>
  <c r="FK10" i="4" s="1"/>
  <c r="FL10" i="4"/>
  <c r="FH19" i="4"/>
  <c r="FI19" i="4" s="1"/>
  <c r="FJ19" i="4" s="1"/>
  <c r="FK19" i="4" s="1"/>
  <c r="FL19" i="4"/>
  <c r="FO19" i="4" s="1"/>
  <c r="FL20" i="4"/>
  <c r="FM20" i="4" s="1"/>
  <c r="FH20" i="4"/>
  <c r="FI20" i="4" s="1"/>
  <c r="FJ20" i="4" s="1"/>
  <c r="FL21" i="4"/>
  <c r="FM21" i="4" s="1"/>
  <c r="FH21" i="4"/>
  <c r="FI21" i="4" s="1"/>
  <c r="FJ21" i="4" s="1"/>
  <c r="FK21" i="4" s="1"/>
  <c r="FL26" i="4"/>
  <c r="FM26" i="4" s="1"/>
  <c r="FH26" i="4"/>
  <c r="FI26" i="4" s="1"/>
  <c r="FJ26" i="4" s="1"/>
  <c r="FK26" i="4" s="1"/>
  <c r="FH15" i="4"/>
  <c r="FI15" i="4" s="1"/>
  <c r="FJ15" i="4" s="1"/>
  <c r="FK15" i="4" s="1"/>
  <c r="FL15" i="4"/>
  <c r="FO15" i="4" s="1"/>
  <c r="FL13" i="4"/>
  <c r="FM13" i="4" s="1"/>
  <c r="FH13" i="4"/>
  <c r="FI13" i="4" s="1"/>
  <c r="FJ13" i="4" s="1"/>
  <c r="FK13" i="4" s="1"/>
  <c r="FH8" i="4"/>
  <c r="FI8" i="4" s="1"/>
  <c r="FJ8" i="4" s="1"/>
  <c r="FK8" i="4" s="1"/>
  <c r="FL8" i="4"/>
  <c r="FM8" i="4" s="1"/>
  <c r="FH29" i="4"/>
  <c r="FI29" i="4" s="1"/>
  <c r="FJ29" i="4" s="1"/>
  <c r="FL29" i="4"/>
  <c r="FM29" i="4" s="1"/>
  <c r="FH5" i="4"/>
  <c r="FI5" i="4" s="1"/>
  <c r="FJ5" i="4" s="1"/>
  <c r="FK5" i="4" s="1"/>
  <c r="FL5" i="4"/>
  <c r="FH27" i="4"/>
  <c r="FI27" i="4" s="1"/>
  <c r="FJ27" i="4" s="1"/>
  <c r="FK27" i="4" s="1"/>
  <c r="FL27" i="4"/>
  <c r="FO27" i="4" s="1"/>
  <c r="FL12" i="4"/>
  <c r="FM12" i="4" s="1"/>
  <c r="FH12" i="4"/>
  <c r="FI12" i="4" s="1"/>
  <c r="FJ12" i="4" s="1"/>
  <c r="FK12" i="4" s="1"/>
  <c r="FH7" i="4"/>
  <c r="FI7" i="4" s="1"/>
  <c r="FJ7" i="4" s="1"/>
  <c r="FK7" i="4" s="1"/>
  <c r="FL7" i="4"/>
  <c r="FO7" i="4" s="1"/>
  <c r="FH28" i="4"/>
  <c r="FI28" i="4" s="1"/>
  <c r="FJ28" i="4" s="1"/>
  <c r="FK28" i="4" s="1"/>
  <c r="FL28" i="4"/>
  <c r="FM28" i="4" s="1"/>
  <c r="FH6" i="4"/>
  <c r="FI6" i="4" s="1"/>
  <c r="FJ6" i="4" s="1"/>
  <c r="FK6" i="4" s="1"/>
  <c r="FL6" i="4"/>
  <c r="FO6" i="4" s="1"/>
  <c r="FL17" i="4"/>
  <c r="FO17" i="4" s="1"/>
  <c r="FH17" i="4"/>
  <c r="FI17" i="4" s="1"/>
  <c r="FJ17" i="4" s="1"/>
  <c r="FK17" i="4" s="1"/>
  <c r="EO34" i="4"/>
  <c r="ER34" i="4"/>
  <c r="EZ34" i="4" s="1"/>
  <c r="FD34" i="4" s="1"/>
  <c r="FF34" i="4" s="1"/>
  <c r="EO33" i="4"/>
  <c r="ER33" i="4"/>
  <c r="EZ33" i="4" s="1"/>
  <c r="FD33" i="4" s="1"/>
  <c r="FF33" i="4" s="1"/>
  <c r="EO22" i="4"/>
  <c r="ER22" i="4"/>
  <c r="EZ22" i="4" s="1"/>
  <c r="FD22" i="4" s="1"/>
  <c r="FF22" i="4" s="1"/>
  <c r="EO24" i="4"/>
  <c r="ER24" i="4"/>
  <c r="EZ24" i="4" s="1"/>
  <c r="FD24" i="4" s="1"/>
  <c r="FF24" i="4" s="1"/>
  <c r="EO35" i="4"/>
  <c r="ER35" i="4"/>
  <c r="EZ35" i="4" s="1"/>
  <c r="FD35" i="4" s="1"/>
  <c r="FF35" i="4" s="1"/>
  <c r="EO31" i="4"/>
  <c r="ER31" i="4"/>
  <c r="EZ31" i="4" s="1"/>
  <c r="FD31" i="4" s="1"/>
  <c r="FF31" i="4" s="1"/>
  <c r="EO23" i="4"/>
  <c r="ER23" i="4"/>
  <c r="EZ23" i="4" s="1"/>
  <c r="FD23" i="4" s="1"/>
  <c r="FF23" i="4" s="1"/>
  <c r="EO32" i="4"/>
  <c r="ER32" i="4"/>
  <c r="EZ32" i="4" s="1"/>
  <c r="FD32" i="4" s="1"/>
  <c r="FF32" i="4" s="1"/>
  <c r="EO30" i="4"/>
  <c r="EP30" i="4"/>
  <c r="EO7" i="4"/>
  <c r="EP7" i="4"/>
  <c r="EP28" i="4"/>
  <c r="EO28" i="4"/>
  <c r="EO6" i="4"/>
  <c r="EP6" i="4"/>
  <c r="EP17" i="4"/>
  <c r="EO17" i="4"/>
  <c r="EP25" i="4"/>
  <c r="EO25" i="4"/>
  <c r="EO14" i="4"/>
  <c r="EP14" i="4"/>
  <c r="EO9" i="4"/>
  <c r="EP9" i="4"/>
  <c r="EO11" i="4"/>
  <c r="EP11" i="4"/>
  <c r="EO13" i="4"/>
  <c r="EP13" i="4"/>
  <c r="EP8" i="4"/>
  <c r="EO8" i="4"/>
  <c r="EP26" i="4"/>
  <c r="EO26" i="4"/>
  <c r="EP16" i="4"/>
  <c r="EO16" i="4"/>
  <c r="EP20" i="4"/>
  <c r="EO20" i="4"/>
  <c r="EP21" i="4"/>
  <c r="EO21" i="4"/>
  <c r="EP10" i="4"/>
  <c r="EO10" i="4"/>
  <c r="EO19" i="4"/>
  <c r="EP19" i="4"/>
  <c r="EP29" i="4"/>
  <c r="EO29" i="4"/>
  <c r="EL36" i="4"/>
  <c r="EL45" i="4" s="1"/>
  <c r="EM4" i="4"/>
  <c r="EN4" i="4" s="1"/>
  <c r="ER4" i="4" s="1"/>
  <c r="EO15" i="4"/>
  <c r="EP15" i="4"/>
  <c r="EP18" i="4"/>
  <c r="EO18" i="4"/>
  <c r="EO5" i="4"/>
  <c r="EP5" i="4"/>
  <c r="EO27" i="4"/>
  <c r="EP27" i="4"/>
  <c r="EO12" i="4"/>
  <c r="EP12" i="4"/>
  <c r="FM6" i="4" l="1"/>
  <c r="FN6" i="4" s="1"/>
  <c r="FM27" i="4"/>
  <c r="FN27" i="4" s="1"/>
  <c r="FN13" i="4"/>
  <c r="FN8" i="4"/>
  <c r="FO26" i="4"/>
  <c r="FN9" i="4"/>
  <c r="FM19" i="4"/>
  <c r="FN19" i="4" s="1"/>
  <c r="FM7" i="4"/>
  <c r="FN7" i="4" s="1"/>
  <c r="FN21" i="4"/>
  <c r="FO30" i="4"/>
  <c r="FO28" i="4"/>
  <c r="FM15" i="4"/>
  <c r="FN15" i="4" s="1"/>
  <c r="FO25" i="4"/>
  <c r="FN12" i="4"/>
  <c r="FN14" i="4"/>
  <c r="FO18" i="4"/>
  <c r="FM18" i="4"/>
  <c r="FN18" i="4" s="1"/>
  <c r="FH23" i="4"/>
  <c r="FI23" i="4" s="1"/>
  <c r="FJ23" i="4" s="1"/>
  <c r="FK23" i="4" s="1"/>
  <c r="FL23" i="4"/>
  <c r="FM23" i="4" s="1"/>
  <c r="FH22" i="4"/>
  <c r="FI22" i="4" s="1"/>
  <c r="FJ22" i="4" s="1"/>
  <c r="FK22" i="4" s="1"/>
  <c r="FL22" i="4"/>
  <c r="FO12" i="4"/>
  <c r="FK29" i="4"/>
  <c r="FO29" i="4" s="1"/>
  <c r="FN29" i="4"/>
  <c r="FN25" i="4"/>
  <c r="FM11" i="4"/>
  <c r="FN11" i="4" s="1"/>
  <c r="FO11" i="4"/>
  <c r="FH33" i="4"/>
  <c r="FI33" i="4" s="1"/>
  <c r="FJ33" i="4" s="1"/>
  <c r="FK33" i="4" s="1"/>
  <c r="FL33" i="4"/>
  <c r="FM33" i="4" s="1"/>
  <c r="FH31" i="4"/>
  <c r="FI31" i="4" s="1"/>
  <c r="FJ31" i="4" s="1"/>
  <c r="FK31" i="4" s="1"/>
  <c r="FL31" i="4"/>
  <c r="FM31" i="4" s="1"/>
  <c r="FN28" i="4"/>
  <c r="FO8" i="4"/>
  <c r="FN26" i="4"/>
  <c r="FO10" i="4"/>
  <c r="FM10" i="4"/>
  <c r="FN10" i="4" s="1"/>
  <c r="FO9" i="4"/>
  <c r="FH35" i="4"/>
  <c r="FI35" i="4" s="1"/>
  <c r="FJ35" i="4" s="1"/>
  <c r="FL35" i="4"/>
  <c r="FM35" i="4" s="1"/>
  <c r="FH34" i="4"/>
  <c r="FI34" i="4" s="1"/>
  <c r="FJ34" i="4" s="1"/>
  <c r="FK34" i="4" s="1"/>
  <c r="FL34" i="4"/>
  <c r="FM34" i="4" s="1"/>
  <c r="FO13" i="4"/>
  <c r="FO21" i="4"/>
  <c r="FO16" i="4"/>
  <c r="FM16" i="4"/>
  <c r="FN16" i="4" s="1"/>
  <c r="FO14" i="4"/>
  <c r="FH32" i="4"/>
  <c r="FI32" i="4" s="1"/>
  <c r="FJ32" i="4" s="1"/>
  <c r="FK32" i="4" s="1"/>
  <c r="FL32" i="4"/>
  <c r="FM32" i="4" s="1"/>
  <c r="FL24" i="4"/>
  <c r="FM24" i="4" s="1"/>
  <c r="FH24" i="4"/>
  <c r="FI24" i="4" s="1"/>
  <c r="FJ24" i="4" s="1"/>
  <c r="FK24" i="4" s="1"/>
  <c r="FM17" i="4"/>
  <c r="FN17" i="4" s="1"/>
  <c r="FO5" i="4"/>
  <c r="FM5" i="4"/>
  <c r="FN5" i="4" s="1"/>
  <c r="FN20" i="4"/>
  <c r="FK20" i="4"/>
  <c r="FO20" i="4" s="1"/>
  <c r="FN30" i="4"/>
  <c r="EZ4" i="4"/>
  <c r="ER36" i="4"/>
  <c r="EP4" i="4"/>
  <c r="EO4" i="4"/>
  <c r="EO36" i="4" s="1"/>
  <c r="EN36" i="4"/>
  <c r="FO24" i="4" l="1"/>
  <c r="FO23" i="4"/>
  <c r="FO31" i="4"/>
  <c r="FO32" i="4"/>
  <c r="FN33" i="4"/>
  <c r="FO34" i="4"/>
  <c r="FN35" i="4"/>
  <c r="FK35" i="4"/>
  <c r="FO35" i="4" s="1"/>
  <c r="FN24" i="4"/>
  <c r="FN32" i="4"/>
  <c r="FN34" i="4"/>
  <c r="FO33" i="4"/>
  <c r="FO22" i="4"/>
  <c r="FM22" i="4"/>
  <c r="FN22" i="4" s="1"/>
  <c r="FN23" i="4"/>
  <c r="FN31" i="4"/>
  <c r="EZ36" i="4"/>
  <c r="EZ45" i="4" s="1"/>
  <c r="FD4" i="4"/>
  <c r="EN45" i="4"/>
  <c r="EP36" i="4"/>
  <c r="FD36" i="4" l="1"/>
  <c r="FD45" i="4" s="1"/>
  <c r="FF4" i="4"/>
  <c r="FL4" i="4" l="1"/>
  <c r="FO4" i="4" s="1"/>
  <c r="FO36" i="4" s="1"/>
  <c r="FF36" i="4"/>
  <c r="FH4" i="4"/>
  <c r="FH36" i="4" l="1"/>
  <c r="FI4" i="4"/>
  <c r="FI36" i="4" l="1"/>
  <c r="FJ4" i="4"/>
  <c r="FK4" i="4" l="1"/>
  <c r="FM4" i="4" s="1"/>
  <c r="FM36" i="4" s="1"/>
  <c r="FM45" i="4" s="1"/>
  <c r="FI45" i="4"/>
  <c r="FN4" i="4" l="1"/>
  <c r="FN41" i="4"/>
  <c r="FP30" i="4" l="1"/>
  <c r="FQ30" i="4" s="1"/>
  <c r="FR30" i="4" s="1"/>
  <c r="FP7" i="4"/>
  <c r="FQ7" i="4" s="1"/>
  <c r="FR7" i="4" s="1"/>
  <c r="FP17" i="4"/>
  <c r="FQ17" i="4" s="1"/>
  <c r="FR17" i="4" s="1"/>
  <c r="FP27" i="4"/>
  <c r="FQ27" i="4" s="1"/>
  <c r="FR27" i="4" s="1"/>
  <c r="FP12" i="4"/>
  <c r="FQ12" i="4" s="1"/>
  <c r="FR12" i="4" s="1"/>
  <c r="FP22" i="4"/>
  <c r="FQ22" i="4" s="1"/>
  <c r="FR22" i="4" s="1"/>
  <c r="FP32" i="4"/>
  <c r="FQ32" i="4" s="1"/>
  <c r="FR32" i="4" s="1"/>
  <c r="FP9" i="4"/>
  <c r="FQ9" i="4" s="1"/>
  <c r="FR9" i="4" s="1"/>
  <c r="FP19" i="4"/>
  <c r="FQ19" i="4" s="1"/>
  <c r="FR19" i="4" s="1"/>
  <c r="FP4" i="4"/>
  <c r="FP14" i="4"/>
  <c r="FQ14" i="4" s="1"/>
  <c r="FR14" i="4" s="1"/>
  <c r="FP24" i="4"/>
  <c r="FQ24" i="4" s="1"/>
  <c r="FR24" i="4" s="1"/>
  <c r="FN45" i="4"/>
  <c r="FP11" i="4"/>
  <c r="FQ11" i="4" s="1"/>
  <c r="FR11" i="4" s="1"/>
  <c r="FP6" i="4"/>
  <c r="FQ6" i="4" s="1"/>
  <c r="FR6" i="4" s="1"/>
  <c r="FP16" i="4"/>
  <c r="FQ16" i="4" s="1"/>
  <c r="FR16" i="4" s="1"/>
  <c r="FP34" i="4"/>
  <c r="FQ34" i="4" s="1"/>
  <c r="FR34" i="4" s="1"/>
  <c r="FP29" i="4"/>
  <c r="FQ29" i="4" s="1"/>
  <c r="FR29" i="4" s="1"/>
  <c r="FP8" i="4"/>
  <c r="FQ8" i="4" s="1"/>
  <c r="FR8" i="4" s="1"/>
  <c r="FP26" i="4"/>
  <c r="FQ26" i="4" s="1"/>
  <c r="FR26" i="4" s="1"/>
  <c r="FP21" i="4"/>
  <c r="FQ21" i="4" s="1"/>
  <c r="FR21" i="4" s="1"/>
  <c r="FP23" i="4"/>
  <c r="FQ23" i="4" s="1"/>
  <c r="FR23" i="4" s="1"/>
  <c r="FP33" i="4"/>
  <c r="FQ33" i="4" s="1"/>
  <c r="FR33" i="4" s="1"/>
  <c r="FP10" i="4"/>
  <c r="FQ10" i="4" s="1"/>
  <c r="FR10" i="4" s="1"/>
  <c r="FP5" i="4"/>
  <c r="FQ5" i="4" s="1"/>
  <c r="FR5" i="4" s="1"/>
  <c r="FP15" i="4"/>
  <c r="FQ15" i="4" s="1"/>
  <c r="FR15" i="4" s="1"/>
  <c r="FP20" i="4"/>
  <c r="FQ20" i="4" s="1"/>
  <c r="FR20" i="4" s="1"/>
  <c r="FP28" i="4"/>
  <c r="FQ28" i="4" s="1"/>
  <c r="FR28" i="4" s="1"/>
  <c r="FP25" i="4"/>
  <c r="FQ25" i="4" s="1"/>
  <c r="FR25" i="4" s="1"/>
  <c r="FP31" i="4"/>
  <c r="FQ31" i="4" s="1"/>
  <c r="FR31" i="4" s="1"/>
  <c r="FP18" i="4"/>
  <c r="FQ18" i="4" s="1"/>
  <c r="FR18" i="4" s="1"/>
  <c r="FP13" i="4"/>
  <c r="FQ13" i="4" s="1"/>
  <c r="FR13" i="4" s="1"/>
  <c r="FP35" i="4"/>
  <c r="FQ35" i="4" s="1"/>
  <c r="FR35" i="4" s="1"/>
  <c r="FO45" i="4"/>
  <c r="FS10" i="4" l="1"/>
  <c r="FV10" i="4"/>
  <c r="GD10" i="4" s="1"/>
  <c r="GH10" i="4" s="1"/>
  <c r="GJ10" i="4" s="1"/>
  <c r="FT10" i="4"/>
  <c r="FV9" i="4"/>
  <c r="GD9" i="4" s="1"/>
  <c r="GH9" i="4" s="1"/>
  <c r="GJ9" i="4" s="1"/>
  <c r="FT9" i="4"/>
  <c r="FS9" i="4"/>
  <c r="FS33" i="4"/>
  <c r="FV33" i="4"/>
  <c r="GD33" i="4" s="1"/>
  <c r="GH33" i="4" s="1"/>
  <c r="GJ33" i="4" s="1"/>
  <c r="FV32" i="4"/>
  <c r="GD32" i="4" s="1"/>
  <c r="GH32" i="4" s="1"/>
  <c r="GJ32" i="4" s="1"/>
  <c r="FS32" i="4"/>
  <c r="FV13" i="4"/>
  <c r="GD13" i="4" s="1"/>
  <c r="GH13" i="4" s="1"/>
  <c r="GJ13" i="4" s="1"/>
  <c r="FS13" i="4"/>
  <c r="FT13" i="4"/>
  <c r="FV16" i="4"/>
  <c r="GD16" i="4" s="1"/>
  <c r="GH16" i="4" s="1"/>
  <c r="GJ16" i="4" s="1"/>
  <c r="FT16" i="4"/>
  <c r="FS16" i="4"/>
  <c r="FS18" i="4"/>
  <c r="FV18" i="4"/>
  <c r="GD18" i="4" s="1"/>
  <c r="GH18" i="4" s="1"/>
  <c r="GJ18" i="4" s="1"/>
  <c r="FT18" i="4"/>
  <c r="FV6" i="4"/>
  <c r="GD6" i="4" s="1"/>
  <c r="GH6" i="4" s="1"/>
  <c r="GJ6" i="4" s="1"/>
  <c r="FS6" i="4"/>
  <c r="FT6" i="4"/>
  <c r="FV31" i="4"/>
  <c r="GD31" i="4" s="1"/>
  <c r="GH31" i="4" s="1"/>
  <c r="GJ31" i="4" s="1"/>
  <c r="FS31" i="4"/>
  <c r="FV23" i="4"/>
  <c r="GD23" i="4" s="1"/>
  <c r="GH23" i="4" s="1"/>
  <c r="GJ23" i="4" s="1"/>
  <c r="FS23" i="4"/>
  <c r="FV11" i="4"/>
  <c r="GD11" i="4" s="1"/>
  <c r="GH11" i="4" s="1"/>
  <c r="GJ11" i="4" s="1"/>
  <c r="FT11" i="4"/>
  <c r="FS11" i="4"/>
  <c r="FV22" i="4"/>
  <c r="GD22" i="4" s="1"/>
  <c r="GH22" i="4" s="1"/>
  <c r="GJ22" i="4" s="1"/>
  <c r="FS22" i="4"/>
  <c r="FV21" i="4"/>
  <c r="GD21" i="4" s="1"/>
  <c r="GH21" i="4" s="1"/>
  <c r="GJ21" i="4" s="1"/>
  <c r="FT21" i="4"/>
  <c r="FS21" i="4"/>
  <c r="FV24" i="4"/>
  <c r="GD24" i="4" s="1"/>
  <c r="GH24" i="4" s="1"/>
  <c r="GJ24" i="4" s="1"/>
  <c r="FS24" i="4"/>
  <c r="FT28" i="4"/>
  <c r="FS28" i="4"/>
  <c r="FV28" i="4"/>
  <c r="GD28" i="4" s="1"/>
  <c r="GH28" i="4" s="1"/>
  <c r="GJ28" i="4" s="1"/>
  <c r="FT27" i="4"/>
  <c r="FS27" i="4"/>
  <c r="FV27" i="4"/>
  <c r="GD27" i="4" s="1"/>
  <c r="GH27" i="4" s="1"/>
  <c r="GJ27" i="4" s="1"/>
  <c r="FP36" i="4"/>
  <c r="FP45" i="4" s="1"/>
  <c r="FQ4" i="4"/>
  <c r="FR4" i="4" s="1"/>
  <c r="FV25" i="4"/>
  <c r="GD25" i="4" s="1"/>
  <c r="GH25" i="4" s="1"/>
  <c r="GJ25" i="4" s="1"/>
  <c r="FT25" i="4"/>
  <c r="FS25" i="4"/>
  <c r="FT12" i="4"/>
  <c r="FV12" i="4"/>
  <c r="GD12" i="4" s="1"/>
  <c r="GH12" i="4" s="1"/>
  <c r="GJ12" i="4" s="1"/>
  <c r="FS12" i="4"/>
  <c r="FV26" i="4"/>
  <c r="GD26" i="4" s="1"/>
  <c r="GH26" i="4" s="1"/>
  <c r="GJ26" i="4" s="1"/>
  <c r="FS26" i="4"/>
  <c r="FT26" i="4"/>
  <c r="FS20" i="4"/>
  <c r="FV20" i="4"/>
  <c r="GD20" i="4" s="1"/>
  <c r="GH20" i="4" s="1"/>
  <c r="GJ20" i="4" s="1"/>
  <c r="FT20" i="4"/>
  <c r="FV8" i="4"/>
  <c r="GD8" i="4" s="1"/>
  <c r="GH8" i="4" s="1"/>
  <c r="GJ8" i="4" s="1"/>
  <c r="FT8" i="4"/>
  <c r="FS8" i="4"/>
  <c r="FV14" i="4"/>
  <c r="GD14" i="4" s="1"/>
  <c r="GH14" i="4" s="1"/>
  <c r="GJ14" i="4" s="1"/>
  <c r="FT14" i="4"/>
  <c r="FS14" i="4"/>
  <c r="FV17" i="4"/>
  <c r="GD17" i="4" s="1"/>
  <c r="GH17" i="4" s="1"/>
  <c r="GJ17" i="4" s="1"/>
  <c r="FS17" i="4"/>
  <c r="FT17" i="4"/>
  <c r="FV15" i="4"/>
  <c r="GD15" i="4" s="1"/>
  <c r="GH15" i="4" s="1"/>
  <c r="GJ15" i="4" s="1"/>
  <c r="FS15" i="4"/>
  <c r="FT15" i="4"/>
  <c r="FS29" i="4"/>
  <c r="FT29" i="4"/>
  <c r="FV29" i="4"/>
  <c r="GD29" i="4" s="1"/>
  <c r="GH29" i="4" s="1"/>
  <c r="GJ29" i="4" s="1"/>
  <c r="FV7" i="4"/>
  <c r="GD7" i="4" s="1"/>
  <c r="GH7" i="4" s="1"/>
  <c r="GJ7" i="4" s="1"/>
  <c r="FS7" i="4"/>
  <c r="FT7" i="4"/>
  <c r="FV35" i="4"/>
  <c r="GD35" i="4" s="1"/>
  <c r="GH35" i="4" s="1"/>
  <c r="GJ35" i="4" s="1"/>
  <c r="FS35" i="4"/>
  <c r="FV5" i="4"/>
  <c r="GD5" i="4" s="1"/>
  <c r="GH5" i="4" s="1"/>
  <c r="GJ5" i="4" s="1"/>
  <c r="FT5" i="4"/>
  <c r="FS5" i="4"/>
  <c r="FV34" i="4"/>
  <c r="GD34" i="4" s="1"/>
  <c r="GH34" i="4" s="1"/>
  <c r="GJ34" i="4" s="1"/>
  <c r="FS34" i="4"/>
  <c r="FV19" i="4"/>
  <c r="GD19" i="4" s="1"/>
  <c r="GH19" i="4" s="1"/>
  <c r="GJ19" i="4" s="1"/>
  <c r="FT19" i="4"/>
  <c r="FS19" i="4"/>
  <c r="FS30" i="4"/>
  <c r="FT30" i="4"/>
  <c r="FV30" i="4"/>
  <c r="GD30" i="4" s="1"/>
  <c r="GH30" i="4" s="1"/>
  <c r="GJ30" i="4" s="1"/>
  <c r="GL20" i="4" l="1"/>
  <c r="GM20" i="4" s="1"/>
  <c r="GN20" i="4" s="1"/>
  <c r="GO20" i="4" s="1"/>
  <c r="GP20" i="4"/>
  <c r="GL27" i="4"/>
  <c r="GM27" i="4" s="1"/>
  <c r="GN27" i="4" s="1"/>
  <c r="GO27" i="4" s="1"/>
  <c r="GP27" i="4"/>
  <c r="GS27" i="4" s="1"/>
  <c r="GP18" i="4"/>
  <c r="GS18" i="4" s="1"/>
  <c r="GL18" i="4"/>
  <c r="GM18" i="4" s="1"/>
  <c r="GN18" i="4" s="1"/>
  <c r="GO18" i="4" s="1"/>
  <c r="GP10" i="4"/>
  <c r="GQ10" i="4" s="1"/>
  <c r="GL10" i="4"/>
  <c r="GM10" i="4" s="1"/>
  <c r="GN10" i="4" s="1"/>
  <c r="GO10" i="4" s="1"/>
  <c r="GL8" i="4"/>
  <c r="GM8" i="4" s="1"/>
  <c r="GN8" i="4" s="1"/>
  <c r="GO8" i="4" s="1"/>
  <c r="GP8" i="4"/>
  <c r="GS8" i="4" s="1"/>
  <c r="GL12" i="4"/>
  <c r="GM12" i="4" s="1"/>
  <c r="GN12" i="4" s="1"/>
  <c r="GP12" i="4"/>
  <c r="GQ12" i="4" s="1"/>
  <c r="GL23" i="4"/>
  <c r="GM23" i="4" s="1"/>
  <c r="GN23" i="4" s="1"/>
  <c r="GO23" i="4" s="1"/>
  <c r="GP23" i="4"/>
  <c r="GQ23" i="4" s="1"/>
  <c r="GL32" i="4"/>
  <c r="GM32" i="4" s="1"/>
  <c r="GN32" i="4" s="1"/>
  <c r="GP32" i="4"/>
  <c r="GQ32" i="4" s="1"/>
  <c r="GP34" i="4"/>
  <c r="GL34" i="4"/>
  <c r="GM34" i="4" s="1"/>
  <c r="GN34" i="4" s="1"/>
  <c r="GL7" i="4"/>
  <c r="GM7" i="4" s="1"/>
  <c r="GN7" i="4" s="1"/>
  <c r="GO7" i="4" s="1"/>
  <c r="GP7" i="4"/>
  <c r="GL21" i="4"/>
  <c r="GM21" i="4" s="1"/>
  <c r="GN21" i="4" s="1"/>
  <c r="GO21" i="4" s="1"/>
  <c r="GP21" i="4"/>
  <c r="GL33" i="4"/>
  <c r="GM33" i="4" s="1"/>
  <c r="GN33" i="4" s="1"/>
  <c r="GO33" i="4" s="1"/>
  <c r="GP33" i="4"/>
  <c r="GQ33" i="4" s="1"/>
  <c r="GP29" i="4"/>
  <c r="GQ29" i="4" s="1"/>
  <c r="GL29" i="4"/>
  <c r="GM29" i="4" s="1"/>
  <c r="GN29" i="4" s="1"/>
  <c r="GO29" i="4" s="1"/>
  <c r="GL28" i="4"/>
  <c r="GM28" i="4" s="1"/>
  <c r="GN28" i="4" s="1"/>
  <c r="GO28" i="4" s="1"/>
  <c r="GP28" i="4"/>
  <c r="GL17" i="4"/>
  <c r="GM17" i="4" s="1"/>
  <c r="GN17" i="4" s="1"/>
  <c r="GO17" i="4" s="1"/>
  <c r="GP17" i="4"/>
  <c r="GL31" i="4"/>
  <c r="GM31" i="4" s="1"/>
  <c r="GN31" i="4" s="1"/>
  <c r="GO31" i="4" s="1"/>
  <c r="GP31" i="4"/>
  <c r="GQ31" i="4" s="1"/>
  <c r="GL22" i="4"/>
  <c r="GM22" i="4" s="1"/>
  <c r="GN22" i="4" s="1"/>
  <c r="GO22" i="4" s="1"/>
  <c r="GP22" i="4"/>
  <c r="GL16" i="4"/>
  <c r="GM16" i="4" s="1"/>
  <c r="GN16" i="4" s="1"/>
  <c r="GO16" i="4" s="1"/>
  <c r="GP16" i="4"/>
  <c r="GQ16" i="4" s="1"/>
  <c r="GP5" i="4"/>
  <c r="GL5" i="4"/>
  <c r="GM5" i="4" s="1"/>
  <c r="GN5" i="4" s="1"/>
  <c r="GO5" i="4" s="1"/>
  <c r="GL25" i="4"/>
  <c r="GM25" i="4" s="1"/>
  <c r="GN25" i="4" s="1"/>
  <c r="GP25" i="4"/>
  <c r="GQ25" i="4" s="1"/>
  <c r="GP14" i="4"/>
  <c r="GQ14" i="4" s="1"/>
  <c r="GL14" i="4"/>
  <c r="GM14" i="4" s="1"/>
  <c r="GN14" i="4" s="1"/>
  <c r="GO14" i="4" s="1"/>
  <c r="GP6" i="4"/>
  <c r="GS6" i="4" s="1"/>
  <c r="GL6" i="4"/>
  <c r="GM6" i="4" s="1"/>
  <c r="GN6" i="4" s="1"/>
  <c r="GO6" i="4" s="1"/>
  <c r="GP9" i="4"/>
  <c r="GL9" i="4"/>
  <c r="GM9" i="4" s="1"/>
  <c r="GN9" i="4" s="1"/>
  <c r="GO9" i="4" s="1"/>
  <c r="GL30" i="4"/>
  <c r="GM30" i="4" s="1"/>
  <c r="GN30" i="4" s="1"/>
  <c r="GO30" i="4" s="1"/>
  <c r="GP30" i="4"/>
  <c r="GQ30" i="4" s="1"/>
  <c r="GL35" i="4"/>
  <c r="GM35" i="4" s="1"/>
  <c r="GN35" i="4" s="1"/>
  <c r="GO35" i="4" s="1"/>
  <c r="GP35" i="4"/>
  <c r="GQ35" i="4" s="1"/>
  <c r="GL26" i="4"/>
  <c r="GM26" i="4" s="1"/>
  <c r="GN26" i="4" s="1"/>
  <c r="GO26" i="4" s="1"/>
  <c r="GP26" i="4"/>
  <c r="GQ26" i="4" s="1"/>
  <c r="GL24" i="4"/>
  <c r="GM24" i="4" s="1"/>
  <c r="GN24" i="4" s="1"/>
  <c r="GO24" i="4" s="1"/>
  <c r="GP24" i="4"/>
  <c r="GL11" i="4"/>
  <c r="GM11" i="4" s="1"/>
  <c r="GN11" i="4" s="1"/>
  <c r="GO11" i="4" s="1"/>
  <c r="GP11" i="4"/>
  <c r="GL13" i="4"/>
  <c r="GM13" i="4" s="1"/>
  <c r="GN13" i="4" s="1"/>
  <c r="GO13" i="4" s="1"/>
  <c r="GP13" i="4"/>
  <c r="GQ13" i="4" s="1"/>
  <c r="GL15" i="4"/>
  <c r="GM15" i="4" s="1"/>
  <c r="GN15" i="4" s="1"/>
  <c r="GO15" i="4" s="1"/>
  <c r="GP15" i="4"/>
  <c r="GL19" i="4"/>
  <c r="GM19" i="4" s="1"/>
  <c r="GN19" i="4" s="1"/>
  <c r="GO19" i="4" s="1"/>
  <c r="GP19" i="4"/>
  <c r="FR36" i="4"/>
  <c r="FV4" i="4"/>
  <c r="FT4" i="4"/>
  <c r="FS4" i="4"/>
  <c r="FS36" i="4" s="1"/>
  <c r="GS33" i="4" l="1"/>
  <c r="GS29" i="4"/>
  <c r="GS14" i="4"/>
  <c r="GS31" i="4"/>
  <c r="GS26" i="4"/>
  <c r="GS35" i="4"/>
  <c r="GS16" i="4"/>
  <c r="GQ8" i="4"/>
  <c r="GR8" i="4" s="1"/>
  <c r="GS10" i="4"/>
  <c r="GS23" i="4"/>
  <c r="GS30" i="4"/>
  <c r="GQ27" i="4"/>
  <c r="GR27" i="4" s="1"/>
  <c r="GR13" i="4"/>
  <c r="GR32" i="4"/>
  <c r="GO32" i="4"/>
  <c r="GS32" i="4" s="1"/>
  <c r="GR12" i="4"/>
  <c r="GO12" i="4"/>
  <c r="GS12" i="4" s="1"/>
  <c r="GO25" i="4"/>
  <c r="GS25" i="4" s="1"/>
  <c r="GR25" i="4"/>
  <c r="GR23" i="4"/>
  <c r="GS13" i="4"/>
  <c r="GS9" i="4"/>
  <c r="GQ9" i="4"/>
  <c r="GR9" i="4" s="1"/>
  <c r="GR31" i="4"/>
  <c r="GR29" i="4"/>
  <c r="GR10" i="4"/>
  <c r="GQ19" i="4"/>
  <c r="GR19" i="4" s="1"/>
  <c r="GS19" i="4"/>
  <c r="GS11" i="4"/>
  <c r="GQ11" i="4"/>
  <c r="GR11" i="4" s="1"/>
  <c r="GR35" i="4"/>
  <c r="GQ6" i="4"/>
  <c r="GR6" i="4" s="1"/>
  <c r="GS5" i="4"/>
  <c r="GQ5" i="4"/>
  <c r="GR5" i="4" s="1"/>
  <c r="GO34" i="4"/>
  <c r="GS34" i="4" s="1"/>
  <c r="GQ18" i="4"/>
  <c r="GR18" i="4" s="1"/>
  <c r="GS17" i="4"/>
  <c r="GQ17" i="4"/>
  <c r="GR17" i="4" s="1"/>
  <c r="GR33" i="4"/>
  <c r="GQ34" i="4"/>
  <c r="GR34" i="4" s="1"/>
  <c r="GR16" i="4"/>
  <c r="GS24" i="4"/>
  <c r="GQ24" i="4"/>
  <c r="GR24" i="4" s="1"/>
  <c r="GR30" i="4"/>
  <c r="GR14" i="4"/>
  <c r="GS21" i="4"/>
  <c r="GQ21" i="4"/>
  <c r="GR21" i="4" s="1"/>
  <c r="GS15" i="4"/>
  <c r="GQ15" i="4"/>
  <c r="GR15" i="4" s="1"/>
  <c r="GQ22" i="4"/>
  <c r="GR22" i="4" s="1"/>
  <c r="GS22" i="4"/>
  <c r="GQ28" i="4"/>
  <c r="GR28" i="4" s="1"/>
  <c r="GS28" i="4"/>
  <c r="GR26" i="4"/>
  <c r="GS7" i="4"/>
  <c r="GQ7" i="4"/>
  <c r="GR7" i="4" s="1"/>
  <c r="GS20" i="4"/>
  <c r="GQ20" i="4"/>
  <c r="GR20" i="4" s="1"/>
  <c r="FV36" i="4"/>
  <c r="GD4" i="4"/>
  <c r="FR45" i="4"/>
  <c r="FT36" i="4"/>
  <c r="GD36" i="4" l="1"/>
  <c r="GD45" i="4" s="1"/>
  <c r="GH4" i="4"/>
  <c r="GH36" i="4" l="1"/>
  <c r="GH45" i="4" s="1"/>
  <c r="GJ4" i="4"/>
  <c r="GJ36" i="4" l="1"/>
  <c r="GP4" i="4"/>
  <c r="GS4" i="4" s="1"/>
  <c r="GS36" i="4" s="1"/>
  <c r="GL4" i="4"/>
  <c r="GL36" i="4" l="1"/>
  <c r="GM4" i="4"/>
  <c r="GM36" i="4" l="1"/>
  <c r="GN4" i="4"/>
  <c r="GO4" i="4" l="1"/>
  <c r="GQ4" i="4" s="1"/>
  <c r="GQ36" i="4" s="1"/>
  <c r="GQ45" i="4" s="1"/>
  <c r="GM45" i="4"/>
  <c r="GR4" i="4" l="1"/>
  <c r="GR41" i="4"/>
  <c r="GT30" i="4" l="1"/>
  <c r="GU30" i="4" s="1"/>
  <c r="GV30" i="4" s="1"/>
  <c r="GT7" i="4"/>
  <c r="GU7" i="4" s="1"/>
  <c r="GV7" i="4" s="1"/>
  <c r="GR45" i="4"/>
  <c r="GT11" i="4"/>
  <c r="GU11" i="4" s="1"/>
  <c r="GV11" i="4" s="1"/>
  <c r="GT5" i="4"/>
  <c r="GU5" i="4" s="1"/>
  <c r="GV5" i="4" s="1"/>
  <c r="GT22" i="4"/>
  <c r="GU22" i="4" s="1"/>
  <c r="GV22" i="4" s="1"/>
  <c r="GT32" i="4"/>
  <c r="GU32" i="4" s="1"/>
  <c r="GV32" i="4" s="1"/>
  <c r="GT34" i="4"/>
  <c r="GU34" i="4" s="1"/>
  <c r="GV34" i="4" s="1"/>
  <c r="GT12" i="4"/>
  <c r="GU12" i="4" s="1"/>
  <c r="GV12" i="4" s="1"/>
  <c r="GT13" i="4"/>
  <c r="GU13" i="4" s="1"/>
  <c r="GV13" i="4" s="1"/>
  <c r="GT26" i="4"/>
  <c r="GU26" i="4" s="1"/>
  <c r="GV26" i="4" s="1"/>
  <c r="GT23" i="4"/>
  <c r="GU23" i="4" s="1"/>
  <c r="GV23" i="4" s="1"/>
  <c r="GT33" i="4"/>
  <c r="GU33" i="4" s="1"/>
  <c r="GV33" i="4" s="1"/>
  <c r="GT15" i="4"/>
  <c r="GU15" i="4" s="1"/>
  <c r="GV15" i="4" s="1"/>
  <c r="GT19" i="4"/>
  <c r="GU19" i="4" s="1"/>
  <c r="GV19" i="4" s="1"/>
  <c r="GT14" i="4"/>
  <c r="GU14" i="4" s="1"/>
  <c r="GV14" i="4" s="1"/>
  <c r="GT24" i="4"/>
  <c r="GU24" i="4" s="1"/>
  <c r="GV24" i="4" s="1"/>
  <c r="GT28" i="4"/>
  <c r="GU28" i="4" s="1"/>
  <c r="GV28" i="4" s="1"/>
  <c r="GT20" i="4"/>
  <c r="GU20" i="4" s="1"/>
  <c r="GV20" i="4" s="1"/>
  <c r="GT6" i="4"/>
  <c r="GU6" i="4" s="1"/>
  <c r="GV6" i="4" s="1"/>
  <c r="GT16" i="4"/>
  <c r="GU16" i="4" s="1"/>
  <c r="GV16" i="4" s="1"/>
  <c r="GT18" i="4"/>
  <c r="GU18" i="4" s="1"/>
  <c r="GV18" i="4" s="1"/>
  <c r="GT9" i="4"/>
  <c r="GU9" i="4" s="1"/>
  <c r="GV9" i="4" s="1"/>
  <c r="GT4" i="4"/>
  <c r="GU4" i="4" s="1"/>
  <c r="GV4" i="4" s="1"/>
  <c r="GT25" i="4"/>
  <c r="GU25" i="4" s="1"/>
  <c r="GV25" i="4" s="1"/>
  <c r="GT17" i="4"/>
  <c r="GU17" i="4" s="1"/>
  <c r="GV17" i="4" s="1"/>
  <c r="GT8" i="4"/>
  <c r="GU8" i="4" s="1"/>
  <c r="GV8" i="4" s="1"/>
  <c r="GT10" i="4"/>
  <c r="GU10" i="4" s="1"/>
  <c r="GV10" i="4" s="1"/>
  <c r="GT29" i="4"/>
  <c r="GU29" i="4" s="1"/>
  <c r="GV29" i="4" s="1"/>
  <c r="GT31" i="4"/>
  <c r="GU31" i="4" s="1"/>
  <c r="GV31" i="4" s="1"/>
  <c r="GT35" i="4"/>
  <c r="GU35" i="4" s="1"/>
  <c r="GV35" i="4" s="1"/>
  <c r="GT21" i="4"/>
  <c r="GU21" i="4" s="1"/>
  <c r="GV21" i="4" s="1"/>
  <c r="GT27" i="4"/>
  <c r="GU27" i="4" s="1"/>
  <c r="GV27" i="4" s="1"/>
  <c r="GS45" i="4"/>
  <c r="GX9" i="4" l="1"/>
  <c r="GZ9" i="4"/>
  <c r="HH9" i="4" s="1"/>
  <c r="HL9" i="4" s="1"/>
  <c r="HN9" i="4" s="1"/>
  <c r="GW9" i="4"/>
  <c r="GX10" i="4"/>
  <c r="GZ10" i="4"/>
  <c r="HH10" i="4" s="1"/>
  <c r="HL10" i="4" s="1"/>
  <c r="HN10" i="4" s="1"/>
  <c r="GW10" i="4"/>
  <c r="GZ23" i="4"/>
  <c r="HH23" i="4" s="1"/>
  <c r="HL23" i="4" s="1"/>
  <c r="HN23" i="4" s="1"/>
  <c r="GW23" i="4"/>
  <c r="GZ4" i="4"/>
  <c r="GW4" i="4"/>
  <c r="GV36" i="4"/>
  <c r="GX21" i="4"/>
  <c r="GZ21" i="4"/>
  <c r="HH21" i="4" s="1"/>
  <c r="HL21" i="4" s="1"/>
  <c r="HN21" i="4" s="1"/>
  <c r="GW21" i="4"/>
  <c r="GT36" i="4"/>
  <c r="GT45" i="4" s="1"/>
  <c r="GX14" i="4"/>
  <c r="GZ14" i="4"/>
  <c r="HH14" i="4" s="1"/>
  <c r="HL14" i="4" s="1"/>
  <c r="HN14" i="4" s="1"/>
  <c r="GW14" i="4"/>
  <c r="GZ34" i="4"/>
  <c r="HH34" i="4" s="1"/>
  <c r="HL34" i="4" s="1"/>
  <c r="HN34" i="4" s="1"/>
  <c r="GW34" i="4"/>
  <c r="GZ19" i="4"/>
  <c r="HH19" i="4" s="1"/>
  <c r="HL19" i="4" s="1"/>
  <c r="HN19" i="4" s="1"/>
  <c r="GX19" i="4"/>
  <c r="GW19" i="4"/>
  <c r="GZ18" i="4"/>
  <c r="HH18" i="4" s="1"/>
  <c r="HL18" i="4" s="1"/>
  <c r="HN18" i="4" s="1"/>
  <c r="GW18" i="4"/>
  <c r="GX18" i="4"/>
  <c r="GZ15" i="4"/>
  <c r="HH15" i="4" s="1"/>
  <c r="HL15" i="4" s="1"/>
  <c r="HN15" i="4" s="1"/>
  <c r="GW15" i="4"/>
  <c r="GX15" i="4"/>
  <c r="GZ22" i="4"/>
  <c r="HH22" i="4" s="1"/>
  <c r="HL22" i="4" s="1"/>
  <c r="HN22" i="4" s="1"/>
  <c r="GW22" i="4"/>
  <c r="GZ32" i="4"/>
  <c r="HH32" i="4" s="1"/>
  <c r="HL32" i="4" s="1"/>
  <c r="HN32" i="4" s="1"/>
  <c r="GW32" i="4"/>
  <c r="GZ29" i="4"/>
  <c r="HH29" i="4" s="1"/>
  <c r="HL29" i="4" s="1"/>
  <c r="HN29" i="4" s="1"/>
  <c r="GX29" i="4"/>
  <c r="GW29" i="4"/>
  <c r="GZ16" i="4"/>
  <c r="HH16" i="4" s="1"/>
  <c r="HL16" i="4" s="1"/>
  <c r="HN16" i="4" s="1"/>
  <c r="GX16" i="4"/>
  <c r="GW16" i="4"/>
  <c r="GW33" i="4"/>
  <c r="GZ33" i="4"/>
  <c r="HH33" i="4" s="1"/>
  <c r="HL33" i="4" s="1"/>
  <c r="HN33" i="4" s="1"/>
  <c r="GX5" i="4"/>
  <c r="GW5" i="4"/>
  <c r="GZ5" i="4"/>
  <c r="HH5" i="4" s="1"/>
  <c r="HL5" i="4" s="1"/>
  <c r="HN5" i="4" s="1"/>
  <c r="GZ35" i="4"/>
  <c r="HH35" i="4" s="1"/>
  <c r="HL35" i="4" s="1"/>
  <c r="HN35" i="4" s="1"/>
  <c r="GW35" i="4"/>
  <c r="GZ6" i="4"/>
  <c r="HH6" i="4" s="1"/>
  <c r="HL6" i="4" s="1"/>
  <c r="HN6" i="4" s="1"/>
  <c r="GX6" i="4"/>
  <c r="GW6" i="4"/>
  <c r="GZ8" i="4"/>
  <c r="HH8" i="4" s="1"/>
  <c r="HL8" i="4" s="1"/>
  <c r="HN8" i="4" s="1"/>
  <c r="GW8" i="4"/>
  <c r="GX8" i="4"/>
  <c r="GZ20" i="4"/>
  <c r="HH20" i="4" s="1"/>
  <c r="HL20" i="4" s="1"/>
  <c r="HN20" i="4" s="1"/>
  <c r="GW20" i="4"/>
  <c r="GX20" i="4"/>
  <c r="GZ26" i="4"/>
  <c r="HH26" i="4" s="1"/>
  <c r="HL26" i="4" s="1"/>
  <c r="HN26" i="4" s="1"/>
  <c r="GW26" i="4"/>
  <c r="GX26" i="4"/>
  <c r="GZ31" i="4"/>
  <c r="HH31" i="4" s="1"/>
  <c r="HL31" i="4" s="1"/>
  <c r="HN31" i="4" s="1"/>
  <c r="GW31" i="4"/>
  <c r="GZ11" i="4"/>
  <c r="HH11" i="4" s="1"/>
  <c r="HL11" i="4" s="1"/>
  <c r="HN11" i="4" s="1"/>
  <c r="GX11" i="4"/>
  <c r="GW11" i="4"/>
  <c r="GX17" i="4"/>
  <c r="GZ17" i="4"/>
  <c r="HH17" i="4" s="1"/>
  <c r="HL17" i="4" s="1"/>
  <c r="HN17" i="4" s="1"/>
  <c r="GW17" i="4"/>
  <c r="GZ28" i="4"/>
  <c r="HH28" i="4" s="1"/>
  <c r="HL28" i="4" s="1"/>
  <c r="HN28" i="4" s="1"/>
  <c r="GX28" i="4"/>
  <c r="GW28" i="4"/>
  <c r="GZ13" i="4"/>
  <c r="HH13" i="4" s="1"/>
  <c r="HL13" i="4" s="1"/>
  <c r="HN13" i="4" s="1"/>
  <c r="GW13" i="4"/>
  <c r="GX13" i="4"/>
  <c r="GW7" i="4"/>
  <c r="GZ7" i="4"/>
  <c r="HH7" i="4" s="1"/>
  <c r="HL7" i="4" s="1"/>
  <c r="HN7" i="4" s="1"/>
  <c r="GX7" i="4"/>
  <c r="GZ27" i="4"/>
  <c r="HH27" i="4" s="1"/>
  <c r="HL27" i="4" s="1"/>
  <c r="HN27" i="4" s="1"/>
  <c r="GX27" i="4"/>
  <c r="GW27" i="4"/>
  <c r="GW25" i="4"/>
  <c r="GZ25" i="4"/>
  <c r="HH25" i="4" s="1"/>
  <c r="HL25" i="4" s="1"/>
  <c r="HN25" i="4" s="1"/>
  <c r="GX25" i="4"/>
  <c r="GW24" i="4"/>
  <c r="GZ24" i="4"/>
  <c r="HH24" i="4" s="1"/>
  <c r="HL24" i="4" s="1"/>
  <c r="HN24" i="4" s="1"/>
  <c r="GW12" i="4"/>
  <c r="GZ12" i="4"/>
  <c r="HH12" i="4" s="1"/>
  <c r="HL12" i="4" s="1"/>
  <c r="HN12" i="4" s="1"/>
  <c r="GX12" i="4"/>
  <c r="GZ30" i="4"/>
  <c r="HH30" i="4" s="1"/>
  <c r="HL30" i="4" s="1"/>
  <c r="HN30" i="4" s="1"/>
  <c r="GX30" i="4"/>
  <c r="GW30" i="4"/>
  <c r="HP6" i="4" l="1"/>
  <c r="HQ6" i="4" s="1"/>
  <c r="HR6" i="4" s="1"/>
  <c r="HS6" i="4" s="1"/>
  <c r="HT6" i="4"/>
  <c r="HW6" i="4" s="1"/>
  <c r="HT20" i="4"/>
  <c r="HU20" i="4" s="1"/>
  <c r="HP20" i="4"/>
  <c r="HQ20" i="4" s="1"/>
  <c r="HR20" i="4" s="1"/>
  <c r="HS20" i="4" s="1"/>
  <c r="HP25" i="4"/>
  <c r="HQ25" i="4" s="1"/>
  <c r="HR25" i="4" s="1"/>
  <c r="HS25" i="4" s="1"/>
  <c r="HT25" i="4"/>
  <c r="HU25" i="4" s="1"/>
  <c r="HT26" i="4"/>
  <c r="HP26" i="4"/>
  <c r="HQ26" i="4" s="1"/>
  <c r="HR26" i="4" s="1"/>
  <c r="HS26" i="4" s="1"/>
  <c r="HT32" i="4"/>
  <c r="HU32" i="4" s="1"/>
  <c r="HP32" i="4"/>
  <c r="HQ32" i="4" s="1"/>
  <c r="HR32" i="4" s="1"/>
  <c r="HS32" i="4" s="1"/>
  <c r="HT18" i="4"/>
  <c r="HW18" i="4" s="1"/>
  <c r="HP18" i="4"/>
  <c r="HQ18" i="4" s="1"/>
  <c r="HR18" i="4" s="1"/>
  <c r="HS18" i="4" s="1"/>
  <c r="HP22" i="4"/>
  <c r="HQ22" i="4" s="1"/>
  <c r="HR22" i="4" s="1"/>
  <c r="HS22" i="4" s="1"/>
  <c r="HT22" i="4"/>
  <c r="HP35" i="4"/>
  <c r="HQ35" i="4" s="1"/>
  <c r="HR35" i="4" s="1"/>
  <c r="HS35" i="4" s="1"/>
  <c r="HT35" i="4"/>
  <c r="HP16" i="4"/>
  <c r="HQ16" i="4" s="1"/>
  <c r="HR16" i="4" s="1"/>
  <c r="HS16" i="4" s="1"/>
  <c r="HT16" i="4"/>
  <c r="HU16" i="4" s="1"/>
  <c r="HP19" i="4"/>
  <c r="HQ19" i="4" s="1"/>
  <c r="HR19" i="4" s="1"/>
  <c r="HS19" i="4" s="1"/>
  <c r="HT19" i="4"/>
  <c r="HW19" i="4" s="1"/>
  <c r="HP21" i="4"/>
  <c r="HQ21" i="4" s="1"/>
  <c r="HR21" i="4" s="1"/>
  <c r="HS21" i="4" s="1"/>
  <c r="HT21" i="4"/>
  <c r="HU21" i="4" s="1"/>
  <c r="HP10" i="4"/>
  <c r="HQ10" i="4" s="1"/>
  <c r="HR10" i="4" s="1"/>
  <c r="HS10" i="4" s="1"/>
  <c r="HT10" i="4"/>
  <c r="HU10" i="4" s="1"/>
  <c r="HP27" i="4"/>
  <c r="HQ27" i="4" s="1"/>
  <c r="HR27" i="4" s="1"/>
  <c r="HS27" i="4" s="1"/>
  <c r="HT27" i="4"/>
  <c r="HW27" i="4" s="1"/>
  <c r="HP5" i="4"/>
  <c r="HQ5" i="4" s="1"/>
  <c r="HR5" i="4" s="1"/>
  <c r="HS5" i="4" s="1"/>
  <c r="HT5" i="4"/>
  <c r="HP30" i="4"/>
  <c r="HQ30" i="4" s="1"/>
  <c r="HR30" i="4" s="1"/>
  <c r="HS30" i="4" s="1"/>
  <c r="HT30" i="4"/>
  <c r="HU30" i="4" s="1"/>
  <c r="HP13" i="4"/>
  <c r="HQ13" i="4" s="1"/>
  <c r="HR13" i="4" s="1"/>
  <c r="HS13" i="4" s="1"/>
  <c r="HT13" i="4"/>
  <c r="HT24" i="4"/>
  <c r="HU24" i="4" s="1"/>
  <c r="HP24" i="4"/>
  <c r="HQ24" i="4" s="1"/>
  <c r="HR24" i="4" s="1"/>
  <c r="HS24" i="4" s="1"/>
  <c r="HP15" i="4"/>
  <c r="HQ15" i="4" s="1"/>
  <c r="HR15" i="4" s="1"/>
  <c r="HS15" i="4" s="1"/>
  <c r="HT15" i="4"/>
  <c r="HW15" i="4" s="1"/>
  <c r="HP34" i="4"/>
  <c r="HQ34" i="4" s="1"/>
  <c r="HR34" i="4" s="1"/>
  <c r="HS34" i="4" s="1"/>
  <c r="HT34" i="4"/>
  <c r="HU34" i="4" s="1"/>
  <c r="GX36" i="4"/>
  <c r="GV45" i="4"/>
  <c r="HP23" i="4"/>
  <c r="HQ23" i="4" s="1"/>
  <c r="HR23" i="4" s="1"/>
  <c r="HT23" i="4"/>
  <c r="HU23" i="4" s="1"/>
  <c r="HT12" i="4"/>
  <c r="HU12" i="4" s="1"/>
  <c r="HP12" i="4"/>
  <c r="HQ12" i="4" s="1"/>
  <c r="HR12" i="4" s="1"/>
  <c r="HS12" i="4" s="1"/>
  <c r="HP28" i="4"/>
  <c r="HQ28" i="4" s="1"/>
  <c r="HR28" i="4" s="1"/>
  <c r="HT28" i="4"/>
  <c r="HU28" i="4" s="1"/>
  <c r="HT7" i="4"/>
  <c r="HP7" i="4"/>
  <c r="HQ7" i="4" s="1"/>
  <c r="HR7" i="4" s="1"/>
  <c r="HS7" i="4" s="1"/>
  <c r="HT29" i="4"/>
  <c r="HP29" i="4"/>
  <c r="HQ29" i="4" s="1"/>
  <c r="HR29" i="4" s="1"/>
  <c r="HS29" i="4" s="1"/>
  <c r="GW36" i="4"/>
  <c r="HP9" i="4"/>
  <c r="HQ9" i="4" s="1"/>
  <c r="HR9" i="4" s="1"/>
  <c r="HS9" i="4" s="1"/>
  <c r="HT9" i="4"/>
  <c r="HP11" i="4"/>
  <c r="HQ11" i="4" s="1"/>
  <c r="HR11" i="4" s="1"/>
  <c r="HS11" i="4" s="1"/>
  <c r="HT11" i="4"/>
  <c r="HU11" i="4" s="1"/>
  <c r="HP31" i="4"/>
  <c r="HQ31" i="4" s="1"/>
  <c r="HR31" i="4" s="1"/>
  <c r="HS31" i="4" s="1"/>
  <c r="HT31" i="4"/>
  <c r="HU31" i="4" s="1"/>
  <c r="HT8" i="4"/>
  <c r="HU8" i="4" s="1"/>
  <c r="HP8" i="4"/>
  <c r="HQ8" i="4" s="1"/>
  <c r="HR8" i="4" s="1"/>
  <c r="HS8" i="4" s="1"/>
  <c r="HP17" i="4"/>
  <c r="HQ17" i="4" s="1"/>
  <c r="HR17" i="4" s="1"/>
  <c r="HS17" i="4" s="1"/>
  <c r="HT17" i="4"/>
  <c r="HP33" i="4"/>
  <c r="HQ33" i="4" s="1"/>
  <c r="HR33" i="4" s="1"/>
  <c r="HS33" i="4" s="1"/>
  <c r="HT33" i="4"/>
  <c r="HT14" i="4"/>
  <c r="HU14" i="4" s="1"/>
  <c r="HP14" i="4"/>
  <c r="HQ14" i="4" s="1"/>
  <c r="HR14" i="4" s="1"/>
  <c r="HS14" i="4" s="1"/>
  <c r="HH4" i="4"/>
  <c r="GZ36" i="4"/>
  <c r="HU22" i="4" l="1"/>
  <c r="HV22" i="4" s="1"/>
  <c r="HU29" i="4"/>
  <c r="HV29" i="4" s="1"/>
  <c r="HU18" i="4"/>
  <c r="HV18" i="4" s="1"/>
  <c r="HW20" i="4"/>
  <c r="HW12" i="4"/>
  <c r="HW11" i="4"/>
  <c r="HV16" i="4"/>
  <c r="HW32" i="4"/>
  <c r="HW8" i="4"/>
  <c r="HW14" i="4"/>
  <c r="HU19" i="4"/>
  <c r="HV19" i="4" s="1"/>
  <c r="HW31" i="4"/>
  <c r="HW35" i="4"/>
  <c r="HW24" i="4"/>
  <c r="HV30" i="4"/>
  <c r="HV10" i="4"/>
  <c r="HW25" i="4"/>
  <c r="HU27" i="4"/>
  <c r="HV27" i="4" s="1"/>
  <c r="HW34" i="4"/>
  <c r="HV21" i="4"/>
  <c r="HU35" i="4"/>
  <c r="HV35" i="4" s="1"/>
  <c r="HS28" i="4"/>
  <c r="HW28" i="4" s="1"/>
  <c r="HV28" i="4"/>
  <c r="HW7" i="4"/>
  <c r="HU7" i="4"/>
  <c r="HV7" i="4" s="1"/>
  <c r="HV14" i="4"/>
  <c r="HV34" i="4"/>
  <c r="HW26" i="4"/>
  <c r="HU26" i="4"/>
  <c r="HV26" i="4" s="1"/>
  <c r="HU33" i="4"/>
  <c r="HV33" i="4" s="1"/>
  <c r="HW33" i="4"/>
  <c r="HW29" i="4"/>
  <c r="HV12" i="4"/>
  <c r="HW22" i="4"/>
  <c r="HV25" i="4"/>
  <c r="HV31" i="4"/>
  <c r="HW17" i="4"/>
  <c r="HU17" i="4"/>
  <c r="HV17" i="4" s="1"/>
  <c r="HU15" i="4"/>
  <c r="HV15" i="4" s="1"/>
  <c r="HW30" i="4"/>
  <c r="HV23" i="4"/>
  <c r="HS23" i="4"/>
  <c r="HW23" i="4" s="1"/>
  <c r="HW10" i="4"/>
  <c r="HW16" i="4"/>
  <c r="HV20" i="4"/>
  <c r="HV11" i="4"/>
  <c r="HW5" i="4"/>
  <c r="HU5" i="4"/>
  <c r="HV5" i="4" s="1"/>
  <c r="HW13" i="4"/>
  <c r="HU13" i="4"/>
  <c r="HV13" i="4" s="1"/>
  <c r="HH36" i="4"/>
  <c r="HH45" i="4" s="1"/>
  <c r="HL4" i="4"/>
  <c r="HV8" i="4"/>
  <c r="HW9" i="4"/>
  <c r="HU9" i="4"/>
  <c r="HV9" i="4" s="1"/>
  <c r="HV24" i="4"/>
  <c r="HW21" i="4"/>
  <c r="HV32" i="4"/>
  <c r="HU6" i="4"/>
  <c r="HV6" i="4" s="1"/>
  <c r="HN4" i="4" l="1"/>
  <c r="HL36" i="4"/>
  <c r="HL45" i="4" s="1"/>
  <c r="HN36" i="4" l="1"/>
  <c r="HT4" i="4"/>
  <c r="HW4" i="4" s="1"/>
  <c r="HW36" i="4" s="1"/>
  <c r="HP4" i="4"/>
  <c r="HP36" i="4" l="1"/>
  <c r="HQ4" i="4"/>
  <c r="HQ36" i="4" l="1"/>
  <c r="HR4" i="4"/>
  <c r="HQ45" i="4" l="1"/>
  <c r="HS4" i="4"/>
  <c r="HU4" i="4" s="1"/>
  <c r="HU36" i="4" s="1"/>
  <c r="HU45" i="4" s="1"/>
  <c r="HV4" i="4" l="1"/>
  <c r="HV41" i="4"/>
  <c r="HX6" i="4" l="1"/>
  <c r="HY6" i="4" s="1"/>
  <c r="HZ6" i="4" s="1"/>
  <c r="HX8" i="4"/>
  <c r="HY8" i="4" s="1"/>
  <c r="HZ8" i="4" s="1"/>
  <c r="HX34" i="4"/>
  <c r="HY34" i="4" s="1"/>
  <c r="HZ34" i="4" s="1"/>
  <c r="HX29" i="4"/>
  <c r="HY29" i="4" s="1"/>
  <c r="HZ29" i="4" s="1"/>
  <c r="HX31" i="4"/>
  <c r="HY31" i="4" s="1"/>
  <c r="HZ31" i="4" s="1"/>
  <c r="HX28" i="4"/>
  <c r="HY28" i="4" s="1"/>
  <c r="HZ28" i="4" s="1"/>
  <c r="HX26" i="4"/>
  <c r="HY26" i="4" s="1"/>
  <c r="HZ26" i="4" s="1"/>
  <c r="HX21" i="4"/>
  <c r="HY21" i="4" s="1"/>
  <c r="HZ21" i="4" s="1"/>
  <c r="HX24" i="4"/>
  <c r="HY24" i="4" s="1"/>
  <c r="HZ24" i="4" s="1"/>
  <c r="HX9" i="4"/>
  <c r="HY9" i="4" s="1"/>
  <c r="HZ9" i="4" s="1"/>
  <c r="HX16" i="4"/>
  <c r="HY16" i="4" s="1"/>
  <c r="HZ16" i="4" s="1"/>
  <c r="HX23" i="4"/>
  <c r="HY23" i="4" s="1"/>
  <c r="HZ23" i="4" s="1"/>
  <c r="HX18" i="4"/>
  <c r="HY18" i="4" s="1"/>
  <c r="HZ18" i="4" s="1"/>
  <c r="HX13" i="4"/>
  <c r="HY13" i="4" s="1"/>
  <c r="HZ13" i="4" s="1"/>
  <c r="HX14" i="4"/>
  <c r="HY14" i="4" s="1"/>
  <c r="HZ14" i="4" s="1"/>
  <c r="HX15" i="4"/>
  <c r="HY15" i="4" s="1"/>
  <c r="HZ15" i="4" s="1"/>
  <c r="HX33" i="4"/>
  <c r="HY33" i="4" s="1"/>
  <c r="HZ33" i="4" s="1"/>
  <c r="HX10" i="4"/>
  <c r="HY10" i="4" s="1"/>
  <c r="HZ10" i="4" s="1"/>
  <c r="HX5" i="4"/>
  <c r="HY5" i="4" s="1"/>
  <c r="HZ5" i="4" s="1"/>
  <c r="HX11" i="4"/>
  <c r="HY11" i="4" s="1"/>
  <c r="HZ11" i="4" s="1"/>
  <c r="HX7" i="4"/>
  <c r="HY7" i="4" s="1"/>
  <c r="HZ7" i="4" s="1"/>
  <c r="HX25" i="4"/>
  <c r="HY25" i="4" s="1"/>
  <c r="HZ25" i="4" s="1"/>
  <c r="HX35" i="4"/>
  <c r="HY35" i="4" s="1"/>
  <c r="HZ35" i="4" s="1"/>
  <c r="HX20" i="4"/>
  <c r="HY20" i="4" s="1"/>
  <c r="HZ20" i="4" s="1"/>
  <c r="HX30" i="4"/>
  <c r="HY30" i="4" s="1"/>
  <c r="HZ30" i="4" s="1"/>
  <c r="HX32" i="4"/>
  <c r="HY32" i="4" s="1"/>
  <c r="HZ32" i="4" s="1"/>
  <c r="HX17" i="4"/>
  <c r="HY17" i="4" s="1"/>
  <c r="HZ17" i="4" s="1"/>
  <c r="HX27" i="4"/>
  <c r="HY27" i="4" s="1"/>
  <c r="HZ27" i="4" s="1"/>
  <c r="HX12" i="4"/>
  <c r="HY12" i="4" s="1"/>
  <c r="HZ12" i="4" s="1"/>
  <c r="HX22" i="4"/>
  <c r="HY22" i="4" s="1"/>
  <c r="HZ22" i="4" s="1"/>
  <c r="IB22" i="4" s="1"/>
  <c r="HX19" i="4"/>
  <c r="HY19" i="4" s="1"/>
  <c r="HZ19" i="4" s="1"/>
  <c r="HX4" i="4"/>
  <c r="HV45" i="4"/>
  <c r="HW45" i="4"/>
  <c r="ID23" i="4" l="1"/>
  <c r="IL23" i="4" s="1"/>
  <c r="IA23" i="4"/>
  <c r="ID35" i="4"/>
  <c r="IL35" i="4" s="1"/>
  <c r="IA35" i="4"/>
  <c r="IA26" i="4"/>
  <c r="IB26" i="4"/>
  <c r="ID26" i="4"/>
  <c r="IL26" i="4" s="1"/>
  <c r="IA25" i="4"/>
  <c r="IB25" i="4"/>
  <c r="ID25" i="4"/>
  <c r="IL25" i="4" s="1"/>
  <c r="ID13" i="4"/>
  <c r="IL13" i="4" s="1"/>
  <c r="IB13" i="4"/>
  <c r="IA13" i="4"/>
  <c r="IA28" i="4"/>
  <c r="IB28" i="4"/>
  <c r="ID28" i="4"/>
  <c r="IL28" i="4" s="1"/>
  <c r="ID27" i="4"/>
  <c r="IL27" i="4" s="1"/>
  <c r="IA27" i="4"/>
  <c r="IB27" i="4"/>
  <c r="ID19" i="4"/>
  <c r="IL19" i="4" s="1"/>
  <c r="IB19" i="4"/>
  <c r="IA19" i="4"/>
  <c r="ID14" i="4"/>
  <c r="IL14" i="4" s="1"/>
  <c r="IB14" i="4"/>
  <c r="IA14" i="4"/>
  <c r="ID22" i="4"/>
  <c r="IL22" i="4" s="1"/>
  <c r="IA22" i="4"/>
  <c r="IA12" i="4"/>
  <c r="ID12" i="4"/>
  <c r="IL12" i="4" s="1"/>
  <c r="IB12" i="4"/>
  <c r="IA7" i="4"/>
  <c r="ID7" i="4"/>
  <c r="IL7" i="4" s="1"/>
  <c r="IB7" i="4"/>
  <c r="IB18" i="4"/>
  <c r="ID18" i="4"/>
  <c r="IL18" i="4" s="1"/>
  <c r="IA18" i="4"/>
  <c r="IA31" i="4"/>
  <c r="ID31" i="4"/>
  <c r="IL31" i="4" s="1"/>
  <c r="ID29" i="4"/>
  <c r="IL29" i="4" s="1"/>
  <c r="IB29" i="4"/>
  <c r="IA29" i="4"/>
  <c r="ID11" i="4"/>
  <c r="IL11" i="4" s="1"/>
  <c r="IA11" i="4"/>
  <c r="IB11" i="4"/>
  <c r="IB5" i="4"/>
  <c r="ID5" i="4"/>
  <c r="IL5" i="4" s="1"/>
  <c r="IA5" i="4"/>
  <c r="IA16" i="4"/>
  <c r="IB16" i="4"/>
  <c r="ID16" i="4"/>
  <c r="IL16" i="4" s="1"/>
  <c r="IA34" i="4"/>
  <c r="ID34" i="4"/>
  <c r="IL34" i="4" s="1"/>
  <c r="IB10" i="4"/>
  <c r="ID10" i="4"/>
  <c r="IL10" i="4" s="1"/>
  <c r="IA10" i="4"/>
  <c r="IB9" i="4"/>
  <c r="ID9" i="4"/>
  <c r="IL9" i="4" s="1"/>
  <c r="IA9" i="4"/>
  <c r="IB8" i="4"/>
  <c r="IA8" i="4"/>
  <c r="ID8" i="4"/>
  <c r="IL8" i="4" s="1"/>
  <c r="IA32" i="4"/>
  <c r="ID32" i="4"/>
  <c r="IL32" i="4" s="1"/>
  <c r="IA30" i="4"/>
  <c r="ID30" i="4"/>
  <c r="IL30" i="4" s="1"/>
  <c r="IB30" i="4"/>
  <c r="IA33" i="4"/>
  <c r="ID33" i="4"/>
  <c r="IL33" i="4" s="1"/>
  <c r="IA24" i="4"/>
  <c r="ID24" i="4"/>
  <c r="IL24" i="4" s="1"/>
  <c r="ID6" i="4"/>
  <c r="IL6" i="4" s="1"/>
  <c r="IB6" i="4"/>
  <c r="IA6" i="4"/>
  <c r="IA17" i="4"/>
  <c r="IB17" i="4"/>
  <c r="ID17" i="4"/>
  <c r="IL17" i="4" s="1"/>
  <c r="HX36" i="4"/>
  <c r="HX45" i="4" s="1"/>
  <c r="IA20" i="4"/>
  <c r="ID20" i="4"/>
  <c r="IL20" i="4" s="1"/>
  <c r="IB20" i="4"/>
  <c r="IB15" i="4"/>
  <c r="ID15" i="4"/>
  <c r="IL15" i="4" s="1"/>
  <c r="IA15" i="4"/>
  <c r="IA21" i="4"/>
  <c r="IB21" i="4"/>
  <c r="ID21" i="4"/>
  <c r="IL21" i="4" s="1"/>
  <c r="HY4" i="4"/>
  <c r="HZ4" i="4" s="1"/>
  <c r="ID4" i="4" l="1"/>
  <c r="IA4" i="4"/>
  <c r="IA36" i="4" s="1"/>
  <c r="HZ36" i="4"/>
  <c r="IL4" i="4" l="1"/>
  <c r="IL36" i="4" s="1"/>
  <c r="ID36" i="4"/>
  <c r="HZ45" i="4"/>
  <c r="IB36" i="4"/>
  <c r="IL45" i="4" l="1"/>
</calcChain>
</file>

<file path=xl/sharedStrings.xml><?xml version="1.0" encoding="utf-8"?>
<sst xmlns="http://schemas.openxmlformats.org/spreadsheetml/2006/main" count="2881" uniqueCount="516">
  <si>
    <t>Date</t>
  </si>
  <si>
    <t>Description</t>
  </si>
  <si>
    <t>Original Description</t>
  </si>
  <si>
    <t>Category</t>
  </si>
  <si>
    <t>Amount</t>
  </si>
  <si>
    <t>Status</t>
  </si>
  <si>
    <t>Colorado Division of Motor Vehicles</t>
  </si>
  <si>
    <t>CO MOTOR VEH SERV EMV    DENVER       CO</t>
  </si>
  <si>
    <t>Auto &amp; Transport</t>
  </si>
  <si>
    <t>Posted</t>
  </si>
  <si>
    <t>Google Store</t>
  </si>
  <si>
    <t>PAYPAL *GOOGLE STORE     402-935-7733 CA</t>
  </si>
  <si>
    <t>Shopping</t>
  </si>
  <si>
    <t>King Soopers</t>
  </si>
  <si>
    <t>KING SOOPERS #0057       WHEAT RIDGE  CO</t>
  </si>
  <si>
    <t>Groceries</t>
  </si>
  <si>
    <t>Weyco Shoes</t>
  </si>
  <si>
    <t>PAYPAL *WEYCO SHOES      402-935-7733 WI</t>
  </si>
  <si>
    <t>Clothing</t>
  </si>
  <si>
    <t>Mad Greens</t>
  </si>
  <si>
    <t>MAD GREENS MG0115        WESTMINSTER  CO</t>
  </si>
  <si>
    <t>Restaurants</t>
  </si>
  <si>
    <t>Best Buy</t>
  </si>
  <si>
    <t>PAYPAL *BESTBUY COM      402-935-7733 MN</t>
  </si>
  <si>
    <t>Electronics &amp; Software</t>
  </si>
  <si>
    <t>Qdoba</t>
  </si>
  <si>
    <t>QDOBA 2063               WESTMINSTER  CA</t>
  </si>
  <si>
    <t>Fast Food</t>
  </si>
  <si>
    <t>It's Brothers Bar Gril</t>
  </si>
  <si>
    <t>IT'S BROTHERS BAR GRIL   DENVER       CO</t>
  </si>
  <si>
    <t>Boulderswing</t>
  </si>
  <si>
    <t>BOULDERSWING             BOULDERSWINGDCO</t>
  </si>
  <si>
    <t>Entertainment</t>
  </si>
  <si>
    <t>Bar Louie</t>
  </si>
  <si>
    <t>TST* BAR LOUIE - DENVER  DENVER       CO</t>
  </si>
  <si>
    <t>Alcohol &amp; Bars</t>
  </si>
  <si>
    <t>Call Your Mother</t>
  </si>
  <si>
    <t>TST* CALL YOUR MOTHER - TDenver       CO</t>
  </si>
  <si>
    <t>KING SOOPERS #0657 FUEL QWHEAT RIDGE  CO</t>
  </si>
  <si>
    <t>Gas</t>
  </si>
  <si>
    <t>Grandmaster Games</t>
  </si>
  <si>
    <t>GRANDMASTER GAMES        BOULDER      CO</t>
  </si>
  <si>
    <t>Great Clips</t>
  </si>
  <si>
    <t>9480 GREAT CLIPS AT BROOMBROOMFIELD   CO</t>
  </si>
  <si>
    <t>Hair</t>
  </si>
  <si>
    <t>Lucy's Burger Bar</t>
  </si>
  <si>
    <t>TST* LUCY'S BURGER BAR   612-202-3545 CO</t>
  </si>
  <si>
    <t>Food &amp; Dining</t>
  </si>
  <si>
    <t>Cosmos Pizza Federal</t>
  </si>
  <si>
    <t>COSMOS PIZZA - FEDERAL   DENVER       CO</t>
  </si>
  <si>
    <t>Membership</t>
  </si>
  <si>
    <t>PAYPAL * MEMBERSHIP      402-935-7733 CA</t>
  </si>
  <si>
    <t>CVS</t>
  </si>
  <si>
    <t>CVS/PHARMACY #10784      DENVER       CO</t>
  </si>
  <si>
    <t>Pharmacy</t>
  </si>
  <si>
    <t>The Pasty Republic</t>
  </si>
  <si>
    <t>SQ *THE PASTY REPUBLIC   Denver       CO</t>
  </si>
  <si>
    <t>Mugi Ramen and Poke</t>
  </si>
  <si>
    <t>MUGI RAMEN AND POKE      WESTMINSTER  CO</t>
  </si>
  <si>
    <t>Nature Conservancy</t>
  </si>
  <si>
    <t>Nature Conservancy       800-6286860  VA</t>
  </si>
  <si>
    <t>Gifts &amp; Donations</t>
  </si>
  <si>
    <t>Jersey Mike's Subs</t>
  </si>
  <si>
    <t>JERSEY MIKES 22003       WESTMINSTER  CO</t>
  </si>
  <si>
    <t>Conoco</t>
  </si>
  <si>
    <t>CONOCO - SEI 25325       WESTMINSTER  CO</t>
  </si>
  <si>
    <t>T-Mobile</t>
  </si>
  <si>
    <t>TMOBILE*AUTO PAY         800-937-8997 WA</t>
  </si>
  <si>
    <t>Mobile Phone</t>
  </si>
  <si>
    <t>Post Oak Bbq</t>
  </si>
  <si>
    <t>TST* POST OAK BBQ        DENVER       CO</t>
  </si>
  <si>
    <t>USAA Credit Card</t>
  </si>
  <si>
    <t>USAA CREDIT CARD PAYMENT SAN ANTONIO  TX</t>
  </si>
  <si>
    <t>Transfer</t>
  </si>
  <si>
    <t>Lyft</t>
  </si>
  <si>
    <t>PAYPAL *LYFT TEMP AUTH HO402-935-7733 CA</t>
  </si>
  <si>
    <t>Rental Car &amp; Taxi</t>
  </si>
  <si>
    <t>Steam</t>
  </si>
  <si>
    <t>PAYPAL *STEAM GAMES      4259522985   WA</t>
  </si>
  <si>
    <t>I Hop Ipa</t>
  </si>
  <si>
    <t>SQ *I HOP IPA            BROOMFIELD   CO</t>
  </si>
  <si>
    <t>Business Services</t>
  </si>
  <si>
    <t>Babajoon's Kabobs &amp; More</t>
  </si>
  <si>
    <t>BABAJOON`S KABOBS &amp; MORE WESTMINSTER  CO</t>
  </si>
  <si>
    <t>Chipotle</t>
  </si>
  <si>
    <t>CHIPOTLE 0066            AURORA       CO</t>
  </si>
  <si>
    <t>Spirit Halloween</t>
  </si>
  <si>
    <t>SPIRIT HALLOWEEN 60468   NORTHGLENN   CO</t>
  </si>
  <si>
    <t>Disguises</t>
  </si>
  <si>
    <t>DISGUISES                LAKEWOOD     CO</t>
  </si>
  <si>
    <t>Taziki's</t>
  </si>
  <si>
    <t>SQ *TAZIKIS MEDITERRANEANWestminster  CO</t>
  </si>
  <si>
    <t>Walgreens</t>
  </si>
  <si>
    <t>WALGREENS #5644          NORTHGLENN   CO</t>
  </si>
  <si>
    <t>Childhelp Backpack</t>
  </si>
  <si>
    <t>CHILDHELP* BACKPACK DR   HTTPSWWW.BRANAZ</t>
  </si>
  <si>
    <t>Kum &amp; Go</t>
  </si>
  <si>
    <t>KUM&amp;GO 2315R ARVADA      ARVADA       CO</t>
  </si>
  <si>
    <t>The Mac Shack</t>
  </si>
  <si>
    <t>TST* THE MAC SHACK       EDGEWATER    CO</t>
  </si>
  <si>
    <t>Patreon</t>
  </si>
  <si>
    <t>PAYPAL *PATREON INC  MEMB402-935-7733 CA</t>
  </si>
  <si>
    <t>Barquentine Brewing Com</t>
  </si>
  <si>
    <t>BARQUENTINE BREWING COM  DENVER       CO</t>
  </si>
  <si>
    <t>Stoners Pizza Joint</t>
  </si>
  <si>
    <t>TST* Stoners Pizza Joint 720-667-2934 CO</t>
  </si>
  <si>
    <t>AUTOMATIC PAYMENT - THANK YOU</t>
  </si>
  <si>
    <t>Uncategorized</t>
  </si>
  <si>
    <t>Recurring Reward Points Redemption</t>
  </si>
  <si>
    <t>RECURRING REWARD POINTS REDEMPTION</t>
  </si>
  <si>
    <t>Cosmos Pizza</t>
  </si>
  <si>
    <t>COSMOS PIZZA - DENVER CO DENVER       CO</t>
  </si>
  <si>
    <t>Parcel Pending</t>
  </si>
  <si>
    <t>PARCEL PENDING           855-977-1676 CA</t>
  </si>
  <si>
    <t>Den Public Parking</t>
  </si>
  <si>
    <t>DEN PUBLIC PARKING       DENVER       CO</t>
  </si>
  <si>
    <t>Parking</t>
  </si>
  <si>
    <t>PAYPAL *LYFT RIDE SUN 2PM402-935-7733 CA</t>
  </si>
  <si>
    <t>SEPTA</t>
  </si>
  <si>
    <t>SEPTA FARE MACHINE       2155618231   PA</t>
  </si>
  <si>
    <t>Public Transportation</t>
  </si>
  <si>
    <t>Auntie Anne's</t>
  </si>
  <si>
    <t>AUNTIE ANNES PA194       PHILADELPHIA PA</t>
  </si>
  <si>
    <t>Drexel Umain Bkstore</t>
  </si>
  <si>
    <t>DREXEL-UMAIN-BKSTORE#4570PHILADELPHIA PA</t>
  </si>
  <si>
    <t>Books</t>
  </si>
  <si>
    <t>PAYPAL *LYFT RIDE SAT 3PM402-935-7733 CA</t>
  </si>
  <si>
    <t>Macy's</t>
  </si>
  <si>
    <t>MACYS  CENTER CITY       PHILADELPHIA PA</t>
  </si>
  <si>
    <t>Wawa</t>
  </si>
  <si>
    <t>WAWA 55                  PHILADELPHIA PA</t>
  </si>
  <si>
    <t>Kindle</t>
  </si>
  <si>
    <t>Kindle Svcs*TE3DF3LB0    888-802-3080 WA</t>
  </si>
  <si>
    <t>Sky Market Center</t>
  </si>
  <si>
    <t>SKY MARKET CENTER C      303-3429000  CO</t>
  </si>
  <si>
    <t>Tide Cleaners</t>
  </si>
  <si>
    <t>Tide Cleaners            Denver       CO</t>
  </si>
  <si>
    <t>Laundry</t>
  </si>
  <si>
    <t>TST* LUCY'S BURGER BAR   DENVER       CO</t>
  </si>
  <si>
    <t>Arby's</t>
  </si>
  <si>
    <t>ARBY'S 5009023           NORTHGLENN   CO</t>
  </si>
  <si>
    <t>High Point Creamery</t>
  </si>
  <si>
    <t>SQ *HIGH POINT CREAMERY  Denver       CO</t>
  </si>
  <si>
    <t>Pear Ring</t>
  </si>
  <si>
    <t>PAYPAL *PEAR RING        35314369001  GB</t>
  </si>
  <si>
    <t>Bakery Four</t>
  </si>
  <si>
    <t>TST* BAKERY FOUR         DENVER       CO</t>
  </si>
  <si>
    <t>Denver Cat Company</t>
  </si>
  <si>
    <t>SQ *DENVER CAT COMPANY   Denver       CO</t>
  </si>
  <si>
    <t>Buckets Cleaning</t>
  </si>
  <si>
    <t>SQ *2 BUCKETS CLEANING   gosq.com     CO</t>
  </si>
  <si>
    <t>Home</t>
  </si>
  <si>
    <t>Mcguckin Hardware</t>
  </si>
  <si>
    <t>MCGUCKIN HARDWARE        BOULDER      CO</t>
  </si>
  <si>
    <t>Home Improvement</t>
  </si>
  <si>
    <t>Aaron George</t>
  </si>
  <si>
    <t>IN *AARON GEORGE         719-6801538  CO</t>
  </si>
  <si>
    <t>Shipping</t>
  </si>
  <si>
    <t>CHIPOTLE 0894            BOULDER      CO</t>
  </si>
  <si>
    <t>US Postal Service</t>
  </si>
  <si>
    <t>USPS CHANGE OF ADDRESS   800-238-3150 TN</t>
  </si>
  <si>
    <t>Marriott Hotel</t>
  </si>
  <si>
    <t>EI*VBMarriott            844-762-0085 WA</t>
  </si>
  <si>
    <t>Hotel</t>
  </si>
  <si>
    <t>American Airlines</t>
  </si>
  <si>
    <t>AMERICAN AIR0018038297094FORT WORTH   TX</t>
  </si>
  <si>
    <t>Air Travel</t>
  </si>
  <si>
    <t>U-Haul</t>
  </si>
  <si>
    <t>U-HAUL-CTR-BOULDER #72227BOULDER      CO</t>
  </si>
  <si>
    <t>Home Services</t>
  </si>
  <si>
    <t>WALGREENS #12683         BOULDER      CO</t>
  </si>
  <si>
    <t>The Home Depot</t>
  </si>
  <si>
    <t>THE HOME DEPOT #1546     BOULDER      CO</t>
  </si>
  <si>
    <t>Chick-fil-A</t>
  </si>
  <si>
    <t>CHICK-FIL-A #01291       THORNTON     CO</t>
  </si>
  <si>
    <t>Ysi Tennyson Place</t>
  </si>
  <si>
    <t>YSI*Tennyson Place       303-3331999  CO</t>
  </si>
  <si>
    <t>Mortgage &amp; Rent</t>
  </si>
  <si>
    <t>Cava Boulder</t>
  </si>
  <si>
    <t>10106 CAVA BOULDER       BOULDER      CO</t>
  </si>
  <si>
    <t>Safeway</t>
  </si>
  <si>
    <t>SAFEWAY #2911            BOULDER      CO</t>
  </si>
  <si>
    <t>Target</t>
  </si>
  <si>
    <t>TARGET        00000646   BOULDER      CO</t>
  </si>
  <si>
    <t>Circle K</t>
  </si>
  <si>
    <t>CIRCLE K # 41110         BOULDER      CO</t>
  </si>
  <si>
    <t>Credit Card Payment</t>
  </si>
  <si>
    <t>Tokyo Joe's</t>
  </si>
  <si>
    <t>TOKYO JOES 120TH 006     612-3607277  CO</t>
  </si>
  <si>
    <t>QDOBA 2030               BOULDER      CA</t>
  </si>
  <si>
    <t>Jimmy John's</t>
  </si>
  <si>
    <t>JIMMY JOHNS 2673         NORTH GLENN  CO</t>
  </si>
  <si>
    <t>Dissentpins</t>
  </si>
  <si>
    <t>PAYPAL *DISSENTPINS      402-935-7733 VT</t>
  </si>
  <si>
    <t>Account</t>
  </si>
  <si>
    <t>CC 8366</t>
  </si>
  <si>
    <t>Insperity</t>
  </si>
  <si>
    <t>ASF, DBA Insperi PAYROLL    ***********5626</t>
  </si>
  <si>
    <t>Paycheck</t>
  </si>
  <si>
    <t>USAA Transfer</t>
  </si>
  <si>
    <t>USAA FUNDS TRANSFER CR</t>
  </si>
  <si>
    <t>Interest Paid</t>
  </si>
  <si>
    <t>INTEREST PAID</t>
  </si>
  <si>
    <t>Interest Income</t>
  </si>
  <si>
    <t>USAA Property and Casualty Insurance</t>
  </si>
  <si>
    <t>USAA P&amp;C         AUTOPAY    ***********4530</t>
  </si>
  <si>
    <t>Financial</t>
  </si>
  <si>
    <t>Spotify</t>
  </si>
  <si>
    <t>PAYPAL           INST XFER  ***********USAI</t>
  </si>
  <si>
    <t>Music</t>
  </si>
  <si>
    <t>Mobile Deposit</t>
  </si>
  <si>
    <t>DEPOSIT@MOBILE</t>
  </si>
  <si>
    <t>Income</t>
  </si>
  <si>
    <t>Comcast</t>
  </si>
  <si>
    <t>COMCAST          CABLE      ***********3283</t>
  </si>
  <si>
    <t>Utilities</t>
  </si>
  <si>
    <t>Advs Ed Serv Web Studntloan</t>
  </si>
  <si>
    <t>ADVS ED SERV WEB STUDNTLOAN ***********GSL1</t>
  </si>
  <si>
    <t>Student Loan</t>
  </si>
  <si>
    <t>Cornerstoneapart Web</t>
  </si>
  <si>
    <t>CORNERSTONEAPART WEB PMTS   ***********PS4F</t>
  </si>
  <si>
    <t>Yardi</t>
  </si>
  <si>
    <t>YARDI SERVICECHG WEB PMTS   ***********GS4F</t>
  </si>
  <si>
    <t>CORNERSTONEAPART WEB PMTS   ***********NS3F</t>
  </si>
  <si>
    <t>Honda Financial</t>
  </si>
  <si>
    <t>HONDA PMT        8004489307 ***********2WOG</t>
  </si>
  <si>
    <t>Auto Payment</t>
  </si>
  <si>
    <t>YARDI SERVICECHG WEB PMTS   ***********FR3F</t>
  </si>
  <si>
    <t>USAA CREDIT CARD PAYMENT</t>
  </si>
  <si>
    <t>SAFEWAY #0244            DENVER       CO</t>
  </si>
  <si>
    <t>Xcel Energy</t>
  </si>
  <si>
    <t>XCEL ENERGY-PSCO XCELENERGY ***********6821</t>
  </si>
  <si>
    <t>COMCAST 8497101  004180591  ***********5806</t>
  </si>
  <si>
    <t>USAA FUNDS TRANSFER DB</t>
  </si>
  <si>
    <t>USAA CREDIT CARD PAYMENT    ***********0051</t>
  </si>
  <si>
    <t>Bank Chestnut</t>
  </si>
  <si>
    <t>TD BANK3250 CHESTNUT ST  PHILADELPHIA PA</t>
  </si>
  <si>
    <t>Cash</t>
  </si>
  <si>
    <t>ATM Fee Rebate</t>
  </si>
  <si>
    <t>ATM REBATE</t>
  </si>
  <si>
    <t>Atm Fee</t>
  </si>
  <si>
    <t>Cornerstoneapart Web Zfyd</t>
  </si>
  <si>
    <t>CORNERSTONEAPART WEB PMTS   ***********ZFYD</t>
  </si>
  <si>
    <t>HONDA PMT        8004489307 ***********JESA</t>
  </si>
  <si>
    <t>YARDI SERVICECHG WEB PMTS   ***********VDYD</t>
  </si>
  <si>
    <t>CORNERSTONEAPART WEB PMTS   ***********1ZVD</t>
  </si>
  <si>
    <t>YARDI SERVICECHG WEB PMTS   ***********1ZVD</t>
  </si>
  <si>
    <t>Account Verification Deposit from Yardi</t>
  </si>
  <si>
    <t>Yardi Penny Test ACCTVERIFY ***********PTVD</t>
  </si>
  <si>
    <t>COMCAST 8497101  004180591  ***********8801</t>
  </si>
  <si>
    <t>Check #1100</t>
  </si>
  <si>
    <t>CHECK # 0000001100</t>
  </si>
  <si>
    <t>Check</t>
  </si>
  <si>
    <t>HONDA PMT        8004489307 ***********FW8E</t>
  </si>
  <si>
    <t>Imported - Untouched from base</t>
  </si>
  <si>
    <t>Override - Changes from base</t>
  </si>
  <si>
    <t>Date_o</t>
  </si>
  <si>
    <t>Description_o</t>
  </si>
  <si>
    <t>Original Description_o</t>
  </si>
  <si>
    <t>Category_o</t>
  </si>
  <si>
    <t>Amount_o</t>
  </si>
  <si>
    <t>Status_o</t>
  </si>
  <si>
    <t>Final - Values with overrides, to be used for calculation</t>
  </si>
  <si>
    <t>Date_i</t>
  </si>
  <si>
    <t>Description_i</t>
  </si>
  <si>
    <t>Original Description_i</t>
  </si>
  <si>
    <t>Category_i</t>
  </si>
  <si>
    <t>Amount_i</t>
  </si>
  <si>
    <t>Status_i</t>
  </si>
  <si>
    <t>Chk 1121</t>
  </si>
  <si>
    <t>Start</t>
  </si>
  <si>
    <t>End</t>
  </si>
  <si>
    <t># Deposits</t>
  </si>
  <si>
    <t># Charges</t>
  </si>
  <si>
    <t>Total Charges</t>
  </si>
  <si>
    <t>Total Deposits</t>
  </si>
  <si>
    <t>Period</t>
  </si>
  <si>
    <t>Statement</t>
  </si>
  <si>
    <t>Spreadsheet</t>
  </si>
  <si>
    <t>Disposition</t>
  </si>
  <si>
    <t>$0 test, only shows on statement</t>
  </si>
  <si>
    <t>Car - Note</t>
  </si>
  <si>
    <t>Car/Rental Insurance</t>
  </si>
  <si>
    <t>Car - Other</t>
  </si>
  <si>
    <t>Car - Parking Pass</t>
  </si>
  <si>
    <t>Self-improvement</t>
  </si>
  <si>
    <t>Clothes/Personal care</t>
  </si>
  <si>
    <t>Dates</t>
  </si>
  <si>
    <t>Entertainment - Other</t>
  </si>
  <si>
    <t>Games</t>
  </si>
  <si>
    <t>Going out</t>
  </si>
  <si>
    <t>Big Fun</t>
  </si>
  <si>
    <t>Food - nice</t>
  </si>
  <si>
    <t>Rent</t>
  </si>
  <si>
    <t>Internet</t>
  </si>
  <si>
    <t>Housing - Other</t>
  </si>
  <si>
    <t>Decoration</t>
  </si>
  <si>
    <t>401k</t>
  </si>
  <si>
    <t>Retirement</t>
  </si>
  <si>
    <t>Long-term</t>
  </si>
  <si>
    <t>Unexpected Fund</t>
  </si>
  <si>
    <t>Medical - Other</t>
  </si>
  <si>
    <t>Medical Insurance</t>
  </si>
  <si>
    <t>ATM</t>
  </si>
  <si>
    <t>Other - Other</t>
  </si>
  <si>
    <t>Salary</t>
  </si>
  <si>
    <t>Income - Other</t>
  </si>
  <si>
    <t>CC Payments</t>
  </si>
  <si>
    <t>Internal Transfers</t>
  </si>
  <si>
    <t>Parental Funds</t>
  </si>
  <si>
    <t>Log Start</t>
  </si>
  <si>
    <t>My Category</t>
  </si>
  <si>
    <t>Broad</t>
  </si>
  <si>
    <t>Specific</t>
  </si>
  <si>
    <t>Key</t>
  </si>
  <si>
    <t>Dir</t>
  </si>
  <si>
    <t>Expenses</t>
  </si>
  <si>
    <t>Internal</t>
  </si>
  <si>
    <t>Car</t>
  </si>
  <si>
    <t>Note</t>
  </si>
  <si>
    <t>Insurance</t>
  </si>
  <si>
    <t>Other</t>
  </si>
  <si>
    <t>Education</t>
  </si>
  <si>
    <t>Food</t>
  </si>
  <si>
    <t>Housing</t>
  </si>
  <si>
    <t>Investments/Savings</t>
  </si>
  <si>
    <t>Medical/Dental</t>
  </si>
  <si>
    <t>Personal Care / Clothing</t>
  </si>
  <si>
    <t>Loans</t>
  </si>
  <si>
    <t>Nice</t>
  </si>
  <si>
    <t>Transactions</t>
  </si>
  <si>
    <t>After T</t>
  </si>
  <si>
    <t>Is Crit</t>
  </si>
  <si>
    <t>Capacity</t>
  </si>
  <si>
    <t>Comment</t>
  </si>
  <si>
    <t>Wedding trip</t>
  </si>
  <si>
    <t>Sky</t>
  </si>
  <si>
    <t>Going Out</t>
  </si>
  <si>
    <t>Besties board games</t>
  </si>
  <si>
    <t>Drexel swag</t>
  </si>
  <si>
    <t>After work drinks</t>
  </si>
  <si>
    <t>Bluff St</t>
  </si>
  <si>
    <t>Halloween</t>
  </si>
  <si>
    <t>Belt</t>
  </si>
  <si>
    <t>Florsheim</t>
  </si>
  <si>
    <t>Headset</t>
  </si>
  <si>
    <t>Swing class</t>
  </si>
  <si>
    <t>Hank gift</t>
  </si>
  <si>
    <t>Food - Nice</t>
  </si>
  <si>
    <t>D and D supplies</t>
  </si>
  <si>
    <t>Cat café</t>
  </si>
  <si>
    <t>Bluff St move-out</t>
  </si>
  <si>
    <t>Suit cleaning</t>
  </si>
  <si>
    <t>Probably pro-rated rent?</t>
  </si>
  <si>
    <t>Bonus?</t>
  </si>
  <si>
    <t>Phone</t>
  </si>
  <si>
    <t>Board games</t>
  </si>
  <si>
    <t>Jill Christmas gift</t>
  </si>
  <si>
    <t>Repay Jill loan</t>
  </si>
  <si>
    <t>Dramamine</t>
  </si>
  <si>
    <t>Pins for Abby</t>
  </si>
  <si>
    <t>Student loans</t>
  </si>
  <si>
    <t>Security deposit refund</t>
  </si>
  <si>
    <t>Alan loan</t>
  </si>
  <si>
    <t>Total</t>
  </si>
  <si>
    <t>E</t>
  </si>
  <si>
    <t>Available</t>
  </si>
  <si>
    <t>Crit To Fill</t>
  </si>
  <si>
    <t>Slush</t>
  </si>
  <si>
    <t>Before Fill</t>
  </si>
  <si>
    <t>Cap Diff</t>
  </si>
  <si>
    <t>Error Check</t>
  </si>
  <si>
    <t>Initial bucket value</t>
  </si>
  <si>
    <t>Transaction totals for this month</t>
  </si>
  <si>
    <t>Bucket value after transactions</t>
  </si>
  <si>
    <t>Bucket capacity</t>
  </si>
  <si>
    <t>Difference between bucket value and capacity</t>
  </si>
  <si>
    <t>Movement from buckets to slush fund</t>
  </si>
  <si>
    <t>Bucket values after removing slush funds</t>
  </si>
  <si>
    <t>Which buckets are critical (fill first)</t>
  </si>
  <si>
    <t>Amount needed to fill critical buckets to full</t>
  </si>
  <si>
    <t>Amount needed to fill non-critical buckets to full</t>
  </si>
  <si>
    <t>Crit Filled</t>
  </si>
  <si>
    <t>Bucket values after refilling critical buckets</t>
  </si>
  <si>
    <t>Slush After Crit</t>
  </si>
  <si>
    <t>S Cap Diff</t>
  </si>
  <si>
    <t>Difference between bucket value and capacity after removing slush funds</t>
  </si>
  <si>
    <t>NC To Fill</t>
  </si>
  <si>
    <t>Scaled</t>
  </si>
  <si>
    <t>Scaled to Fill</t>
  </si>
  <si>
    <t>NC To Fill, but limited by slush fund</t>
  </si>
  <si>
    <t>NC Filled</t>
  </si>
  <si>
    <t>Bucket values after refilling non-critical buckets</t>
  </si>
  <si>
    <t>Intermediate</t>
  </si>
  <si>
    <t>Final</t>
  </si>
  <si>
    <t>Unfilled</t>
  </si>
  <si>
    <t>% Filled</t>
  </si>
  <si>
    <t>Final bucket values</t>
  </si>
  <si>
    <t>Value</t>
  </si>
  <si>
    <t>Previous Month</t>
  </si>
  <si>
    <t>Changes</t>
  </si>
  <si>
    <t>Result</t>
  </si>
  <si>
    <t>WARNING: Approximate values</t>
  </si>
  <si>
    <t>ADVS ED SERV WEB STUDNTLOAN ***********5341</t>
  </si>
  <si>
    <t>CORNERSTONEAPART WEB PMTS   ***********9Q9F</t>
  </si>
  <si>
    <t>HONDA PMT        8004489307 ***********9256</t>
  </si>
  <si>
    <t>YARDI SERVICECHG WEB PMTS   ***********4P9F</t>
  </si>
  <si>
    <t>East Dia</t>
  </si>
  <si>
    <t>RTD EAST DIA             DENVER       CO</t>
  </si>
  <si>
    <t>Travel</t>
  </si>
  <si>
    <t>The Grateful Gnome</t>
  </si>
  <si>
    <t>THE GRATEFUL GNOME       973-8858125  CO</t>
  </si>
  <si>
    <t>Hallmark</t>
  </si>
  <si>
    <t>KARENS HALLMARK 15       HOUSTON      TX</t>
  </si>
  <si>
    <t>Gift</t>
  </si>
  <si>
    <t>Birraporettis</t>
  </si>
  <si>
    <t>BIRRAPORETTIS            713-2249494  TX</t>
  </si>
  <si>
    <t>Kindle Svcs*GC7ZI6A63    888-802-3080 WA</t>
  </si>
  <si>
    <t>Kindle Svcs*J57YI2MI3    888-802-3080 WA</t>
  </si>
  <si>
    <t>Swiss Flower &amp; Gift</t>
  </si>
  <si>
    <t>SWISS FLOWER &amp; GIFT      WHEAT RIDGE  CO</t>
  </si>
  <si>
    <t>LAZ Parking</t>
  </si>
  <si>
    <t>PAYPAL *LAZ PARKING ECOMM402-935-7733 CT</t>
  </si>
  <si>
    <t>Que Bueno Suerte</t>
  </si>
  <si>
    <t>QUE BUENO SUERTE         DENVER       CO</t>
  </si>
  <si>
    <t>Out Thornton</t>
  </si>
  <si>
    <t>IN-N-OUT THORNTON        THORNTON     CO</t>
  </si>
  <si>
    <t>Jinya</t>
  </si>
  <si>
    <t>JINYA                    DENVER       CO</t>
  </si>
  <si>
    <t>LAZ PARKING 760127       DENVER       CO</t>
  </si>
  <si>
    <t>BOULDERSWING BOULDERSWINGD CO     CREDIT</t>
  </si>
  <si>
    <t>Rj?s Tacowich</t>
  </si>
  <si>
    <t>SQ *RJ?S TACOWICH        Denver       CO</t>
  </si>
  <si>
    <t>Christmas dinner</t>
  </si>
  <si>
    <t>Elective class</t>
  </si>
  <si>
    <t>First Friday with Sky</t>
  </si>
  <si>
    <t>Mercedes</t>
  </si>
  <si>
    <t>Hope</t>
  </si>
  <si>
    <t>Christmas travel</t>
  </si>
  <si>
    <t>Date-shifted to match withdrawal</t>
  </si>
  <si>
    <t>Bad Daddy's Burger Bar</t>
  </si>
  <si>
    <t>BAD DADDY'S BURGER BAR   CENTENNIAL   CO</t>
  </si>
  <si>
    <t>Scott @ Tried &amp; True</t>
  </si>
  <si>
    <t>SQ *SCOTT @ TRIED &amp; TRUE Denver       CO</t>
  </si>
  <si>
    <t>Outlaw Wings</t>
  </si>
  <si>
    <t>SQ *OUTLAW WINGS         Broomfield   CO</t>
  </si>
  <si>
    <t>Safeway Fuel</t>
  </si>
  <si>
    <t>SAFEWAY FUEL0244         DENVER       CO</t>
  </si>
  <si>
    <t>An Honda</t>
  </si>
  <si>
    <t>AN HONDA 104             303-469-5551 CO</t>
  </si>
  <si>
    <t>Snarf's</t>
  </si>
  <si>
    <t>SNARFS WESTMINSTER       DENVER       CO</t>
  </si>
  <si>
    <t>WALGREENS #6345          DENVER       CO</t>
  </si>
  <si>
    <t>Account Verification Deposit from Bill.com</t>
  </si>
  <si>
    <t>Bill.com         ACCTVERIFY ***********MKUO</t>
  </si>
  <si>
    <t>Advs Ed Serv Studntloan</t>
  </si>
  <si>
    <t>ADVS ED SERV PPD STUDNTLOAN ***********0000</t>
  </si>
  <si>
    <t>CORNERSTONEAPART WEB PMTS   ***********1WJF</t>
  </si>
  <si>
    <t>YARDI SERVICECHG WEB PMTS   ***********0WJF</t>
  </si>
  <si>
    <t>HONDA PMT        8004489307 ***********LE9E</t>
  </si>
  <si>
    <t>CORNERSTONEAPART WEB PMTS   ***********Q9HF</t>
  </si>
  <si>
    <t>YARDI SERVICECHG WEB PMTS   ***********M9HF</t>
  </si>
  <si>
    <t>Car - other</t>
  </si>
  <si>
    <t>Car - note</t>
  </si>
  <si>
    <t>Entertainment - other</t>
  </si>
  <si>
    <t>Other - other</t>
  </si>
  <si>
    <t>Val Diff</t>
  </si>
  <si>
    <t>Set Val</t>
  </si>
  <si>
    <t>Set Cap</t>
  </si>
  <si>
    <t>CORNERSTONEAPART WEB PMTS   ***********F4QF</t>
  </si>
  <si>
    <t>CORNERSTONEAPART WEB PMTS   ***********QHPF</t>
  </si>
  <si>
    <t>Los Dos Potrillos</t>
  </si>
  <si>
    <t>TST* LOS DOS POTRILLOS - Northglenn   CO</t>
  </si>
  <si>
    <t>Ah Mychart Medepay</t>
  </si>
  <si>
    <t>AH MYCHART MEDEPAY       855-2412455  FL</t>
  </si>
  <si>
    <t>Doctor</t>
  </si>
  <si>
    <t>Afc Urgent Care Denver</t>
  </si>
  <si>
    <t>AFC URGENT CARE DENVER H DENVER       CO</t>
  </si>
  <si>
    <t>Rocket</t>
  </si>
  <si>
    <t>ROCKET 6515              NORTHGLENN   CO</t>
  </si>
  <si>
    <t>Bonus</t>
  </si>
  <si>
    <t>Pho Fusion Asian</t>
  </si>
  <si>
    <t>PHO FUSION ASIAN         DENVER       CO</t>
  </si>
  <si>
    <t>Amazon Prime Membership</t>
  </si>
  <si>
    <t>AMAZON PRIME*EP9AT3V53   888-802-3080 WA</t>
  </si>
  <si>
    <t>0415 GREAT CLIPS AT 44TH DENVER       CO</t>
  </si>
  <si>
    <t>Archery Games Denver</t>
  </si>
  <si>
    <t>ARCHERY GAMES DENVER     303-3054531  CO</t>
  </si>
  <si>
    <t>Sporting Goods</t>
  </si>
  <si>
    <t>Sweetgreen</t>
  </si>
  <si>
    <t>SWEETGREEN TENNYSON      DENVER       CO</t>
  </si>
  <si>
    <t>The Pasty Republic Denver</t>
  </si>
  <si>
    <t>Tokyo Teriyaki</t>
  </si>
  <si>
    <t>TOKYO TERIYAKI           NORTHGLENN   CO</t>
  </si>
  <si>
    <t>Flower Child</t>
  </si>
  <si>
    <t>FLOWER CHILD BOULDER     BOULDER      CO</t>
  </si>
  <si>
    <t>Gleam Car Wash</t>
  </si>
  <si>
    <t>GLEAM CAR WASH           DENVER       CO</t>
  </si>
  <si>
    <t>Service &amp; Parts</t>
  </si>
  <si>
    <t>Federal Tax Refund</t>
  </si>
  <si>
    <t>IRS  TREAS 310     TAX REF  ***********0918</t>
  </si>
  <si>
    <t>Federal Tax</t>
  </si>
  <si>
    <t>State of Colorado</t>
  </si>
  <si>
    <t>CO DEPT REVENUE  COSTTAXRFD ***********7107</t>
  </si>
  <si>
    <t>State Tax</t>
  </si>
  <si>
    <t>Fidelity</t>
  </si>
  <si>
    <t>FID BKG SVC LLC  MONEYLINE  ***********VNNL</t>
  </si>
  <si>
    <t>Investments</t>
  </si>
  <si>
    <t>CORNERSTONEAPART WEB PMTS   ***********TJ1G</t>
  </si>
  <si>
    <t>Cornerstoneapart Web Lyf</t>
  </si>
  <si>
    <t>CORNERSTONEAPART WEB PMTS   ***********1LYF</t>
  </si>
  <si>
    <t>CORNERSTONEAPART WEB PMTS   ***********0WVF</t>
  </si>
  <si>
    <t>Perscription</t>
  </si>
  <si>
    <t>KEEP AN EYE ON. Don't think I did this</t>
  </si>
  <si>
    <t>Transfer to 401k</t>
  </si>
  <si>
    <t>Date-shifted to match withdrawal, non-zero amount on 2024 sheet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</si>
</sst>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4" formatCode="_(&quot;$&quot;* #,##0.00_);_(&quot;$&quot;* \(#,##0.00\);_(&quot;$&quot;* &quot;-&quot;??_);_(@_)"/>
    <numFmt numFmtId="164" formatCode="&quot;$&quot;#,##0.00"/>
    <numFmt numFmtId="165" formatCode="mm/dd/yy;@"/>
  </numFmts>
  <fonts count="9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9C0006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name val="Calibri"/>
      <family val="2"/>
      <scheme val="minor"/>
    </font>
    <font>
      <b/>
      <sz val="11"/>
      <color theme="0" tint="-0.499984740745262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5" tint="-0.249977111117893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rgb="FFF2F2F2"/>
      </patternFill>
    </fill>
    <fill>
      <patternFill patternType="solid">
        <fgColor theme="4"/>
        <bgColor theme="4"/>
      </patternFill>
    </fill>
    <fill>
      <patternFill patternType="solid">
        <fgColor rgb="FFFFC7CE"/>
      </patternFill>
    </fill>
    <fill>
      <patternFill patternType="solid">
        <fgColor theme="0" tint="-0.14999847407452621"/>
        <bgColor indexed="64"/>
      </patternFill>
    </fill>
    <fill>
      <patternFill patternType="gray0625">
        <bgColor theme="0"/>
      </patternFill>
    </fill>
  </fills>
  <borders count="18">
    <border>
      <left/>
      <right/>
      <top/>
      <bottom/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/>
      <right/>
      <top style="thin">
        <color theme="4" tint="0.39997558519241921"/>
      </top>
      <bottom/>
      <diagonal/>
    </border>
    <border>
      <left/>
      <right style="thin">
        <color theme="4" tint="0.39997558519241921"/>
      </right>
      <top style="thin">
        <color theme="4" tint="0.39997558519241921"/>
      </top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4" tint="0.39997558519241921"/>
      </left>
      <right/>
      <top style="double">
        <color theme="4"/>
      </top>
      <bottom style="thin">
        <color theme="4" tint="0.39997558519241921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6">
    <xf numFmtId="0" fontId="0" fillId="0" borderId="0"/>
    <xf numFmtId="0" fontId="7" fillId="9" borderId="5" applyNumberFormat="0" applyAlignment="0" applyProtection="0"/>
    <xf numFmtId="0" fontId="8" fillId="5" borderId="5" applyNumberFormat="0" applyAlignment="0" applyProtection="0"/>
    <xf numFmtId="44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0" fontId="5" fillId="7" borderId="0" applyNumberFormat="0" applyBorder="0" applyAlignment="0" applyProtection="0"/>
  </cellStyleXfs>
  <cellXfs count="50">
    <xf numFmtId="0" fontId="0" fillId="0" borderId="0" xfId="0"/>
    <xf numFmtId="14" fontId="0" fillId="0" borderId="0" xfId="0" applyNumberFormat="1"/>
    <xf numFmtId="0" fontId="1" fillId="0" borderId="3" xfId="0" applyFont="1" applyBorder="1"/>
    <xf numFmtId="0" fontId="1" fillId="0" borderId="4" xfId="0" applyFont="1" applyBorder="1"/>
    <xf numFmtId="14" fontId="0" fillId="0" borderId="3" xfId="0" applyNumberFormat="1" applyBorder="1"/>
    <xf numFmtId="0" fontId="0" fillId="0" borderId="3" xfId="0" applyBorder="1"/>
    <xf numFmtId="0" fontId="0" fillId="0" borderId="4" xfId="0" applyBorder="1"/>
    <xf numFmtId="14" fontId="0" fillId="0" borderId="1" xfId="0" applyNumberFormat="1" applyBorder="1"/>
    <xf numFmtId="0" fontId="0" fillId="0" borderId="1" xfId="0" applyBorder="1"/>
    <xf numFmtId="0" fontId="0" fillId="0" borderId="2" xfId="0" applyBorder="1"/>
    <xf numFmtId="164" fontId="0" fillId="0" borderId="0" xfId="0" applyNumberFormat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0" fillId="0" borderId="9" xfId="0" applyBorder="1"/>
    <xf numFmtId="0" fontId="0" fillId="0" borderId="10" xfId="0" applyBorder="1"/>
    <xf numFmtId="0" fontId="0" fillId="0" borderId="11" xfId="0" applyBorder="1"/>
    <xf numFmtId="0" fontId="0" fillId="0" borderId="12" xfId="0" applyBorder="1"/>
    <xf numFmtId="0" fontId="0" fillId="0" borderId="13" xfId="0" applyBorder="1"/>
    <xf numFmtId="0" fontId="8" fillId="5" borderId="0" xfId="2" applyBorder="1"/>
    <xf numFmtId="0" fontId="8" fillId="5" borderId="12" xfId="2" applyBorder="1"/>
    <xf numFmtId="0" fontId="7" fillId="9" borderId="0" xfId="1" applyBorder="1"/>
    <xf numFmtId="0" fontId="7" fillId="9" borderId="12" xfId="1" applyBorder="1"/>
    <xf numFmtId="0" fontId="1" fillId="6" borderId="14" xfId="0" applyFont="1" applyFill="1" applyBorder="1" applyAlignment="1">
      <alignment horizontal="left" vertical="center" textRotation="45" wrapText="1"/>
    </xf>
    <xf numFmtId="0" fontId="3" fillId="0" borderId="0" xfId="0" applyFont="1" applyAlignment="1">
      <alignment horizontal="center" vertical="center" textRotation="15"/>
    </xf>
    <xf numFmtId="0" fontId="1" fillId="6" borderId="17" xfId="0" applyFont="1" applyFill="1" applyBorder="1" applyAlignment="1">
      <alignment horizontal="left" vertical="center" textRotation="45" wrapText="1"/>
    </xf>
    <xf numFmtId="16" fontId="0" fillId="0" borderId="0" xfId="0" applyNumberFormat="1"/>
    <xf numFmtId="165" fontId="3" fillId="0" borderId="0" xfId="0" applyNumberFormat="1" applyFont="1"/>
    <xf numFmtId="0" fontId="5" fillId="7" borderId="0" xfId="5"/>
    <xf numFmtId="44" fontId="0" fillId="0" borderId="0" xfId="3" applyFont="1"/>
    <xf numFmtId="44" fontId="5" fillId="7" borderId="15" xfId="3" applyFont="1" applyFill="1" applyBorder="1"/>
    <xf numFmtId="44" fontId="0" fillId="0" borderId="0" xfId="0" applyNumberFormat="1"/>
    <xf numFmtId="0" fontId="6" fillId="0" borderId="0" xfId="0" applyFont="1"/>
    <xf numFmtId="9" fontId="0" fillId="0" borderId="0" xfId="4" applyFont="1"/>
    <xf numFmtId="44" fontId="0" fillId="8" borderId="0" xfId="3" applyFont="1" applyFill="1"/>
    <xf numFmtId="0" fontId="0" fillId="8" borderId="0" xfId="0" applyFill="1"/>
    <xf numFmtId="44" fontId="0" fillId="8" borderId="0" xfId="0" applyNumberFormat="1" applyFill="1"/>
    <xf numFmtId="44" fontId="6" fillId="0" borderId="16" xfId="0" applyNumberFormat="1" applyFont="1" applyBorder="1"/>
    <xf numFmtId="44" fontId="0" fillId="0" borderId="15" xfId="3" applyFont="1" applyBorder="1"/>
    <xf numFmtId="44" fontId="6" fillId="0" borderId="0" xfId="0" applyNumberFormat="1" applyFont="1"/>
    <xf numFmtId="44" fontId="8" fillId="5" borderId="5" xfId="2" applyNumberFormat="1"/>
    <xf numFmtId="0" fontId="8" fillId="5" borderId="5" xfId="2"/>
    <xf numFmtId="44" fontId="7" fillId="9" borderId="5" xfId="1" applyNumberFormat="1"/>
    <xf numFmtId="0" fontId="7" fillId="9" borderId="5" xfId="1"/>
    <xf numFmtId="0" fontId="2" fillId="3" borderId="0" xfId="0" applyFont="1" applyFill="1" applyAlignment="1">
      <alignment horizontal="center"/>
    </xf>
    <xf numFmtId="0" fontId="2" fillId="2" borderId="0" xfId="0" applyFont="1" applyFill="1" applyAlignment="1">
      <alignment horizontal="center"/>
    </xf>
    <xf numFmtId="0" fontId="2" fillId="4" borderId="0" xfId="0" applyFont="1" applyFill="1" applyAlignment="1">
      <alignment horizontal="center"/>
    </xf>
    <xf numFmtId="0" fontId="0" fillId="0" borderId="0" xfId="0" applyAlignment="1">
      <alignment horizontal="center"/>
    </xf>
    <xf numFmtId="0" fontId="3" fillId="0" borderId="0" xfId="0" applyFont="1" applyAlignment="1">
      <alignment horizontal="center" vertical="center" textRotation="15"/>
    </xf>
    <xf numFmtId="0" fontId="3" fillId="0" borderId="0" xfId="0" applyFont="1" applyAlignment="1">
      <alignment horizontal="center" vertical="center" textRotation="90"/>
    </xf>
  </cellXfs>
  <cellStyles count="6">
    <cellStyle name="Bad" xfId="5" builtinId="27"/>
    <cellStyle name="Calculation" xfId="2" builtinId="22" customBuiltin="1"/>
    <cellStyle name="Currency" xfId="3" builtinId="4"/>
    <cellStyle name="Input" xfId="1" builtinId="20" customBuiltin="1"/>
    <cellStyle name="Normal" xfId="0" builtinId="0"/>
    <cellStyle name="Percent" xfId="4" builtinId="5"/>
  </cellStyles>
  <dxfs count="331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numFmt numFmtId="3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m/d/yyyy"/>
    </dxf>
    <dxf>
      <numFmt numFmtId="19" formatCode="m/d/yyyy"/>
    </dxf>
    <dxf>
      <border outline="0">
        <top style="thin">
          <color rgb="FF9BC2E6"/>
        </top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4"/>
          <bgColor theme="4"/>
        </patternFill>
      </fill>
      <alignment horizontal="left" vertical="center" textRotation="45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numFmt numFmtId="0" formatCode="General"/>
      <fill>
        <patternFill patternType="none">
          <fgColor indexed="64"/>
          <bgColor auto="1"/>
        </patternFill>
      </fill>
    </dxf>
    <dxf>
      <numFmt numFmtId="0" formatCode="General"/>
    </dxf>
    <dxf>
      <numFmt numFmtId="0" formatCode="General"/>
      <fill>
        <patternFill patternType="none">
          <fgColor indexed="64"/>
          <bgColor auto="1"/>
        </patternFill>
      </fill>
    </dxf>
    <dxf>
      <numFmt numFmtId="19" formatCode="m/d/yyyy"/>
      <fill>
        <patternFill patternType="none">
          <fgColor indexed="64"/>
          <bgColor auto="1"/>
        </patternFill>
      </fill>
    </dxf>
    <dxf>
      <numFmt numFmtId="164" formatCode="&quot;$&quot;#,##0.00"/>
      <fill>
        <patternFill patternType="none">
          <fgColor indexed="64"/>
          <bgColor auto="1"/>
        </patternFill>
      </fill>
    </dxf>
    <dxf>
      <numFmt numFmtId="0" formatCode="General"/>
      <fill>
        <patternFill patternType="none">
          <fgColor indexed="64"/>
          <bgColor auto="1"/>
        </patternFill>
      </fill>
    </dxf>
    <dxf>
      <numFmt numFmtId="0" formatCode="General"/>
      <fill>
        <patternFill patternType="none">
          <fgColor indexed="64"/>
          <bgColor auto="1"/>
        </patternFill>
      </fill>
    </dxf>
    <dxf>
      <numFmt numFmtId="0" formatCode="General"/>
      <fill>
        <patternFill patternType="none">
          <fgColor indexed="64"/>
          <bgColor auto="1"/>
        </patternFill>
      </fill>
    </dxf>
    <dxf>
      <numFmt numFmtId="19" formatCode="m/d/yyyy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9" formatCode="m/d/yyyy"/>
      <fill>
        <patternFill patternType="none">
          <fgColor indexed="64"/>
          <bgColor auto="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border outline="0">
        <left style="thin">
          <color rgb="FF9BC2E6"/>
        </left>
      </border>
    </dxf>
    <dxf>
      <fill>
        <patternFill patternType="none">
          <fgColor rgb="FF000000"/>
          <bgColor auto="1"/>
        </patternFill>
      </fill>
    </dxf>
    <dxf>
      <fill>
        <patternFill patternType="none">
          <fgColor indexed="64"/>
          <bgColor auto="1"/>
        </patternFill>
      </fill>
    </dxf>
    <dxf>
      <numFmt numFmtId="0" formatCode="General"/>
    </dxf>
    <dxf>
      <numFmt numFmtId="0" formatCode="General"/>
    </dxf>
    <dxf>
      <numFmt numFmtId="0" formatCode="General"/>
    </dxf>
    <dxf>
      <numFmt numFmtId="19" formatCode="m/d/yyyy"/>
    </dxf>
    <dxf>
      <numFmt numFmtId="19" formatCode="m/d/yyyy"/>
    </dxf>
    <dxf>
      <border outline="0">
        <top style="thin">
          <color theme="4" tint="0.39997558519241921"/>
        </top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4"/>
          <bgColor theme="4"/>
        </patternFill>
      </fill>
      <alignment horizontal="left" vertical="center" textRotation="45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numFmt numFmtId="0" formatCode="General"/>
      <fill>
        <patternFill patternType="none">
          <fgColor indexed="64"/>
          <bgColor auto="1"/>
        </patternFill>
      </fill>
    </dxf>
    <dxf>
      <numFmt numFmtId="0" formatCode="General"/>
    </dxf>
    <dxf>
      <numFmt numFmtId="0" formatCode="General"/>
      <fill>
        <patternFill patternType="none">
          <fgColor indexed="64"/>
          <bgColor auto="1"/>
        </patternFill>
      </fill>
    </dxf>
    <dxf>
      <numFmt numFmtId="19" formatCode="m/d/yyyy"/>
      <fill>
        <patternFill patternType="none">
          <fgColor indexed="64"/>
          <bgColor auto="1"/>
        </patternFill>
      </fill>
    </dxf>
    <dxf>
      <numFmt numFmtId="164" formatCode="&quot;$&quot;#,##0.00"/>
      <fill>
        <patternFill patternType="none">
          <fgColor indexed="64"/>
          <bgColor auto="1"/>
        </patternFill>
      </fill>
    </dxf>
    <dxf>
      <numFmt numFmtId="0" formatCode="General"/>
      <fill>
        <patternFill patternType="none">
          <fgColor indexed="64"/>
          <bgColor auto="1"/>
        </patternFill>
      </fill>
    </dxf>
    <dxf>
      <numFmt numFmtId="0" formatCode="General"/>
      <fill>
        <patternFill patternType="none">
          <fgColor indexed="64"/>
          <bgColor auto="1"/>
        </patternFill>
      </fill>
    </dxf>
    <dxf>
      <numFmt numFmtId="0" formatCode="General"/>
      <fill>
        <patternFill patternType="none">
          <fgColor indexed="64"/>
          <bgColor auto="1"/>
        </patternFill>
      </fill>
    </dxf>
    <dxf>
      <numFmt numFmtId="19" formatCode="m/d/yyyy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9" formatCode="m/d/yyyy"/>
      <fill>
        <patternFill patternType="none">
          <fgColor indexed="64"/>
          <bgColor auto="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border outline="0">
        <left style="thin">
          <color theme="4" tint="0.39997558519241921"/>
        </left>
      </border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94B9071F-A8F0-40DF-8EE0-3537B44128CC}" name="LogTable2023" displayName="LogTable2023" ref="A2:V218" totalsRowShown="0" headerRowDxfId="330" dataDxfId="329" tableBorderDxfId="328">
  <autoFilter ref="A2:V218" xr:uid="{94B9071F-A8F0-40DF-8EE0-3537B44128CC}">
    <filterColumn colId="19">
      <filters>
        <filter val="CC Payments"/>
      </filters>
    </filterColumn>
  </autoFilter>
  <sortState xmlns:xlrd2="http://schemas.microsoft.com/office/spreadsheetml/2017/richdata2" ref="A3:V218">
    <sortCondition descending="1" ref="N2:N218"/>
  </sortState>
  <tableColumns count="22">
    <tableColumn id="1" xr3:uid="{1456FD51-FA27-42C3-8F19-BF4A71CB6C9A}" name="Date_i" dataDxfId="327"/>
    <tableColumn id="2" xr3:uid="{AF7F3C5C-34F6-469F-A108-D85EB6687E69}" name="Description_i" dataDxfId="326"/>
    <tableColumn id="3" xr3:uid="{757142C9-C4A8-45AC-9237-BF154F553D5D}" name="Original Description_i" dataDxfId="325"/>
    <tableColumn id="4" xr3:uid="{3D883421-A9FC-44E4-95D6-7856341E0049}" name="Category_i" dataDxfId="324"/>
    <tableColumn id="5" xr3:uid="{030FF39C-C88D-4147-A73A-D33B454A2C6B}" name="Amount_i" dataDxfId="323"/>
    <tableColumn id="6" xr3:uid="{630EE027-0147-4C23-90A5-EC90B8772B73}" name="Status_i" dataDxfId="322"/>
    <tableColumn id="7" xr3:uid="{AB1B2A5A-5A25-4B93-955F-6D14B9671478}" name="Account" dataDxfId="321"/>
    <tableColumn id="8" xr3:uid="{C3D84B83-F8B1-431A-9B82-36FB2730D31D}" name="Date_o" dataDxfId="320"/>
    <tableColumn id="9" xr3:uid="{E56094F8-5279-44FA-96A2-2CFF936C2128}" name="Description_o" dataDxfId="319"/>
    <tableColumn id="10" xr3:uid="{7CCE5AA7-A124-412D-9061-1FA3B6ED4B8D}" name="Original Description_o" dataDxfId="318"/>
    <tableColumn id="11" xr3:uid="{6082683B-227E-40FD-9369-4EC2B345447A}" name="Category_o" dataDxfId="317"/>
    <tableColumn id="12" xr3:uid="{B082494B-D328-4E0D-9A84-FFAEA41ECE59}" name="Amount_o" dataDxfId="316"/>
    <tableColumn id="13" xr3:uid="{790B845E-E229-4929-A236-D0F151700A8B}" name="Status_o" dataDxfId="315"/>
    <tableColumn id="14" xr3:uid="{A4ECAB93-DC57-4072-962F-127551297341}" name="Date" dataDxfId="314">
      <calculatedColumnFormula>IF( ISBLANK(LogTable2023[[#This Row],[Date_o]]), IF(ISBLANK(LogTable2023[[#This Row],[Date_i]]), "", LogTable2023[[#This Row],[Date_i]]), LogTable2023[[#This Row],[Date_o]])</calculatedColumnFormula>
    </tableColumn>
    <tableColumn id="15" xr3:uid="{23A910A1-96FF-4030-8B42-1854EDC8B45B}" name="Description" dataDxfId="313">
      <calculatedColumnFormula>IF( ISBLANK(LogTable2023[[#This Row],[Description_o]]), IF(ISBLANK(LogTable2023[[#This Row],[Description_i]]), "", LogTable2023[[#This Row],[Description_i]]), LogTable2023[[#This Row],[Description_o]])</calculatedColumnFormula>
    </tableColumn>
    <tableColumn id="16" xr3:uid="{B66352DA-2CD0-43A6-AE0A-3C3AA9B2DC9E}" name="Original Description" dataDxfId="312">
      <calculatedColumnFormula>IF( ISBLANK(LogTable2023[[#This Row],[Original Description_o]]), IF(ISBLANK(LogTable2023[[#This Row],[Original Description_i]]), "", LogTable2023[[#This Row],[Original Description_i]]), LogTable2023[[#This Row],[Original Description_o]])</calculatedColumnFormula>
    </tableColumn>
    <tableColumn id="17" xr3:uid="{FED0BCDD-5CC6-4B7E-8598-C53200016415}" name="Category" dataDxfId="311">
      <calculatedColumnFormula>IF( ISBLANK(LogTable2023[[#This Row],[Category_o]]), IF(ISBLANK(LogTable2023[[#This Row],[Category_i]]), "", LogTable2023[[#This Row],[Category_i]]), LogTable2023[[#This Row],[Category_o]])</calculatedColumnFormula>
    </tableColumn>
    <tableColumn id="18" xr3:uid="{A8BDDE4F-57D0-4B20-81C5-79CB51305E62}" name="Amount" dataDxfId="310">
      <calculatedColumnFormula>IF( ISBLANK(LogTable2023[[#This Row],[Amount_o]]), IF(ISBLANK(LogTable2023[[#This Row],[Amount_i]]), "", LogTable2023[[#This Row],[Amount_i]]), LogTable2023[[#This Row],[Amount_o]])</calculatedColumnFormula>
    </tableColumn>
    <tableColumn id="19" xr3:uid="{6BDC3B54-3C33-4394-8A69-3187ADE69871}" name="Status" dataDxfId="309">
      <calculatedColumnFormula>IF( ISBLANK(LogTable2023[[#This Row],[Status_o]]), IF(ISBLANK(LogTable2023[[#This Row],[Status_i]]), "", LogTable2023[[#This Row],[Status_i]]), LogTable2023[[#This Row],[Status_o]])</calculatedColumnFormula>
    </tableColumn>
    <tableColumn id="20" xr3:uid="{F4E58941-9325-47BD-85E5-26DE63D40AB5}" name="My Category" dataDxfId="308"/>
    <tableColumn id="22" xr3:uid="{F0EC4A1E-3071-40E7-9608-4F270F376858}" name="E" dataDxfId="307">
      <calculatedColumnFormula>IF( _xlfn.IFNA(MATCH(LogTable2023[[#This Row],[My Category]], Buckets!$D$4:$D$35, 0), FALSE), ".", "E")</calculatedColumnFormula>
    </tableColumn>
    <tableColumn id="21" xr3:uid="{51875323-E533-4D54-B7B2-2C1B77696A88}" name="Comment" dataDxfId="306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50D3C16B-42C7-4810-B70F-5FC7C51E1B1A}" name="AggregateTable2023" displayName="AggregateTable2023" ref="A2:AI7" totalsRowCount="1" headerRowDxfId="305" tableBorderDxfId="304">
  <autoFilter ref="A2:AI6" xr:uid="{50D3C16B-42C7-4810-B70F-5FC7C51E1B1A}"/>
  <tableColumns count="35">
    <tableColumn id="1" xr3:uid="{D2C7390E-8EAE-45A6-954D-0A89783E0E5C}" name="Start" dataDxfId="303">
      <calculatedColumnFormula>EDATE($C$1, ROW(AggregateTable2023[[#This Row],[Start]])-3)</calculatedColumnFormula>
    </tableColumn>
    <tableColumn id="36" xr3:uid="{BF166E5F-6C98-496A-878E-037B3DDF6569}" name="End" totalsRowLabel="Total" dataDxfId="302">
      <calculatedColumnFormula>EDATE($C$1, ROW(AggregateTable2023[[#This Row],[Start]])-2)-1</calculatedColumnFormula>
    </tableColumn>
    <tableColumn id="2" xr3:uid="{1E2D0247-E988-49A4-B1E7-087BCA0F35AD}" name="Car - Note" totalsRowFunction="custom" dataDxfId="301">
      <calculatedColumnFormula>SUMIFS(LogTable2023[Amount],
LogTable2023[My Category], C$2,
LogTable2023[Date], "&gt;="&amp;AggregateTable2023[[#This Row],[Start]], LogTable2023[Date], "&lt;="&amp;AggregateTable2023[[#This Row],[End]])</calculatedColumnFormula>
      <totalsRowFormula>SUM(AggregateTable2023[Car - Note])</totalsRowFormula>
    </tableColumn>
    <tableColumn id="3" xr3:uid="{19C330D2-374F-4CD1-97E6-7B3160661801}" name="Car/Rental Insurance" totalsRowFunction="custom" dataDxfId="300">
      <calculatedColumnFormula>SUMIFS(LogTable2023[Amount],
LogTable2023[My Category], D$2,
LogTable2023[Date], "&gt;="&amp;AggregateTable2023[[#This Row],[Start]], LogTable2023[Date], "&lt;="&amp;AggregateTable2023[[#This Row],[End]])</calculatedColumnFormula>
      <totalsRowFormula>SUM(AggregateTable2023[Car/Rental Insurance])</totalsRowFormula>
    </tableColumn>
    <tableColumn id="4" xr3:uid="{27BF4ADE-1EBF-4CC3-9CD3-B4530BCBB317}" name="Car - Other" totalsRowFunction="custom">
      <calculatedColumnFormula>SUMIFS(LogTable2023[Amount],
LogTable2023[My Category], E$2,
LogTable2023[Date], "&gt;="&amp;AggregateTable2023[[#This Row],[Start]], LogTable2023[Date], "&lt;="&amp;AggregateTable2023[[#This Row],[End]])</calculatedColumnFormula>
      <totalsRowFormula>SUM(AggregateTable2023[Car - Other])</totalsRowFormula>
    </tableColumn>
    <tableColumn id="5" xr3:uid="{9921E901-3BE2-4EFF-944E-8CAB575AC5AF}" name="Car - Parking Pass" totalsRowFunction="custom">
      <calculatedColumnFormula>SUMIFS(LogTable2023[Amount],
LogTable2023[My Category], F$2,
LogTable2023[Date], "&gt;="&amp;AggregateTable2023[[#This Row],[Start]], LogTable2023[Date], "&lt;="&amp;AggregateTable2023[[#This Row],[End]])</calculatedColumnFormula>
      <totalsRowFormula>SUM(AggregateTable2023[Car - Parking Pass])</totalsRowFormula>
    </tableColumn>
    <tableColumn id="6" xr3:uid="{09A3E7D6-0A1E-4A9C-8768-1998CACD8C19}" name="Self-improvement" totalsRowFunction="custom">
      <calculatedColumnFormula>SUMIFS(LogTable2023[Amount],
LogTable2023[My Category], G$2,
LogTable2023[Date], "&gt;="&amp;AggregateTable2023[[#This Row],[Start]], LogTable2023[Date], "&lt;="&amp;AggregateTable2023[[#This Row],[End]])</calculatedColumnFormula>
      <totalsRowFormula>SUM(AggregateTable2023[Self-improvement])</totalsRowFormula>
    </tableColumn>
    <tableColumn id="7" xr3:uid="{846668D6-FDA0-49D4-A56B-8B52B3B3BFF0}" name="Dates" totalsRowFunction="custom">
      <calculatedColumnFormula>SUMIFS(LogTable2023[Amount],
LogTable2023[My Category], H$2,
LogTable2023[Date], "&gt;="&amp;AggregateTable2023[[#This Row],[Start]], LogTable2023[Date], "&lt;="&amp;AggregateTable2023[[#This Row],[End]])</calculatedColumnFormula>
      <totalsRowFormula>SUM(AggregateTable2023[Dates])</totalsRowFormula>
    </tableColumn>
    <tableColumn id="8" xr3:uid="{4E5769DB-0C05-46ED-93BF-A0CEBDCF4907}" name="Entertainment - Other" totalsRowFunction="custom">
      <calculatedColumnFormula>SUMIFS(LogTable2023[Amount],
LogTable2023[My Category], I$2,
LogTable2023[Date], "&gt;="&amp;AggregateTable2023[[#This Row],[Start]], LogTable2023[Date], "&lt;="&amp;AggregateTable2023[[#This Row],[End]])</calculatedColumnFormula>
      <totalsRowFormula>SUM(AggregateTable2023[Entertainment - Other])</totalsRowFormula>
    </tableColumn>
    <tableColumn id="9" xr3:uid="{4A7ECF09-9D46-4957-94B0-193AADABD8A1}" name="Games" totalsRowFunction="custom">
      <calculatedColumnFormula>SUMIFS(LogTable2023[Amount],
LogTable2023[My Category], J$2,
LogTable2023[Date], "&gt;="&amp;AggregateTable2023[[#This Row],[Start]], LogTable2023[Date], "&lt;="&amp;AggregateTable2023[[#This Row],[End]])</calculatedColumnFormula>
      <totalsRowFormula>SUM(AggregateTable2023[Games])</totalsRowFormula>
    </tableColumn>
    <tableColumn id="10" xr3:uid="{A9FEE680-D641-4C7E-B570-94998349F39D}" name="Going out" totalsRowFunction="custom">
      <calculatedColumnFormula>SUMIFS(LogTable2023[Amount],
LogTable2023[My Category], K$2,
LogTable2023[Date], "&gt;="&amp;AggregateTable2023[[#This Row],[Start]], LogTable2023[Date], "&lt;="&amp;AggregateTable2023[[#This Row],[End]])</calculatedColumnFormula>
      <totalsRowFormula>SUM(AggregateTable2023[Going out])</totalsRowFormula>
    </tableColumn>
    <tableColumn id="11" xr3:uid="{A3A4E2B6-9612-4B17-8F17-0FF63698B65D}" name="Books" totalsRowFunction="custom">
      <calculatedColumnFormula>SUMIFS(LogTable2023[Amount],
LogTable2023[My Category], L$2,
LogTable2023[Date], "&gt;="&amp;AggregateTable2023[[#This Row],[Start]], LogTable2023[Date], "&lt;="&amp;AggregateTable2023[[#This Row],[End]])</calculatedColumnFormula>
      <totalsRowFormula>SUM(AggregateTable2023[Books])</totalsRowFormula>
    </tableColumn>
    <tableColumn id="12" xr3:uid="{B93ED49C-BCD3-44D2-97F2-0E1C860791A9}" name="Big Fun" totalsRowFunction="custom">
      <calculatedColumnFormula>SUMIFS(LogTable2023[Amount],
LogTable2023[My Category], M$2,
LogTable2023[Date], "&gt;="&amp;AggregateTable2023[[#This Row],[Start]], LogTable2023[Date], "&lt;="&amp;AggregateTable2023[[#This Row],[End]])</calculatedColumnFormula>
      <totalsRowFormula>SUM(AggregateTable2023[Big Fun])</totalsRowFormula>
    </tableColumn>
    <tableColumn id="13" xr3:uid="{9FD2AE89-23F1-4041-9580-665BC75AD649}" name="Groceries" totalsRowFunction="custom">
      <calculatedColumnFormula>SUMIFS(LogTable2023[Amount],
LogTable2023[My Category], N$2,
LogTable2023[Date], "&gt;="&amp;AggregateTable2023[[#This Row],[Start]], LogTable2023[Date], "&lt;="&amp;AggregateTable2023[[#This Row],[End]])</calculatedColumnFormula>
      <totalsRowFormula>SUM(AggregateTable2023[Groceries])</totalsRowFormula>
    </tableColumn>
    <tableColumn id="14" xr3:uid="{2EC6C24B-C719-4B55-84DB-AED9E6BE6406}" name="Food - nice" totalsRowFunction="custom">
      <calculatedColumnFormula>SUMIFS(LogTable2023[Amount],
LogTable2023[My Category], O$2,
LogTable2023[Date], "&gt;="&amp;AggregateTable2023[[#This Row],[Start]], LogTable2023[Date], "&lt;="&amp;AggregateTable2023[[#This Row],[End]])</calculatedColumnFormula>
      <totalsRowFormula>SUM(AggregateTable2023[Food - nice])</totalsRowFormula>
    </tableColumn>
    <tableColumn id="15" xr3:uid="{6FA6EB7B-8FCE-4C51-9CE0-B445FA235C9C}" name="Rent" totalsRowFunction="custom">
      <calculatedColumnFormula>SUMIFS(LogTable2023[Amount],
LogTable2023[My Category], P$2,
LogTable2023[Date], "&gt;="&amp;AggregateTable2023[[#This Row],[Start]], LogTable2023[Date], "&lt;="&amp;AggregateTable2023[[#This Row],[End]])</calculatedColumnFormula>
      <totalsRowFormula>SUM(AggregateTable2023[Rent])</totalsRowFormula>
    </tableColumn>
    <tableColumn id="16" xr3:uid="{AEA5C17C-AE74-4E9E-9E9C-990D0FA7B720}" name="Utilities" totalsRowFunction="custom">
      <calculatedColumnFormula>SUMIFS(LogTable2023[Amount],
LogTable2023[My Category], Q$2,
LogTable2023[Date], "&gt;="&amp;AggregateTable2023[[#This Row],[Start]], LogTable2023[Date], "&lt;="&amp;AggregateTable2023[[#This Row],[End]])</calculatedColumnFormula>
      <totalsRowFormula>SUM(AggregateTable2023[Utilities])</totalsRowFormula>
    </tableColumn>
    <tableColumn id="17" xr3:uid="{49600E63-5AC2-4288-A984-E1B76C52C946}" name="Internet" totalsRowFunction="custom">
      <calculatedColumnFormula>SUMIFS(LogTable2023[Amount],
LogTable2023[My Category], R$2,
LogTable2023[Date], "&gt;="&amp;AggregateTable2023[[#This Row],[Start]], LogTable2023[Date], "&lt;="&amp;AggregateTable2023[[#This Row],[End]])</calculatedColumnFormula>
      <totalsRowFormula>SUM(AggregateTable2023[Internet])</totalsRowFormula>
    </tableColumn>
    <tableColumn id="18" xr3:uid="{D2481518-B0C5-4FB3-8A9C-34DAE0A90FB0}" name="Housing - Other" totalsRowFunction="custom">
      <calculatedColumnFormula>SUMIFS(LogTable2023[Amount],
LogTable2023[My Category], S$2,
LogTable2023[Date], "&gt;="&amp;AggregateTable2023[[#This Row],[Start]], LogTable2023[Date], "&lt;="&amp;AggregateTable2023[[#This Row],[End]])</calculatedColumnFormula>
      <totalsRowFormula>SUM(AggregateTable2023[Housing - Other])</totalsRowFormula>
    </tableColumn>
    <tableColumn id="19" xr3:uid="{D9145055-4D98-43C6-8832-2D130F9A6D5E}" name="Decoration" totalsRowFunction="custom">
      <calculatedColumnFormula>SUMIFS(LogTable2023[Amount],
LogTable2023[My Category], T$2,
LogTable2023[Date], "&gt;="&amp;AggregateTable2023[[#This Row],[Start]], LogTable2023[Date], "&lt;="&amp;AggregateTable2023[[#This Row],[End]])</calculatedColumnFormula>
      <totalsRowFormula>SUM(AggregateTable2023[Decoration])</totalsRowFormula>
    </tableColumn>
    <tableColumn id="20" xr3:uid="{40FFFC28-8549-429D-A201-43AD23B71B49}" name="401k" totalsRowFunction="custom">
      <calculatedColumnFormula>SUMIFS(LogTable2023[Amount],
LogTable2023[My Category], U$2,
LogTable2023[Date], "&gt;="&amp;AggregateTable2023[[#This Row],[Start]], LogTable2023[Date], "&lt;="&amp;AggregateTable2023[[#This Row],[End]])</calculatedColumnFormula>
      <totalsRowFormula>SUM(AggregateTable2023[401k])</totalsRowFormula>
    </tableColumn>
    <tableColumn id="21" xr3:uid="{E97D19A6-734E-40F6-A5E1-07781342F424}" name="Retirement" totalsRowFunction="custom">
      <calculatedColumnFormula>SUMIFS(LogTable2023[Amount],
LogTable2023[My Category], V$2,
LogTable2023[Date], "&gt;="&amp;AggregateTable2023[[#This Row],[Start]], LogTable2023[Date], "&lt;="&amp;AggregateTable2023[[#This Row],[End]])</calculatedColumnFormula>
      <totalsRowFormula>SUM(AggregateTable2023[Retirement])</totalsRowFormula>
    </tableColumn>
    <tableColumn id="22" xr3:uid="{4E0C1F45-B976-4091-8233-29CDF55676C3}" name="Long-term" totalsRowFunction="custom">
      <calculatedColumnFormula>SUMIFS(LogTable2023[Amount],
LogTable2023[My Category], W$2,
LogTable2023[Date], "&gt;="&amp;AggregateTable2023[[#This Row],[Start]], LogTable2023[Date], "&lt;="&amp;AggregateTable2023[[#This Row],[End]])</calculatedColumnFormula>
      <totalsRowFormula>SUM(AggregateTable2023[Long-term])</totalsRowFormula>
    </tableColumn>
    <tableColumn id="23" xr3:uid="{986F7251-B986-41EF-8D95-C29D88C93ECA}" name="Unexpected Fund" totalsRowFunction="custom">
      <calculatedColumnFormula>SUMIFS(LogTable2023[Amount],
LogTable2023[My Category], X$2,
LogTable2023[Date], "&gt;="&amp;AggregateTable2023[[#This Row],[Start]], LogTable2023[Date], "&lt;="&amp;AggregateTable2023[[#This Row],[End]])</calculatedColumnFormula>
      <totalsRowFormula>SUM(AggregateTable2023[Unexpected Fund])</totalsRowFormula>
    </tableColumn>
    <tableColumn id="24" xr3:uid="{CF251263-0BCC-4F37-A5BF-2AA9CD103710}" name="Medical - Other" totalsRowFunction="custom">
      <calculatedColumnFormula>SUMIFS(LogTable2023[Amount],
LogTable2023[My Category], Y$2,
LogTable2023[Date], "&gt;="&amp;AggregateTable2023[[#This Row],[Start]], LogTable2023[Date], "&lt;="&amp;AggregateTable2023[[#This Row],[End]])</calculatedColumnFormula>
      <totalsRowFormula>SUM(AggregateTable2023[Medical - Other])</totalsRowFormula>
    </tableColumn>
    <tableColumn id="25" xr3:uid="{9A87DF73-AA00-49D2-AAB5-F19D218FC037}" name="Medical Insurance" totalsRowFunction="custom">
      <calculatedColumnFormula>SUMIFS(LogTable2023[Amount],
LogTable2023[My Category], Z$2,
LogTable2023[Date], "&gt;="&amp;AggregateTable2023[[#This Row],[Start]], LogTable2023[Date], "&lt;="&amp;AggregateTable2023[[#This Row],[End]])</calculatedColumnFormula>
      <totalsRowFormula>SUM(AggregateTable2023[Medical Insurance])</totalsRowFormula>
    </tableColumn>
    <tableColumn id="26" xr3:uid="{29EBB118-26CE-4D4E-A4F9-CC9407B3D279}" name="ATM" totalsRowFunction="custom">
      <calculatedColumnFormula>SUMIFS(LogTable2023[Amount],
LogTable2023[My Category], AA$2,
LogTable2023[Date], "&gt;="&amp;AggregateTable2023[[#This Row],[Start]], LogTable2023[Date], "&lt;="&amp;AggregateTable2023[[#This Row],[End]])</calculatedColumnFormula>
      <totalsRowFormula>SUM(AggregateTable2023[ATM])</totalsRowFormula>
    </tableColumn>
    <tableColumn id="27" xr3:uid="{451CF55D-2AF3-432D-AD6D-5D631F78B754}" name="Other - Other" totalsRowFunction="custom">
      <calculatedColumnFormula>SUMIFS(LogTable2023[Amount],
LogTable2023[My Category], AB$2,
LogTable2023[Date], "&gt;="&amp;AggregateTable2023[[#This Row],[Start]], LogTable2023[Date], "&lt;="&amp;AggregateTable2023[[#This Row],[End]])</calculatedColumnFormula>
      <totalsRowFormula>SUM(AggregateTable2023[Other - Other])</totalsRowFormula>
    </tableColumn>
    <tableColumn id="28" xr3:uid="{12B7A6BD-0E3C-4374-B544-7C9C20DA84C8}" name="Clothes/Personal care" totalsRowFunction="custom">
      <calculatedColumnFormula>SUMIFS(LogTable2023[Amount],
LogTable2023[My Category], AC$2,
LogTable2023[Date], "&gt;="&amp;AggregateTable2023[[#This Row],[Start]], LogTable2023[Date], "&lt;="&amp;AggregateTable2023[[#This Row],[End]])</calculatedColumnFormula>
      <totalsRowFormula>SUM(AggregateTable2023[Clothes/Personal care])</totalsRowFormula>
    </tableColumn>
    <tableColumn id="29" xr3:uid="{D48E34B7-E00A-487A-8E48-34B4992C6F18}" name="Parental Funds" totalsRowFunction="custom">
      <calculatedColumnFormula>SUMIFS(LogTable2023[Amount],
LogTable2023[My Category], AD$2,
LogTable2023[Date], "&gt;="&amp;AggregateTable2023[[#This Row],[Start]], LogTable2023[Date], "&lt;="&amp;AggregateTable2023[[#This Row],[End]])</calculatedColumnFormula>
      <totalsRowFormula>SUM(AggregateTable2023[Parental Funds])</totalsRowFormula>
    </tableColumn>
    <tableColumn id="30" xr3:uid="{D2442562-8159-41AE-A55B-0D8B1AD6E61F}" name="Salary" totalsRowFunction="custom">
      <calculatedColumnFormula>SUMIFS(LogTable2023[Amount],
LogTable2023[My Category], AE$2,
LogTable2023[Date], "&gt;="&amp;AggregateTable2023[[#This Row],[Start]], LogTable2023[Date], "&lt;="&amp;AggregateTable2023[[#This Row],[End]])</calculatedColumnFormula>
      <totalsRowFormula>SUM(AggregateTable2023[Salary])</totalsRowFormula>
    </tableColumn>
    <tableColumn id="31" xr3:uid="{7C387090-005A-4862-A0DD-5AAFC7C425AB}" name="Income - Other" totalsRowFunction="custom">
      <calculatedColumnFormula>SUMIFS(LogTable2023[Amount],
LogTable2023[My Category], AF$2,
LogTable2023[Date], "&gt;="&amp;AggregateTable2023[[#This Row],[Start]], LogTable2023[Date], "&lt;="&amp;AggregateTable2023[[#This Row],[End]])</calculatedColumnFormula>
      <totalsRowFormula>SUM(AggregateTable2023[Income - Other])</totalsRowFormula>
    </tableColumn>
    <tableColumn id="32" xr3:uid="{9907069D-D55E-4970-9E13-BB652AFC1A92}" name="CC Payments" totalsRowFunction="custom">
      <calculatedColumnFormula>SUMIFS(LogTable2023[Amount],
LogTable2023[My Category], AG$2,
LogTable2023[Date], "&gt;="&amp;AggregateTable2023[[#This Row],[Start]], LogTable2023[Date], "&lt;="&amp;AggregateTable2023[[#This Row],[End]])</calculatedColumnFormula>
      <totalsRowFormula>SUM(AggregateTable2023[CC Payments])</totalsRowFormula>
    </tableColumn>
    <tableColumn id="33" xr3:uid="{C1BDB3B1-CC79-4DC2-A975-A38B5E454E3C}" name="Internal Transfers" totalsRowFunction="custom">
      <calculatedColumnFormula>SUMIFS(LogTable2023[Amount],
LogTable2023[My Category], AH$2,
LogTable2023[Date], "&gt;="&amp;AggregateTable2023[[#This Row],[Start]], LogTable2023[Date], "&lt;="&amp;AggregateTable2023[[#This Row],[End]])</calculatedColumnFormula>
      <totalsRowFormula>SUM(AggregateTable2023[Internal Transfers])</totalsRowFormula>
    </tableColumn>
    <tableColumn id="34" xr3:uid="{8360E2D1-81C9-431A-A3EA-3F1FC1AAA404}" name="Total" totalsRowFunction="custom" dataDxfId="299">
      <calculatedColumnFormula>SUM(AggregateTable2023[[#This Row],[Car - Note]:[Internal Transfers]])</calculatedColumnFormula>
      <totalsRowFormula>SUM(AggregateTable2023[Total])</totalsRowFormula>
    </tableColumn>
  </tableColumns>
  <tableStyleInfo name="TableStyleMedium2" showFirstColumn="0" showLastColumn="1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2647FBC0-598D-4EC9-9A1B-1157CF5A6600}" name="LogTable2024" displayName="LogTable2024" ref="A2:V133" totalsRowShown="0" headerRowDxfId="298" dataDxfId="297" tableBorderDxfId="296">
  <autoFilter ref="A2:V133" xr:uid="{94B9071F-A8F0-40DF-8EE0-3537B44128CC}">
    <filterColumn colId="19">
      <filters>
        <filter val="CC Payments"/>
      </filters>
    </filterColumn>
  </autoFilter>
  <tableColumns count="22">
    <tableColumn id="1" xr3:uid="{B4999015-E23B-4EB5-9277-AAA80970087B}" name="Date_i" dataDxfId="295"/>
    <tableColumn id="2" xr3:uid="{C4E161B1-7EC0-4B5A-B627-5F4CD0D3F69D}" name="Description_i" dataDxfId="294"/>
    <tableColumn id="3" xr3:uid="{D87CBB1E-40B0-46A1-BF9F-B71D1D36953B}" name="Original Description_i" dataDxfId="293"/>
    <tableColumn id="4" xr3:uid="{1F8EA09F-F922-4D75-9BF8-2A688E248E83}" name="Category_i" dataDxfId="292"/>
    <tableColumn id="5" xr3:uid="{342607B4-67DB-4AE4-AE82-D221FECBDA04}" name="Amount_i" dataDxfId="291"/>
    <tableColumn id="6" xr3:uid="{A891E1EE-8666-4BE3-AD19-1E7E8EC6C461}" name="Status_i" dataDxfId="290"/>
    <tableColumn id="7" xr3:uid="{AD4643DC-63C3-442D-842F-43415922D12E}" name="Account" dataDxfId="289"/>
    <tableColumn id="8" xr3:uid="{6C533F92-784F-45FC-966D-50BC2E4A1210}" name="Date_o" dataDxfId="288"/>
    <tableColumn id="9" xr3:uid="{45467360-0D62-456C-B2BA-9B991A3A5382}" name="Description_o" dataDxfId="287"/>
    <tableColumn id="10" xr3:uid="{19A84DFE-5CD3-4E2C-9C5C-B25420C85630}" name="Original Description_o" dataDxfId="286"/>
    <tableColumn id="11" xr3:uid="{76B3F91C-FD9B-4D78-AD4A-7F77D26B6DCB}" name="Category_o" dataDxfId="285"/>
    <tableColumn id="12" xr3:uid="{247075B3-D888-4516-9151-DE8A293E72DC}" name="Amount_o" dataDxfId="284"/>
    <tableColumn id="13" xr3:uid="{6A8BAE22-8BD2-45C8-BFAF-C180689CC976}" name="Status_o" dataDxfId="283"/>
    <tableColumn id="14" xr3:uid="{5D74B7B5-4875-4547-94AA-4E70285D77FF}" name="Date" dataDxfId="282">
      <calculatedColumnFormula>IF( ISBLANK(LogTable2024[[#This Row],[Date_o]]), IF(ISBLANK(LogTable2024[[#This Row],[Date_i]]), "", LogTable2024[[#This Row],[Date_i]]), LogTable2024[[#This Row],[Date_o]])</calculatedColumnFormula>
    </tableColumn>
    <tableColumn id="15" xr3:uid="{E031ED8B-A010-4B28-9C7D-830F6A107FE4}" name="Description" dataDxfId="281">
      <calculatedColumnFormula>IF( ISBLANK(LogTable2024[[#This Row],[Description_o]]), IF(ISBLANK(LogTable2024[[#This Row],[Description_i]]), "", LogTable2024[[#This Row],[Description_i]]), LogTable2024[[#This Row],[Description_o]])</calculatedColumnFormula>
    </tableColumn>
    <tableColumn id="16" xr3:uid="{7FF994DB-AD6A-44FA-91FD-61113646187C}" name="Original Description" dataDxfId="280">
      <calculatedColumnFormula>IF( ISBLANK(LogTable2024[[#This Row],[Original Description_o]]), IF(ISBLANK(LogTable2024[[#This Row],[Original Description_i]]), "", LogTable2024[[#This Row],[Original Description_i]]), LogTable2024[[#This Row],[Original Description_o]])</calculatedColumnFormula>
    </tableColumn>
    <tableColumn id="17" xr3:uid="{62162FE3-B384-488D-8E58-79F6AC3B9B02}" name="Category" dataDxfId="279">
      <calculatedColumnFormula>IF( ISBLANK(LogTable2024[[#This Row],[Category_o]]), IF(ISBLANK(LogTable2024[[#This Row],[Category_i]]), "", LogTable2024[[#This Row],[Category_i]]), LogTable2024[[#This Row],[Category_o]])</calculatedColumnFormula>
    </tableColumn>
    <tableColumn id="18" xr3:uid="{C0E9018B-679D-4CAA-9988-98A2F05968C7}" name="Amount" dataDxfId="278">
      <calculatedColumnFormula>IF( ISBLANK(LogTable2024[[#This Row],[Amount_o]]), IF(ISBLANK(LogTable2024[[#This Row],[Amount_i]]), "", LogTable2024[[#This Row],[Amount_i]]), LogTable2024[[#This Row],[Amount_o]])</calculatedColumnFormula>
    </tableColumn>
    <tableColumn id="19" xr3:uid="{730C1377-8B8D-469C-B2B0-A05219128162}" name="Status" dataDxfId="277">
      <calculatedColumnFormula>IF( ISBLANK(LogTable2024[[#This Row],[Status_o]]), IF(ISBLANK(LogTable2024[[#This Row],[Status_i]]), "", LogTable2024[[#This Row],[Status_i]]), LogTable2024[[#This Row],[Status_o]])</calculatedColumnFormula>
    </tableColumn>
    <tableColumn id="20" xr3:uid="{8AABEA3D-3FF1-4D06-9268-C33AD8D7D741}" name="My Category" dataDxfId="276"/>
    <tableColumn id="22" xr3:uid="{85B37286-156B-408D-9B9C-80972C23A441}" name="E" dataDxfId="275">
      <calculatedColumnFormula>IF( _xlfn.IFNA(MATCH(LogTable2024[[#This Row],[My Category]], Buckets!$D$4:$D$35, 0), FALSE), ".", "E")</calculatedColumnFormula>
    </tableColumn>
    <tableColumn id="21" xr3:uid="{54BC0A86-7BC9-4037-80C4-B8DE01DFF74B}" name="Comment" dataDxfId="274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2F3CB914-996C-4A02-BB36-E5370CDA5530}" name="AggregateTable2024" displayName="AggregateTable2024" ref="A2:AI7" totalsRowCount="1" headerRowDxfId="273" tableBorderDxfId="272">
  <autoFilter ref="A2:AI6" xr:uid="{50D3C16B-42C7-4810-B70F-5FC7C51E1B1A}"/>
  <tableColumns count="35">
    <tableColumn id="1" xr3:uid="{87891042-87C7-43CD-A777-91AFD41DE3F9}" name="Start" dataDxfId="271">
      <calculatedColumnFormula>EDATE($C$1, ROW(AggregateTable2024[[#This Row],[Start]])-3)</calculatedColumnFormula>
    </tableColumn>
    <tableColumn id="36" xr3:uid="{9DFCAA47-E867-479A-AF5E-7C220CB06EC6}" name="End" totalsRowLabel="Total" dataDxfId="270">
      <calculatedColumnFormula>EDATE($C$1, ROW(AggregateTable2024[[#This Row],[Start]])-2)-1</calculatedColumnFormula>
    </tableColumn>
    <tableColumn id="2" xr3:uid="{D1B0515E-B383-4AD7-9C82-02FD11C064D0}" name="Car - Note" totalsRowFunction="custom" dataDxfId="269">
      <calculatedColumnFormula>SUMIFS(LogTable2024[Amount],
LogTable2024[My Category], C$2,
LogTable2024[Date], "&gt;="&amp;AggregateTable2024[[#This Row],[Start]], LogTable2024[Date], "&lt;="&amp;AggregateTable2024[[#This Row],[End]])</calculatedColumnFormula>
      <totalsRowFormula>SUM(AggregateTable2024[Car - Note])</totalsRowFormula>
    </tableColumn>
    <tableColumn id="3" xr3:uid="{A65102AC-B0EA-48CC-AE16-A9EEFC7EDE01}" name="Car/Rental Insurance" totalsRowFunction="custom" dataDxfId="268">
      <calculatedColumnFormula>SUMIFS(LogTable2024[Amount],
LogTable2024[My Category], D$2,
LogTable2024[Date], "&gt;="&amp;AggregateTable2024[[#This Row],[Start]], LogTable2024[Date], "&lt;="&amp;AggregateTable2024[[#This Row],[End]])</calculatedColumnFormula>
      <totalsRowFormula>SUM(AggregateTable2024[Car/Rental Insurance])</totalsRowFormula>
    </tableColumn>
    <tableColumn id="4" xr3:uid="{79CF55F2-7BF6-455E-94C5-0EB1C9FB48A0}" name="Car - Other" totalsRowFunction="custom" dataDxfId="267">
      <calculatedColumnFormula>SUMIFS(LogTable2024[Amount],
LogTable2024[My Category], E$2,
LogTable2024[Date], "&gt;="&amp;AggregateTable2024[[#This Row],[Start]], LogTable2024[Date], "&lt;="&amp;AggregateTable2024[[#This Row],[End]])</calculatedColumnFormula>
      <totalsRowFormula>SUM(AggregateTable2024[Car - Other])</totalsRowFormula>
    </tableColumn>
    <tableColumn id="5" xr3:uid="{B99D5155-E42F-45C6-9D11-D282572DC031}" name="Car - Parking Pass" totalsRowFunction="custom" dataDxfId="266">
      <calculatedColumnFormula>SUMIFS(LogTable2024[Amount],
LogTable2024[My Category], F$2,
LogTable2024[Date], "&gt;="&amp;AggregateTable2024[[#This Row],[Start]], LogTable2024[Date], "&lt;="&amp;AggregateTable2024[[#This Row],[End]])</calculatedColumnFormula>
      <totalsRowFormula>SUM(AggregateTable2024[Car - Parking Pass])</totalsRowFormula>
    </tableColumn>
    <tableColumn id="6" xr3:uid="{994A6CFA-FAF0-40CA-83CC-0299348B9FF9}" name="Self-improvement" totalsRowFunction="custom" dataDxfId="265">
      <calculatedColumnFormula>SUMIFS(LogTable2024[Amount],
LogTable2024[My Category], G$2,
LogTable2024[Date], "&gt;="&amp;AggregateTable2024[[#This Row],[Start]], LogTable2024[Date], "&lt;="&amp;AggregateTable2024[[#This Row],[End]])</calculatedColumnFormula>
      <totalsRowFormula>SUM(AggregateTable2024[Self-improvement])</totalsRowFormula>
    </tableColumn>
    <tableColumn id="7" xr3:uid="{31145A33-4E63-4831-8B1A-457159B0B91D}" name="Dates" totalsRowFunction="custom" dataDxfId="264">
      <calculatedColumnFormula>SUMIFS(LogTable2024[Amount],
LogTable2024[My Category], H$2,
LogTable2024[Date], "&gt;="&amp;AggregateTable2024[[#This Row],[Start]], LogTable2024[Date], "&lt;="&amp;AggregateTable2024[[#This Row],[End]])</calculatedColumnFormula>
      <totalsRowFormula>SUM(AggregateTable2024[Dates])</totalsRowFormula>
    </tableColumn>
    <tableColumn id="8" xr3:uid="{9EC64E87-CF0B-4278-AAF0-0E650400C290}" name="Entertainment - Other" totalsRowFunction="custom" dataDxfId="263">
      <calculatedColumnFormula>SUMIFS(LogTable2024[Amount],
LogTable2024[My Category], I$2,
LogTable2024[Date], "&gt;="&amp;AggregateTable2024[[#This Row],[Start]], LogTable2024[Date], "&lt;="&amp;AggregateTable2024[[#This Row],[End]])</calculatedColumnFormula>
      <totalsRowFormula>SUM(AggregateTable2024[Entertainment - Other])</totalsRowFormula>
    </tableColumn>
    <tableColumn id="9" xr3:uid="{4EE22CD8-54D9-47ED-A547-E425D84B88BB}" name="Games" totalsRowFunction="custom" dataDxfId="262">
      <calculatedColumnFormula>SUMIFS(LogTable2024[Amount],
LogTable2024[My Category], J$2,
LogTable2024[Date], "&gt;="&amp;AggregateTable2024[[#This Row],[Start]], LogTable2024[Date], "&lt;="&amp;AggregateTable2024[[#This Row],[End]])</calculatedColumnFormula>
      <totalsRowFormula>SUM(AggregateTable2024[Games])</totalsRowFormula>
    </tableColumn>
    <tableColumn id="10" xr3:uid="{2FDFB3E2-11FA-4636-A185-88A029BD0AE0}" name="Going out" totalsRowFunction="custom" dataDxfId="261">
      <calculatedColumnFormula>SUMIFS(LogTable2024[Amount],
LogTable2024[My Category], K$2,
LogTable2024[Date], "&gt;="&amp;AggregateTable2024[[#This Row],[Start]], LogTable2024[Date], "&lt;="&amp;AggregateTable2024[[#This Row],[End]])</calculatedColumnFormula>
      <totalsRowFormula>SUM(AggregateTable2024[Going out])</totalsRowFormula>
    </tableColumn>
    <tableColumn id="11" xr3:uid="{E9B60ABA-2390-4712-A760-2FA20D156460}" name="Books" totalsRowFunction="custom" dataDxfId="260">
      <calculatedColumnFormula>SUMIFS(LogTable2024[Amount],
LogTable2024[My Category], L$2,
LogTable2024[Date], "&gt;="&amp;AggregateTable2024[[#This Row],[Start]], LogTable2024[Date], "&lt;="&amp;AggregateTable2024[[#This Row],[End]])</calculatedColumnFormula>
      <totalsRowFormula>SUM(AggregateTable2024[Books])</totalsRowFormula>
    </tableColumn>
    <tableColumn id="12" xr3:uid="{E94F5D71-DB04-45FB-A8EC-420E0D8E7089}" name="Big Fun" totalsRowFunction="custom" dataDxfId="259">
      <calculatedColumnFormula>SUMIFS(LogTable2024[Amount],
LogTable2024[My Category], M$2,
LogTable2024[Date], "&gt;="&amp;AggregateTable2024[[#This Row],[Start]], LogTable2024[Date], "&lt;="&amp;AggregateTable2024[[#This Row],[End]])</calculatedColumnFormula>
      <totalsRowFormula>SUM(AggregateTable2024[Big Fun])</totalsRowFormula>
    </tableColumn>
    <tableColumn id="13" xr3:uid="{8CB9791B-3BC0-45EF-B8CA-337B15D5F9F4}" name="Groceries" totalsRowFunction="custom" dataDxfId="258">
      <calculatedColumnFormula>SUMIFS(LogTable2024[Amount],
LogTable2024[My Category], N$2,
LogTable2024[Date], "&gt;="&amp;AggregateTable2024[[#This Row],[Start]], LogTable2024[Date], "&lt;="&amp;AggregateTable2024[[#This Row],[End]])</calculatedColumnFormula>
      <totalsRowFormula>SUM(AggregateTable2024[Groceries])</totalsRowFormula>
    </tableColumn>
    <tableColumn id="14" xr3:uid="{86CC66C6-CA3F-4BD1-9520-84ADF10C35C5}" name="Food - nice" totalsRowFunction="custom" dataDxfId="257">
      <calculatedColumnFormula>SUMIFS(LogTable2024[Amount],
LogTable2024[My Category], O$2,
LogTable2024[Date], "&gt;="&amp;AggregateTable2024[[#This Row],[Start]], LogTable2024[Date], "&lt;="&amp;AggregateTable2024[[#This Row],[End]])</calculatedColumnFormula>
      <totalsRowFormula>SUM(AggregateTable2024[Food - nice])</totalsRowFormula>
    </tableColumn>
    <tableColumn id="15" xr3:uid="{00DE0E20-9CD7-4D42-9732-F377377DAC9A}" name="Rent" totalsRowFunction="custom" dataDxfId="256">
      <calculatedColumnFormula>SUMIFS(LogTable2024[Amount],
LogTable2024[My Category], P$2,
LogTable2024[Date], "&gt;="&amp;AggregateTable2024[[#This Row],[Start]], LogTable2024[Date], "&lt;="&amp;AggregateTable2024[[#This Row],[End]])</calculatedColumnFormula>
      <totalsRowFormula>SUM(AggregateTable2024[Rent])</totalsRowFormula>
    </tableColumn>
    <tableColumn id="16" xr3:uid="{9C6C77AD-BAF6-4F4D-9266-5585199AE239}" name="Utilities" totalsRowFunction="custom" dataDxfId="255">
      <calculatedColumnFormula>SUMIFS(LogTable2024[Amount],
LogTable2024[My Category], Q$2,
LogTable2024[Date], "&gt;="&amp;AggregateTable2024[[#This Row],[Start]], LogTable2024[Date], "&lt;="&amp;AggregateTable2024[[#This Row],[End]])</calculatedColumnFormula>
      <totalsRowFormula>SUM(AggregateTable2024[Utilities])</totalsRowFormula>
    </tableColumn>
    <tableColumn id="17" xr3:uid="{07CA3D4C-57E1-488B-9769-EC26818A1CAC}" name="Internet" totalsRowFunction="custom" dataDxfId="254">
      <calculatedColumnFormula>SUMIFS(LogTable2024[Amount],
LogTable2024[My Category], R$2,
LogTable2024[Date], "&gt;="&amp;AggregateTable2024[[#This Row],[Start]], LogTable2024[Date], "&lt;="&amp;AggregateTable2024[[#This Row],[End]])</calculatedColumnFormula>
      <totalsRowFormula>SUM(AggregateTable2024[Internet])</totalsRowFormula>
    </tableColumn>
    <tableColumn id="18" xr3:uid="{87DD4BE0-D407-43C2-B7E4-E89E41CBCE2F}" name="Housing - Other" totalsRowFunction="custom" dataDxfId="253">
      <calculatedColumnFormula>SUMIFS(LogTable2024[Amount],
LogTable2024[My Category], S$2,
LogTable2024[Date], "&gt;="&amp;AggregateTable2024[[#This Row],[Start]], LogTable2024[Date], "&lt;="&amp;AggregateTable2024[[#This Row],[End]])</calculatedColumnFormula>
      <totalsRowFormula>SUM(AggregateTable2024[Housing - Other])</totalsRowFormula>
    </tableColumn>
    <tableColumn id="19" xr3:uid="{D35B9549-9C58-4395-ADD9-C19388D69D59}" name="Decoration" totalsRowFunction="custom" dataDxfId="252">
      <calculatedColumnFormula>SUMIFS(LogTable2024[Amount],
LogTable2024[My Category], T$2,
LogTable2024[Date], "&gt;="&amp;AggregateTable2024[[#This Row],[Start]], LogTable2024[Date], "&lt;="&amp;AggregateTable2024[[#This Row],[End]])</calculatedColumnFormula>
      <totalsRowFormula>SUM(AggregateTable2024[Decoration])</totalsRowFormula>
    </tableColumn>
    <tableColumn id="20" xr3:uid="{91591CC6-D9E2-47AA-BC75-F6D3A91EEE43}" name="401k" totalsRowFunction="custom" dataDxfId="251">
      <calculatedColumnFormula>SUMIFS(LogTable2024[Amount],
LogTable2024[My Category], U$2,
LogTable2024[Date], "&gt;="&amp;AggregateTable2024[[#This Row],[Start]], LogTable2024[Date], "&lt;="&amp;AggregateTable2024[[#This Row],[End]])</calculatedColumnFormula>
      <totalsRowFormula>SUM(AggregateTable2024[401k])</totalsRowFormula>
    </tableColumn>
    <tableColumn id="21" xr3:uid="{92D5FE8C-4E60-4A45-8672-18B662B11855}" name="Retirement" totalsRowFunction="custom" dataDxfId="250">
      <calculatedColumnFormula>SUMIFS(LogTable2024[Amount],
LogTable2024[My Category], V$2,
LogTable2024[Date], "&gt;="&amp;AggregateTable2024[[#This Row],[Start]], LogTable2024[Date], "&lt;="&amp;AggregateTable2024[[#This Row],[End]])</calculatedColumnFormula>
      <totalsRowFormula>SUM(AggregateTable2024[Retirement])</totalsRowFormula>
    </tableColumn>
    <tableColumn id="22" xr3:uid="{7AC750FD-AE2B-4DCA-A321-579BD7442E07}" name="Long-term" totalsRowFunction="custom" dataDxfId="249">
      <calculatedColumnFormula>SUMIFS(LogTable2024[Amount],
LogTable2024[My Category], W$2,
LogTable2024[Date], "&gt;="&amp;AggregateTable2024[[#This Row],[Start]], LogTable2024[Date], "&lt;="&amp;AggregateTable2024[[#This Row],[End]])</calculatedColumnFormula>
      <totalsRowFormula>SUM(AggregateTable2024[Long-term])</totalsRowFormula>
    </tableColumn>
    <tableColumn id="23" xr3:uid="{84EC6949-3842-4577-8096-FF353385B65F}" name="Unexpected Fund" totalsRowFunction="custom" dataDxfId="248">
      <calculatedColumnFormula>SUMIFS(LogTable2024[Amount],
LogTable2024[My Category], X$2,
LogTable2024[Date], "&gt;="&amp;AggregateTable2024[[#This Row],[Start]], LogTable2024[Date], "&lt;="&amp;AggregateTable2024[[#This Row],[End]])</calculatedColumnFormula>
      <totalsRowFormula>SUM(AggregateTable2024[Unexpected Fund])</totalsRowFormula>
    </tableColumn>
    <tableColumn id="24" xr3:uid="{4BD1D10F-B7EE-4917-9904-52EA3C661C0A}" name="Medical - Other" totalsRowFunction="custom" dataDxfId="247">
      <calculatedColumnFormula>SUMIFS(LogTable2024[Amount],
LogTable2024[My Category], Y$2,
LogTable2024[Date], "&gt;="&amp;AggregateTable2024[[#This Row],[Start]], LogTable2024[Date], "&lt;="&amp;AggregateTable2024[[#This Row],[End]])</calculatedColumnFormula>
      <totalsRowFormula>SUM(AggregateTable2024[Medical - Other])</totalsRowFormula>
    </tableColumn>
    <tableColumn id="25" xr3:uid="{074BCDD7-FECB-4CAD-9993-B1253EFE3696}" name="Medical Insurance" totalsRowFunction="custom" dataDxfId="246">
      <calculatedColumnFormula>SUMIFS(LogTable2024[Amount],
LogTable2024[My Category], Z$2,
LogTable2024[Date], "&gt;="&amp;AggregateTable2024[[#This Row],[Start]], LogTable2024[Date], "&lt;="&amp;AggregateTable2024[[#This Row],[End]])</calculatedColumnFormula>
      <totalsRowFormula>SUM(AggregateTable2024[Medical Insurance])</totalsRowFormula>
    </tableColumn>
    <tableColumn id="26" xr3:uid="{305CF9AA-8922-4ED5-9A41-41F4BD26B690}" name="ATM" totalsRowFunction="custom" dataDxfId="245">
      <calculatedColumnFormula>SUMIFS(LogTable2024[Amount],
LogTable2024[My Category], AA$2,
LogTable2024[Date], "&gt;="&amp;AggregateTable2024[[#This Row],[Start]], LogTable2024[Date], "&lt;="&amp;AggregateTable2024[[#This Row],[End]])</calculatedColumnFormula>
      <totalsRowFormula>SUM(AggregateTable2024[ATM])</totalsRowFormula>
    </tableColumn>
    <tableColumn id="27" xr3:uid="{4C443DEA-AAFC-4DEB-9F61-CA1BAACE6600}" name="Other - Other" totalsRowFunction="custom" dataDxfId="244">
      <calculatedColumnFormula>SUMIFS(LogTable2024[Amount],
LogTable2024[My Category], AB$2,
LogTable2024[Date], "&gt;="&amp;AggregateTable2024[[#This Row],[Start]], LogTable2024[Date], "&lt;="&amp;AggregateTable2024[[#This Row],[End]])</calculatedColumnFormula>
      <totalsRowFormula>SUM(AggregateTable2024[Other - Other])</totalsRowFormula>
    </tableColumn>
    <tableColumn id="28" xr3:uid="{CF03607F-20B1-4F50-84EB-8BE0855B052D}" name="Clothes/Personal care" totalsRowFunction="custom" dataDxfId="243">
      <calculatedColumnFormula>SUMIFS(LogTable2024[Amount],
LogTable2024[My Category], AC$2,
LogTable2024[Date], "&gt;="&amp;AggregateTable2024[[#This Row],[Start]], LogTable2024[Date], "&lt;="&amp;AggregateTable2024[[#This Row],[End]])</calculatedColumnFormula>
      <totalsRowFormula>SUM(AggregateTable2024[Clothes/Personal care])</totalsRowFormula>
    </tableColumn>
    <tableColumn id="29" xr3:uid="{984195DF-0E1C-4181-997C-D575A4A12F16}" name="Parental Funds" totalsRowFunction="custom" dataDxfId="242">
      <calculatedColumnFormula>SUMIFS(LogTable2024[Amount],
LogTable2024[My Category], AD$2,
LogTable2024[Date], "&gt;="&amp;AggregateTable2024[[#This Row],[Start]], LogTable2024[Date], "&lt;="&amp;AggregateTable2024[[#This Row],[End]])</calculatedColumnFormula>
      <totalsRowFormula>SUM(AggregateTable2024[Parental Funds])</totalsRowFormula>
    </tableColumn>
    <tableColumn id="30" xr3:uid="{60BF4EC0-3B93-470C-8E57-A0B5C9492750}" name="Salary" totalsRowFunction="custom" dataDxfId="241">
      <calculatedColumnFormula>SUMIFS(LogTable2024[Amount],
LogTable2024[My Category], AE$2,
LogTable2024[Date], "&gt;="&amp;AggregateTable2024[[#This Row],[Start]], LogTable2024[Date], "&lt;="&amp;AggregateTable2024[[#This Row],[End]])</calculatedColumnFormula>
      <totalsRowFormula>SUM(AggregateTable2024[Salary])</totalsRowFormula>
    </tableColumn>
    <tableColumn id="31" xr3:uid="{EB99C20C-3D0A-4553-A5BD-6DB955F310D3}" name="Income - Other" totalsRowFunction="custom" dataDxfId="240">
      <calculatedColumnFormula>SUMIFS(LogTable2024[Amount],
LogTable2024[My Category], AF$2,
LogTable2024[Date], "&gt;="&amp;AggregateTable2024[[#This Row],[Start]], LogTable2024[Date], "&lt;="&amp;AggregateTable2024[[#This Row],[End]])</calculatedColumnFormula>
      <totalsRowFormula>SUM(AggregateTable2024[Income - Other])</totalsRowFormula>
    </tableColumn>
    <tableColumn id="32" xr3:uid="{2E6F0F02-B598-468A-B092-E4A771FED6CB}" name="CC Payments" totalsRowFunction="custom" dataDxfId="239">
      <calculatedColumnFormula>SUMIFS(LogTable2024[Amount],
LogTable2024[My Category], AG$2,
LogTable2024[Date], "&gt;="&amp;AggregateTable2024[[#This Row],[Start]], LogTable2024[Date], "&lt;="&amp;AggregateTable2024[[#This Row],[End]])</calculatedColumnFormula>
      <totalsRowFormula>SUM(AggregateTable2024[CC Payments])</totalsRowFormula>
    </tableColumn>
    <tableColumn id="33" xr3:uid="{9F2350A2-BC3C-48A1-830B-DC937B0C3404}" name="Internal Transfers" totalsRowFunction="custom" dataDxfId="238">
      <calculatedColumnFormula>SUMIFS(LogTable2024[Amount],
LogTable2024[My Category], AH$2,
LogTable2024[Date], "&gt;="&amp;AggregateTable2024[[#This Row],[Start]], LogTable2024[Date], "&lt;="&amp;AggregateTable2024[[#This Row],[End]])</calculatedColumnFormula>
      <totalsRowFormula>SUM(AggregateTable2024[Internal Transfers])</totalsRowFormula>
    </tableColumn>
    <tableColumn id="34" xr3:uid="{218C67C9-C7A1-4C17-A8E2-964B7310B596}" name="Total" totalsRowFunction="custom" dataDxfId="237">
      <calculatedColumnFormula>SUM(AggregateTable2024[[#This Row],[Car - Note]:[Internal Transfers]])</calculatedColumnFormula>
      <totalsRowFormula>SUM(AggregateTable2024[Total])</totalsRowFormula>
    </tableColumn>
  </tableColumns>
  <tableStyleInfo name="TableStyleMedium2" showFirstColumn="0" showLastColumn="1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C2FDB7F6-99A6-4615-90BD-88A1FD1D4962}" name="Buckets_9_23" displayName="Buckets_9_23" ref="J3:Z36" totalsRowCount="1">
  <autoFilter ref="J3:Z35" xr:uid="{C2FDB7F6-99A6-4615-90BD-88A1FD1D4962}"/>
  <tableColumns count="17">
    <tableColumn id="1" xr3:uid="{AC966554-4456-4F5C-9140-4C039CCC2E13}" name="Start" totalsRowFunction="custom" dataDxfId="236" totalsRowDxfId="235" dataCellStyle="Currency">
      <calculatedColumnFormula>F4</calculatedColumnFormula>
      <totalsRowFormula>SUBTOTAL(9, Buckets_9_23[Start])</totalsRowFormula>
    </tableColumn>
    <tableColumn id="2" xr3:uid="{36F221FE-57C7-42C1-9D4C-21109A310559}" name="Transactions" totalsRowFunction="custom" dataDxfId="234" totalsRowDxfId="233" dataCellStyle="Currency">
      <calculatedColumnFormula>GetTransactionTotal(AggregateTable2023[], AggregateTable2023[Start], J$1, AggregateTable2023[#Headers], $D4)</calculatedColumnFormula>
      <totalsRowFormula>SUBTOTAL(9, Buckets_9_23[Transactions])</totalsRowFormula>
    </tableColumn>
    <tableColumn id="3" xr3:uid="{A7F18FBC-DD54-4A98-91C8-08337230F0B6}" name="After T" totalsRowFunction="custom" dataDxfId="232" totalsRowDxfId="231" dataCellStyle="Currency">
      <calculatedColumnFormula>Buckets_9_23[[#This Row],[Start]]+Buckets_9_23[[#This Row],[Transactions]]</calculatedColumnFormula>
      <totalsRowFormula>SUBTOTAL(9, Buckets_9_23[After T])</totalsRowFormula>
    </tableColumn>
    <tableColumn id="4" xr3:uid="{0D6CE6B5-0A78-4CBC-9AE2-2EE8B0182907}" name="Capacity" totalsRowFunction="custom" dataDxfId="230" totalsRowDxfId="229" dataCellStyle="Currency">
      <calculatedColumnFormula>G4</calculatedColumnFormula>
      <totalsRowFormula>SUBTOTAL(9, Buckets_9_23[Capacity])</totalsRowFormula>
    </tableColumn>
    <tableColumn id="5" xr3:uid="{BF6B93E3-CC99-4979-A1CE-5C6FD01A5557}" name="Cap Diff" totalsRowFunction="custom" dataDxfId="228" totalsRowDxfId="227" dataCellStyle="Currency">
      <calculatedColumnFormula>Buckets_9_23[[#This Row],[Capacity]]-Buckets_9_23[[#This Row],[After T]]</calculatedColumnFormula>
      <totalsRowFormula>SUBTOTAL(9, Buckets_9_23[Cap Diff])</totalsRowFormula>
    </tableColumn>
    <tableColumn id="9" xr3:uid="{11592B4A-0B6B-4E0F-9936-1307A248355A}" name="Slush" totalsRowFunction="custom" dataDxfId="226" totalsRowDxfId="225" dataCellStyle="Currency">
      <calculatedColumnFormula>IF(Buckets_9_23[[#This Row],[After T]]&lt;0, Buckets_9_23[[#This Row],[After T]], IF(Buckets_9_23[[#This Row],[Cap Diff]]&lt;0, -Buckets_9_23[[#This Row],[Cap Diff]], 0))</calculatedColumnFormula>
      <totalsRowFormula>SUBTOTAL(9, Buckets_9_23[Slush])</totalsRowFormula>
    </tableColumn>
    <tableColumn id="10" xr3:uid="{9D504B2A-F61F-430A-BFA9-F74BC001E07B}" name="Before Fill" dataDxfId="224" dataCellStyle="Currency">
      <calculatedColumnFormula>Buckets_9_23[[#This Row],[After T]]-Buckets_9_23[[#This Row],[Slush]]</calculatedColumnFormula>
    </tableColumn>
    <tableColumn id="12" xr3:uid="{681D5640-D79E-4B7C-868E-C1313E631A28}" name="S Cap Diff" dataDxfId="223" dataCellStyle="Currency">
      <calculatedColumnFormula>Buckets_9_23[[#This Row],[Capacity]]-Buckets_9_23[[#This Row],[Before Fill]]</calculatedColumnFormula>
    </tableColumn>
    <tableColumn id="6" xr3:uid="{98241165-A58C-41F4-8DF6-FDDC1834EA45}" name="Is Crit" dataDxfId="222" dataCellStyle="Normal">
      <calculatedColumnFormula>H4</calculatedColumnFormula>
    </tableColumn>
    <tableColumn id="7" xr3:uid="{3D2682D3-82E9-4FCE-81AF-3307428CF180}" name="Crit To Fill" totalsRowFunction="custom" dataDxfId="221" totalsRowDxfId="220" dataCellStyle="Currency">
      <calculatedColumnFormula>IF(Buckets_9_23[[#This Row],[Is Crit]], Buckets_9_23[[#This Row],[S Cap Diff]], 0)</calculatedColumnFormula>
      <totalsRowFormula>SUBTOTAL(9, Buckets_9_23[Crit To Fill])</totalsRowFormula>
    </tableColumn>
    <tableColumn id="11" xr3:uid="{EE1CE21D-1D54-4CB0-8A3F-BC805A2142AB}" name="Crit Filled" dataDxfId="219" dataCellStyle="Currency">
      <calculatedColumnFormula>Buckets_9_23[[#This Row],[Before Fill]]+Buckets_9_23[[#This Row],[Crit To Fill]]</calculatedColumnFormula>
    </tableColumn>
    <tableColumn id="8" xr3:uid="{C25E2AEF-D360-442E-B6AD-CF4A01215EAE}" name="NC To Fill" totalsRowFunction="custom" dataDxfId="218" totalsRowDxfId="217" dataCellStyle="Currency">
      <calculatedColumnFormula>IF(NOT(Buckets_9_23[[#This Row],[Is Crit]]), Buckets_9_23[[#This Row],[S Cap Diff]], 0)</calculatedColumnFormula>
      <totalsRowFormula>SUBTOTAL(9,Buckets_9_23[NC To Fill])</totalsRowFormula>
    </tableColumn>
    <tableColumn id="13" xr3:uid="{CD346997-5AC4-4A2E-B7D5-815CD75D87F9}" name="Scaled" totalsRowFunction="custom" dataDxfId="216" totalsRowDxfId="215">
      <calculatedColumnFormula>T$41/Buckets_9_23[[#Totals],[NC To Fill]]*Buckets_9_23[[#This Row],[NC To Fill]]</calculatedColumnFormula>
      <totalsRowFormula>SUBTOTAL(9, Buckets_9_23[Scaled])</totalsRowFormula>
    </tableColumn>
    <tableColumn id="14" xr3:uid="{9396331A-B140-43BE-8770-FCF15060273A}" name="NC Filled" dataDxfId="214">
      <calculatedColumnFormula>Buckets_9_23[[#This Row],[Crit Filled]]+Buckets_9_23[[#This Row],[Scaled]]</calculatedColumnFormula>
    </tableColumn>
    <tableColumn id="15" xr3:uid="{59462133-8D91-40F3-B0B6-1C9547FC94EC}" name="Final" totalsRowFunction="custom" dataDxfId="213" totalsRowDxfId="212">
      <calculatedColumnFormula>Buckets_9_23[[#This Row],[NC Filled]]</calculatedColumnFormula>
      <totalsRowFormula>SUBTOTAL(9, Buckets_9_23[Final])</totalsRowFormula>
    </tableColumn>
    <tableColumn id="16" xr3:uid="{EFC9661F-8AC8-403D-8817-6987455A4071}" name="Unfilled" totalsRowFunction="custom" dataDxfId="211" totalsRowDxfId="210">
      <calculatedColumnFormula>Buckets_9_23[[#This Row],[Capacity]]-Buckets_9_23[[#This Row],[Final]]</calculatedColumnFormula>
      <totalsRowFormula>SUBTOTAL(9, Buckets_9_23[Unfilled])</totalsRowFormula>
    </tableColumn>
    <tableColumn id="17" xr3:uid="{70C8EED8-F45B-443F-9B98-157D23B9333F}" name="% Filled" totalsRowFunction="custom" dataDxfId="209" totalsRowDxfId="208" dataCellStyle="Percent" totalsRowCellStyle="Percent">
      <calculatedColumnFormula>IF(Buckets_9_23[[#This Row],[Capacity]]=0, 1, Buckets_9_23[[#This Row],[Final]]/Buckets_9_23[[#This Row],[Capacity]])</calculatedColumnFormula>
      <totalsRowFormula>Buckets_9_23[[#Totals],[Final]]/Buckets_9_23[[#Totals],[Capacity]]</totalsRowFormula>
    </tableColumn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95B4DEE2-9165-4C8B-A480-3DB30F997CE4}" name="Buckets_10_23" displayName="Buckets_10_23" ref="AN3:BD36" totalsRowCount="1">
  <autoFilter ref="AN3:BD35" xr:uid="{95B4DEE2-9165-4C8B-A480-3DB30F997CE4}"/>
  <tableColumns count="17">
    <tableColumn id="1" xr3:uid="{2E2996F9-309A-495B-90C8-1CD7CBA2686B}" name="Start" totalsRowFunction="custom" dataDxfId="207" totalsRowDxfId="206" dataCellStyle="Currency">
      <calculatedColumnFormula>AJ4</calculatedColumnFormula>
      <totalsRowFormula>SUBTOTAL(9, Buckets_10_23[Start])</totalsRowFormula>
    </tableColumn>
    <tableColumn id="2" xr3:uid="{38554CF6-A4C6-4C3A-9C0C-0553DFFD0DEF}" name="Transactions" totalsRowFunction="custom" dataDxfId="205" totalsRowDxfId="204" dataCellStyle="Currency">
      <calculatedColumnFormula>GetTransactionTotal(AggregateTable2023[], AggregateTable2023[Start], AN$1, AggregateTable2023[#Headers], $D4)</calculatedColumnFormula>
      <totalsRowFormula>SUBTOTAL(9, Buckets_10_23[Transactions])</totalsRowFormula>
    </tableColumn>
    <tableColumn id="3" xr3:uid="{782F340F-5CEF-4418-BEBC-170277E07D00}" name="After T" totalsRowFunction="custom" dataDxfId="203" totalsRowDxfId="202" dataCellStyle="Currency">
      <calculatedColumnFormula>Buckets_10_23[[#This Row],[Start]]+Buckets_10_23[[#This Row],[Transactions]]</calculatedColumnFormula>
      <totalsRowFormula>SUBTOTAL(9, Buckets_10_23[After T])</totalsRowFormula>
    </tableColumn>
    <tableColumn id="4" xr3:uid="{8D79F9B4-DF40-4788-A773-23132793717E}" name="Capacity" totalsRowFunction="custom" dataDxfId="201" totalsRowDxfId="200" dataCellStyle="Currency">
      <calculatedColumnFormula>AK4</calculatedColumnFormula>
      <totalsRowFormula>SUBTOTAL(9, Buckets_10_23[Capacity])</totalsRowFormula>
    </tableColumn>
    <tableColumn id="5" xr3:uid="{B1B06936-3731-4ED7-9D1B-39FC87994896}" name="Cap Diff" totalsRowFunction="custom" dataDxfId="199" totalsRowDxfId="198" dataCellStyle="Currency">
      <calculatedColumnFormula>Buckets_10_23[[#This Row],[Capacity]]-Buckets_10_23[[#This Row],[After T]]</calculatedColumnFormula>
      <totalsRowFormula>SUBTOTAL(9, Buckets_10_23[Cap Diff])</totalsRowFormula>
    </tableColumn>
    <tableColumn id="9" xr3:uid="{64641CF0-A6C9-4B8A-95CB-9D24C45D2913}" name="Slush" totalsRowFunction="custom" dataDxfId="197" totalsRowDxfId="196" dataCellStyle="Currency">
      <calculatedColumnFormula>MAX(-Buckets_10_23[[#This Row],[Cap Diff]], 0)</calculatedColumnFormula>
      <totalsRowFormula>SUBTOTAL(9, Buckets_10_23[Slush])</totalsRowFormula>
    </tableColumn>
    <tableColumn id="10" xr3:uid="{A979730D-B16F-4752-B88E-575610BBDEB9}" name="Before Fill" dataDxfId="195" totalsRowDxfId="194" dataCellStyle="Currency">
      <calculatedColumnFormula>Buckets_10_23[[#This Row],[After T]]-Buckets_10_23[[#This Row],[Slush]]</calculatedColumnFormula>
    </tableColumn>
    <tableColumn id="12" xr3:uid="{51167022-0244-463D-BEC8-69E12E40C3E3}" name="S Cap Diff" dataDxfId="193" totalsRowDxfId="192" dataCellStyle="Currency">
      <calculatedColumnFormula>Buckets_10_23[[#This Row],[Capacity]]-Buckets_10_23[[#This Row],[Before Fill]]</calculatedColumnFormula>
    </tableColumn>
    <tableColumn id="6" xr3:uid="{5BB886DB-1C79-4AC8-B4FC-40588B46ACBD}" name="Is Crit" totalsRowDxfId="191" dataCellStyle="Normal">
      <calculatedColumnFormula>OR(AL4, Buckets_10_23[[#This Row],[After T]]&lt;0)</calculatedColumnFormula>
    </tableColumn>
    <tableColumn id="7" xr3:uid="{3ED7F987-7D81-4E83-B53B-852B495417F2}" name="Crit To Fill" totalsRowFunction="custom" dataDxfId="190" totalsRowDxfId="189" dataCellStyle="Currency">
      <calculatedColumnFormula>IF(Buckets_10_23[[#This Row],[Is Crit]], Buckets_10_23[[#This Row],[S Cap Diff]], 0)</calculatedColumnFormula>
      <totalsRowFormula>SUBTOTAL(9, Buckets_10_23[Crit To Fill])</totalsRowFormula>
    </tableColumn>
    <tableColumn id="11" xr3:uid="{F84D7A27-CCF5-4A5F-B170-25FA9BC6B94C}" name="Crit Filled" dataDxfId="188" totalsRowDxfId="187" dataCellStyle="Currency">
      <calculatedColumnFormula>Buckets_10_23[[#This Row],[Before Fill]]+Buckets_10_23[[#This Row],[Crit To Fill]]</calculatedColumnFormula>
    </tableColumn>
    <tableColumn id="8" xr3:uid="{2D0E14DA-CA1B-4D29-BBF7-9AE6FBF0A88E}" name="NC To Fill" totalsRowFunction="custom" dataDxfId="186" totalsRowDxfId="185" dataCellStyle="Currency">
      <calculatedColumnFormula>IF(NOT(Buckets_10_23[[#This Row],[Is Crit]]), Buckets_10_23[[#This Row],[S Cap Diff]], 0)</calculatedColumnFormula>
      <totalsRowFormula>SUBTOTAL(9,Buckets_10_23[NC To Fill])</totalsRowFormula>
    </tableColumn>
    <tableColumn id="13" xr3:uid="{535DD8D9-ACB0-49C1-8985-8A90452F6861}" name="Scaled" totalsRowFunction="custom" dataDxfId="184" totalsRowDxfId="183">
      <calculatedColumnFormula>AX$41/Buckets_10_23[[#Totals],[NC To Fill]]*Buckets_10_23[[#This Row],[NC To Fill]]</calculatedColumnFormula>
      <totalsRowFormula>SUBTOTAL(9, Buckets_10_23[Scaled])</totalsRowFormula>
    </tableColumn>
    <tableColumn id="14" xr3:uid="{A2DB5951-BFB5-4908-812C-AE42C350D2B3}" name="NC Filled" dataDxfId="182">
      <calculatedColumnFormula>Buckets_10_23[[#This Row],[Crit Filled]]+Buckets_10_23[[#This Row],[Scaled]]</calculatedColumnFormula>
    </tableColumn>
    <tableColumn id="15" xr3:uid="{A751A454-D9E8-4213-BFCF-9E6BF78F02A4}" name="Final" totalsRowFunction="custom" dataDxfId="181" totalsRowDxfId="180">
      <calculatedColumnFormula>Buckets_10_23[[#This Row],[NC Filled]]</calculatedColumnFormula>
      <totalsRowFormula>SUBTOTAL(9, Buckets_10_23[Final])</totalsRowFormula>
    </tableColumn>
    <tableColumn id="16" xr3:uid="{A7575354-A833-44E6-9B6E-8EAE50F035F5}" name="Unfilled" totalsRowFunction="custom" dataDxfId="179" totalsRowDxfId="178">
      <calculatedColumnFormula>Buckets_10_23[[#This Row],[Capacity]]-Buckets_10_23[[#This Row],[Final]]</calculatedColumnFormula>
      <totalsRowFormula>SUBTOTAL(9, Buckets_10_23[Unfilled])</totalsRowFormula>
    </tableColumn>
    <tableColumn id="17" xr3:uid="{AFF08717-DC27-4AB2-B914-6ED31F59D49F}" name="% Filled" totalsRowFunction="custom" dataDxfId="177" totalsRowDxfId="176" dataCellStyle="Percent" totalsRowCellStyle="Percent">
      <calculatedColumnFormula>IF(Buckets_10_23[[#This Row],[Capacity]]=0, 1, Buckets_10_23[[#This Row],[Final]]/Buckets_10_23[[#This Row],[Capacity]])</calculatedColumnFormula>
      <totalsRowFormula>Buckets_10_23[[#Totals],[Final]]/Buckets_10_23[[#Totals],[Capacity]]</totalsRowFormula>
    </tableColumn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FCAF0FAF-8D32-46CD-9693-20BB82A6F732}" name="Buckets_11_23" displayName="Buckets_11_23" ref="BR3:CH36" totalsRowCount="1">
  <autoFilter ref="BR3:CH35" xr:uid="{FCAF0FAF-8D32-46CD-9693-20BB82A6F732}"/>
  <tableColumns count="17">
    <tableColumn id="1" xr3:uid="{AD34FAB2-A4B0-4457-BCAE-4DA67720473D}" name="Start" totalsRowFunction="custom" dataDxfId="175" totalsRowDxfId="174" dataCellStyle="Currency">
      <calculatedColumnFormula>BN4</calculatedColumnFormula>
      <totalsRowFormula>SUBTOTAL(9, Buckets_11_23[Start])</totalsRowFormula>
    </tableColumn>
    <tableColumn id="2" xr3:uid="{3EC673F7-B4EF-4C5A-8FE9-0D4F4C350848}" name="Transactions" totalsRowFunction="custom" dataDxfId="173" totalsRowDxfId="172" dataCellStyle="Currency">
      <calculatedColumnFormula>GetTransactionTotal(AggregateTable2023[], AggregateTable2023[Start], BR$1, AggregateTable2023[#Headers], $D4)</calculatedColumnFormula>
      <totalsRowFormula>SUBTOTAL(9, Buckets_11_23[Transactions])</totalsRowFormula>
    </tableColumn>
    <tableColumn id="3" xr3:uid="{DB927527-8675-4175-BC23-E6BD56947D4B}" name="After T" totalsRowFunction="custom" dataDxfId="171" totalsRowDxfId="170" dataCellStyle="Currency">
      <calculatedColumnFormula>Buckets_11_23[[#This Row],[Start]]+Buckets_11_23[[#This Row],[Transactions]]</calculatedColumnFormula>
      <totalsRowFormula>SUBTOTAL(9, Buckets_11_23[After T])</totalsRowFormula>
    </tableColumn>
    <tableColumn id="4" xr3:uid="{7B4A568F-0BC0-4B39-92CE-0B76CD169E55}" name="Capacity" totalsRowFunction="custom" dataDxfId="169" totalsRowDxfId="168" dataCellStyle="Currency">
      <calculatedColumnFormula>BO4</calculatedColumnFormula>
      <totalsRowFormula>SUBTOTAL(9, Buckets_11_23[Capacity])</totalsRowFormula>
    </tableColumn>
    <tableColumn id="5" xr3:uid="{016FC966-2170-4B1B-AE87-0E64C6791246}" name="Cap Diff" totalsRowFunction="custom" dataDxfId="167" totalsRowDxfId="166" dataCellStyle="Currency">
      <calculatedColumnFormula>Buckets_11_23[[#This Row],[Capacity]]-Buckets_11_23[[#This Row],[After T]]</calculatedColumnFormula>
      <totalsRowFormula>SUBTOTAL(9, Buckets_11_23[Cap Diff])</totalsRowFormula>
    </tableColumn>
    <tableColumn id="9" xr3:uid="{666F5C75-E85F-4E6C-8A02-2A105DAAF688}" name="Slush" totalsRowFunction="custom" dataDxfId="165" totalsRowDxfId="164" dataCellStyle="Currency">
      <calculatedColumnFormula>MAX(-Buckets_11_23[[#This Row],[Cap Diff]], 0)</calculatedColumnFormula>
      <totalsRowFormula>SUBTOTAL(9, Buckets_11_23[Slush])</totalsRowFormula>
    </tableColumn>
    <tableColumn id="10" xr3:uid="{373C4965-B903-47E2-8270-AB27E2C0D9FA}" name="Before Fill" dataDxfId="163" totalsRowDxfId="162" dataCellStyle="Currency">
      <calculatedColumnFormula>Buckets_11_23[[#This Row],[After T]]-Buckets_11_23[[#This Row],[Slush]]</calculatedColumnFormula>
    </tableColumn>
    <tableColumn id="12" xr3:uid="{107AE8A3-E948-49FA-9174-B00B5145A711}" name="S Cap Diff" dataDxfId="161" totalsRowDxfId="160" dataCellStyle="Currency">
      <calculatedColumnFormula>Buckets_11_23[[#This Row],[Capacity]]-Buckets_11_23[[#This Row],[Before Fill]]</calculatedColumnFormula>
    </tableColumn>
    <tableColumn id="6" xr3:uid="{4FC70ED5-1D85-4E1C-9698-D482AD9CB973}" name="Is Crit" totalsRowDxfId="159" dataCellStyle="Normal">
      <calculatedColumnFormula>OR(BP4, Buckets_11_23[[#This Row],[After T]]&lt;0)</calculatedColumnFormula>
    </tableColumn>
    <tableColumn id="7" xr3:uid="{4BE5FBEC-EC9D-4451-B0AD-4BE86665B66D}" name="Crit To Fill" totalsRowFunction="custom" dataDxfId="158" totalsRowDxfId="157" dataCellStyle="Currency">
      <calculatedColumnFormula>IF(Buckets_11_23[[#This Row],[Is Crit]], Buckets_11_23[[#This Row],[S Cap Diff]], 0)</calculatedColumnFormula>
      <totalsRowFormula>SUBTOTAL(9, Buckets_11_23[Crit To Fill])</totalsRowFormula>
    </tableColumn>
    <tableColumn id="11" xr3:uid="{EB4FF8F2-D6F2-46F4-A7D2-5BE68DEBEAF9}" name="Crit Filled" dataDxfId="156" totalsRowDxfId="155" dataCellStyle="Currency">
      <calculatedColumnFormula>Buckets_11_23[[#This Row],[Before Fill]]+Buckets_11_23[[#This Row],[Crit To Fill]]</calculatedColumnFormula>
    </tableColumn>
    <tableColumn id="8" xr3:uid="{B1554BCC-0FCA-4E83-9B21-AAF9C83375D5}" name="NC To Fill" totalsRowFunction="custom" dataDxfId="154" totalsRowDxfId="153" dataCellStyle="Currency">
      <calculatedColumnFormula>IF(NOT(Buckets_11_23[[#This Row],[Is Crit]]), Buckets_11_23[[#This Row],[S Cap Diff]], 0)</calculatedColumnFormula>
      <totalsRowFormula>SUBTOTAL(9,Buckets_11_23[NC To Fill])</totalsRowFormula>
    </tableColumn>
    <tableColumn id="13" xr3:uid="{50D39684-D5CB-4A4F-A6A2-9507A99F3DF0}" name="Scaled" totalsRowFunction="custom" dataDxfId="152" totalsRowDxfId="151">
      <calculatedColumnFormula>CB$41/Buckets_11_23[[#Totals],[NC To Fill]]*Buckets_11_23[[#This Row],[NC To Fill]]</calculatedColumnFormula>
      <totalsRowFormula>SUBTOTAL(9, Buckets_11_23[Scaled])</totalsRowFormula>
    </tableColumn>
    <tableColumn id="14" xr3:uid="{13E38229-25D3-48A1-91F7-086AAB3D29FC}" name="NC Filled" dataDxfId="150">
      <calculatedColumnFormula>Buckets_11_23[[#This Row],[Crit Filled]]+Buckets_11_23[[#This Row],[Scaled]]</calculatedColumnFormula>
    </tableColumn>
    <tableColumn id="15" xr3:uid="{2461D7FD-C9FC-41FF-ACAA-2D97F68D7C88}" name="Final" totalsRowFunction="custom" dataDxfId="149" totalsRowDxfId="148">
      <calculatedColumnFormula>Buckets_11_23[[#This Row],[NC Filled]]</calculatedColumnFormula>
      <totalsRowFormula>SUBTOTAL(9, Buckets_11_23[Final])</totalsRowFormula>
    </tableColumn>
    <tableColumn id="16" xr3:uid="{93BD3360-F404-4AAF-A696-93B18A233753}" name="Unfilled" totalsRowFunction="custom" dataDxfId="147" totalsRowDxfId="146">
      <calculatedColumnFormula>Buckets_11_23[[#This Row],[Capacity]]-Buckets_11_23[[#This Row],[Final]]</calculatedColumnFormula>
      <totalsRowFormula>SUBTOTAL(9, Buckets_11_23[Unfilled])</totalsRowFormula>
    </tableColumn>
    <tableColumn id="17" xr3:uid="{BB65EC3F-2AF1-4890-8620-0B153749C32B}" name="% Filled" totalsRowFunction="custom" dataDxfId="145" totalsRowDxfId="144" dataCellStyle="Percent" totalsRowCellStyle="Percent">
      <calculatedColumnFormula>IF(Buckets_11_23[[#This Row],[Capacity]]=0, 1, Buckets_11_23[[#This Row],[Final]]/Buckets_11_23[[#This Row],[Capacity]])</calculatedColumnFormula>
      <totalsRowFormula>Buckets_11_23[[#Totals],[Final]]/Buckets_11_23[[#Totals],[Capacity]]</totalsRowFormula>
    </tableColumn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70C0DC49-583C-4B3B-B35E-B2E818E5AFFE}" name="Buckets_12_23" displayName="Buckets_12_23" ref="CV3:DL36" totalsRowCount="1">
  <autoFilter ref="CV3:DL35" xr:uid="{70C0DC49-583C-4B3B-B35E-B2E818E5AFFE}"/>
  <tableColumns count="17">
    <tableColumn id="1" xr3:uid="{4C868A14-A682-491E-ACB3-C20C571871A4}" name="Start" totalsRowFunction="custom" dataDxfId="143" totalsRowDxfId="142" dataCellStyle="Currency">
      <calculatedColumnFormula>CR4</calculatedColumnFormula>
      <totalsRowFormula>SUBTOTAL(9, Buckets_12_23[Start])</totalsRowFormula>
    </tableColumn>
    <tableColumn id="2" xr3:uid="{65ABE8FF-231C-4E3D-908F-E7FC8DF4079C}" name="Transactions" totalsRowFunction="custom" dataDxfId="141" totalsRowDxfId="140" dataCellStyle="Currency">
      <calculatedColumnFormula>GetTransactionTotal(AggregateTable2023[], AggregateTable2023[Start], CV$1, AggregateTable2023[#Headers], $D4)</calculatedColumnFormula>
      <totalsRowFormula>SUBTOTAL(9, Buckets_12_23[Transactions])</totalsRowFormula>
    </tableColumn>
    <tableColumn id="3" xr3:uid="{EF34F9C1-C676-4324-9298-6CF700135D32}" name="After T" totalsRowFunction="custom" dataDxfId="139" totalsRowDxfId="138" dataCellStyle="Currency">
      <calculatedColumnFormula>Buckets_12_23[[#This Row],[Start]]+Buckets_12_23[[#This Row],[Transactions]]</calculatedColumnFormula>
      <totalsRowFormula>SUBTOTAL(9, Buckets_12_23[After T])</totalsRowFormula>
    </tableColumn>
    <tableColumn id="4" xr3:uid="{1BF63B01-1E8B-418F-8B74-2446E0A9FE0D}" name="Capacity" totalsRowFunction="custom" dataDxfId="137" totalsRowDxfId="136" dataCellStyle="Currency">
      <calculatedColumnFormula>CS4</calculatedColumnFormula>
      <totalsRowFormula>SUBTOTAL(9, Buckets_12_23[Capacity])</totalsRowFormula>
    </tableColumn>
    <tableColumn id="5" xr3:uid="{819EF0F6-804C-4ADE-A9F0-B68B00627E51}" name="Cap Diff" totalsRowFunction="custom" dataDxfId="135" totalsRowDxfId="134" dataCellStyle="Currency">
      <calculatedColumnFormula>Buckets_12_23[[#This Row],[Capacity]]-Buckets_12_23[[#This Row],[After T]]</calculatedColumnFormula>
      <totalsRowFormula>SUBTOTAL(9, Buckets_12_23[Cap Diff])</totalsRowFormula>
    </tableColumn>
    <tableColumn id="9" xr3:uid="{AAD38199-10FC-4BFD-9A86-35F530D667A0}" name="Slush" totalsRowFunction="custom" dataDxfId="133" totalsRowDxfId="132" dataCellStyle="Currency">
      <calculatedColumnFormula>MAX(-Buckets_12_23[[#This Row],[Cap Diff]], 0)</calculatedColumnFormula>
      <totalsRowFormula>SUBTOTAL(9, Buckets_12_23[Slush])</totalsRowFormula>
    </tableColumn>
    <tableColumn id="10" xr3:uid="{BB28A1B6-B803-4B8B-A1ED-01F21085A8A4}" name="Before Fill" dataDxfId="131" totalsRowDxfId="130" dataCellStyle="Currency">
      <calculatedColumnFormula>Buckets_12_23[[#This Row],[After T]]-Buckets_12_23[[#This Row],[Slush]]</calculatedColumnFormula>
    </tableColumn>
    <tableColumn id="12" xr3:uid="{86B9840A-F74F-4A44-99CD-E16B9DB3AD7F}" name="S Cap Diff" dataDxfId="129" totalsRowDxfId="128" dataCellStyle="Currency">
      <calculatedColumnFormula>Buckets_12_23[[#This Row],[Capacity]]-Buckets_12_23[[#This Row],[Before Fill]]</calculatedColumnFormula>
    </tableColumn>
    <tableColumn id="6" xr3:uid="{32351617-DAE6-43BB-891A-CE126017852E}" name="Is Crit" totalsRowDxfId="127" dataCellStyle="Normal">
      <calculatedColumnFormula>OR(CT4, Buckets_12_23[[#This Row],[After T]]&lt;0)</calculatedColumnFormula>
    </tableColumn>
    <tableColumn id="7" xr3:uid="{2F13DD93-8EA1-49AE-B95A-34494DFBAE83}" name="Crit To Fill" totalsRowFunction="custom" dataDxfId="126" totalsRowDxfId="125" dataCellStyle="Currency">
      <calculatedColumnFormula>IF(Buckets_12_23[[#This Row],[Is Crit]], Buckets_12_23[[#This Row],[S Cap Diff]], 0)</calculatedColumnFormula>
      <totalsRowFormula>SUBTOTAL(9, Buckets_12_23[Crit To Fill])</totalsRowFormula>
    </tableColumn>
    <tableColumn id="11" xr3:uid="{9E866D10-6B51-4B6F-8D35-C2550B1FCF30}" name="Crit Filled" dataDxfId="124" totalsRowDxfId="123" dataCellStyle="Currency">
      <calculatedColumnFormula>Buckets_12_23[[#This Row],[Before Fill]]+Buckets_12_23[[#This Row],[Crit To Fill]]</calculatedColumnFormula>
    </tableColumn>
    <tableColumn id="8" xr3:uid="{0FB8F7BA-79B9-45CE-97E6-BD873CE8CE95}" name="NC To Fill" totalsRowFunction="custom" dataDxfId="122" totalsRowDxfId="121" dataCellStyle="Currency">
      <calculatedColumnFormula>IF(NOT(Buckets_12_23[[#This Row],[Is Crit]]), Buckets_12_23[[#This Row],[S Cap Diff]], 0)</calculatedColumnFormula>
      <totalsRowFormula>SUBTOTAL(9,Buckets_12_23[NC To Fill])</totalsRowFormula>
    </tableColumn>
    <tableColumn id="13" xr3:uid="{2906C7E9-EB95-4933-9541-DE09E58395AE}" name="Scaled" totalsRowFunction="custom" dataDxfId="120" totalsRowDxfId="119">
      <calculatedColumnFormula>DF$41/Buckets_12_23[[#Totals],[NC To Fill]]*Buckets_12_23[[#This Row],[NC To Fill]]</calculatedColumnFormula>
      <totalsRowFormula>SUBTOTAL(9, Buckets_12_23[Scaled])</totalsRowFormula>
    </tableColumn>
    <tableColumn id="14" xr3:uid="{4B1A2EF8-3743-4D9A-890E-510FB1C2E302}" name="NC Filled" dataDxfId="118">
      <calculatedColumnFormula>Buckets_12_23[[#This Row],[Crit Filled]]+Buckets_12_23[[#This Row],[Scaled]]</calculatedColumnFormula>
    </tableColumn>
    <tableColumn id="15" xr3:uid="{11D770BE-FABB-43B7-9798-FE11AA1C306A}" name="Final" totalsRowFunction="custom" dataDxfId="117" totalsRowDxfId="116">
      <calculatedColumnFormula>Buckets_12_23[[#This Row],[NC Filled]]</calculatedColumnFormula>
      <totalsRowFormula>SUBTOTAL(9, Buckets_12_23[Final])</totalsRowFormula>
    </tableColumn>
    <tableColumn id="16" xr3:uid="{72F15615-E0D8-4C84-B3AB-9043A1745E46}" name="Unfilled" totalsRowFunction="custom" dataDxfId="115" totalsRowDxfId="114">
      <calculatedColumnFormula>Buckets_12_23[[#This Row],[Capacity]]-Buckets_12_23[[#This Row],[Final]]</calculatedColumnFormula>
      <totalsRowFormula>SUBTOTAL(9, Buckets_12_23[Unfilled])</totalsRowFormula>
    </tableColumn>
    <tableColumn id="17" xr3:uid="{F100748E-B26C-4ABD-8C49-71E2C2E97113}" name="% Filled" totalsRowFunction="custom" dataDxfId="113" totalsRowDxfId="112" dataCellStyle="Percent" totalsRowCellStyle="Percent">
      <calculatedColumnFormula>IF(Buckets_12_23[[#This Row],[Capacity]]=0, 1, Buckets_12_23[[#This Row],[Final]]/Buckets_12_23[[#This Row],[Capacity]])</calculatedColumnFormula>
      <totalsRowFormula>Buckets_12_23[[#Totals],[Final]]/Buckets_12_23[[#Totals],[Capacity]]</totalsRowFormula>
    </tableColumn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F9BE6235-E303-48A8-B574-840AE3631BBA}" name="Buckets_1_24" displayName="Buckets_1_24" ref="DZ3:EP36" totalsRowCount="1">
  <autoFilter ref="DZ3:EP35" xr:uid="{F9BE6235-E303-48A8-B574-840AE3631BBA}"/>
  <tableColumns count="17">
    <tableColumn id="1" xr3:uid="{ECBF5E5A-49B8-41D0-977B-8E462A00B690}" name="Start" totalsRowFunction="custom" dataDxfId="111" totalsRowDxfId="110" dataCellStyle="Currency">
      <calculatedColumnFormula>DV4</calculatedColumnFormula>
      <totalsRowFormula>SUBTOTAL(9, Buckets_1_24[Start])</totalsRowFormula>
    </tableColumn>
    <tableColumn id="2" xr3:uid="{45BBF2C7-62FB-4084-89E7-289C29064F34}" name="Transactions" totalsRowFunction="custom" dataDxfId="109" totalsRowDxfId="108" dataCellStyle="Currency">
      <calculatedColumnFormula>GetTransactionTotal(AggregateTable2024[], AggregateTable2024[Start], DZ$1, AggregateTable2024[#Headers], $D4)</calculatedColumnFormula>
      <totalsRowFormula>SUBTOTAL(9, Buckets_1_24[Transactions])</totalsRowFormula>
    </tableColumn>
    <tableColumn id="3" xr3:uid="{C5B6D4BD-9BA1-40DB-BE4F-63180A86216E}" name="After T" totalsRowFunction="custom" dataDxfId="107" totalsRowDxfId="106" dataCellStyle="Currency">
      <calculatedColumnFormula>Buckets_1_24[[#This Row],[Start]]+Buckets_1_24[[#This Row],[Transactions]]</calculatedColumnFormula>
      <totalsRowFormula>SUBTOTAL(9, Buckets_1_24[After T])</totalsRowFormula>
    </tableColumn>
    <tableColumn id="4" xr3:uid="{B4B957B8-024D-4086-BAA8-D80BC542BFE4}" name="Capacity" totalsRowFunction="custom" dataDxfId="105" totalsRowDxfId="104" dataCellStyle="Currency">
      <calculatedColumnFormula>DW4</calculatedColumnFormula>
      <totalsRowFormula>SUBTOTAL(9, Buckets_1_24[Capacity])</totalsRowFormula>
    </tableColumn>
    <tableColumn id="5" xr3:uid="{2B9715A7-3A35-4858-B398-CFE04CF87C2C}" name="Cap Diff" totalsRowFunction="custom" dataDxfId="103" totalsRowDxfId="102" dataCellStyle="Currency">
      <calculatedColumnFormula>Buckets_1_24[[#This Row],[Capacity]]-Buckets_1_24[[#This Row],[After T]]</calculatedColumnFormula>
      <totalsRowFormula>SUBTOTAL(9, Buckets_1_24[Cap Diff])</totalsRowFormula>
    </tableColumn>
    <tableColumn id="9" xr3:uid="{2ADE40AE-E518-401A-BD8E-A86123F27A6E}" name="Slush" totalsRowFunction="custom" dataDxfId="101" totalsRowDxfId="100" dataCellStyle="Currency">
      <calculatedColumnFormula>MAX(-Buckets_1_24[[#This Row],[Cap Diff]], 0)</calculatedColumnFormula>
      <totalsRowFormula>SUBTOTAL(9, Buckets_1_24[Slush])</totalsRowFormula>
    </tableColumn>
    <tableColumn id="10" xr3:uid="{CBF4F510-CE5B-4AB7-B3FE-F1D17EB263F3}" name="Before Fill" dataDxfId="99" dataCellStyle="Currency">
      <calculatedColumnFormula>Buckets_1_24[[#This Row],[After T]]-Buckets_1_24[[#This Row],[Slush]]</calculatedColumnFormula>
    </tableColumn>
    <tableColumn id="12" xr3:uid="{EBB07E1C-7578-4C01-9C01-ADAD3DF17EB0}" name="S Cap Diff" dataDxfId="98" dataCellStyle="Currency">
      <calculatedColumnFormula>Buckets_1_24[[#This Row],[Capacity]]-Buckets_1_24[[#This Row],[Before Fill]]</calculatedColumnFormula>
    </tableColumn>
    <tableColumn id="6" xr3:uid="{C9D6226D-B8B4-4B8E-9ED9-C63ED42E726C}" name="Is Crit" dataCellStyle="Normal">
      <calculatedColumnFormula>OR(DX4, Buckets_1_24[[#This Row],[After T]]&lt;0)</calculatedColumnFormula>
    </tableColumn>
    <tableColumn id="7" xr3:uid="{B1BC89F3-2321-4EC3-9826-D07BD97994F9}" name="Crit To Fill" totalsRowFunction="custom" dataDxfId="97" totalsRowDxfId="96" dataCellStyle="Currency">
      <calculatedColumnFormula>IF(Buckets_1_24[[#This Row],[Is Crit]], Buckets_1_24[[#This Row],[S Cap Diff]], 0)</calculatedColumnFormula>
      <totalsRowFormula>SUBTOTAL(9, Buckets_1_24[Crit To Fill])</totalsRowFormula>
    </tableColumn>
    <tableColumn id="11" xr3:uid="{A4F85141-F7DD-4A24-A80E-5CC4B3491323}" name="Crit Filled" dataDxfId="95" dataCellStyle="Currency">
      <calculatedColumnFormula>Buckets_1_24[[#This Row],[Before Fill]]+Buckets_1_24[[#This Row],[Crit To Fill]]</calculatedColumnFormula>
    </tableColumn>
    <tableColumn id="8" xr3:uid="{2385A74D-8B1A-4212-AD9F-1790F2EDED5A}" name="NC To Fill" totalsRowFunction="custom" dataDxfId="94" totalsRowDxfId="93" dataCellStyle="Currency">
      <calculatedColumnFormula>IF(NOT(Buckets_1_24[[#This Row],[Is Crit]]), Buckets_1_24[[#This Row],[S Cap Diff]], 0)</calculatedColumnFormula>
      <totalsRowFormula>SUBTOTAL(9,Buckets_1_24[NC To Fill])</totalsRowFormula>
    </tableColumn>
    <tableColumn id="13" xr3:uid="{E875E086-DDBE-45AF-BB09-2E1101A17303}" name="Scaled" totalsRowFunction="custom" dataDxfId="92" totalsRowDxfId="91">
      <calculatedColumnFormula>EJ$41/Buckets_1_24[[#Totals],[NC To Fill]]*Buckets_1_24[[#This Row],[NC To Fill]]</calculatedColumnFormula>
      <totalsRowFormula>SUBTOTAL(9, Buckets_1_24[Scaled])</totalsRowFormula>
    </tableColumn>
    <tableColumn id="14" xr3:uid="{AC5F99C5-30FD-425D-9546-D71D089C6021}" name="NC Filled" dataDxfId="90">
      <calculatedColumnFormula>Buckets_1_24[[#This Row],[Crit Filled]]+Buckets_1_24[[#This Row],[Scaled]]</calculatedColumnFormula>
    </tableColumn>
    <tableColumn id="15" xr3:uid="{EF3E3C61-F17A-4B39-B933-3741F10C073D}" name="Final" totalsRowFunction="custom" dataDxfId="89" totalsRowDxfId="88">
      <calculatedColumnFormula>Buckets_1_24[[#This Row],[NC Filled]]</calculatedColumnFormula>
      <totalsRowFormula>SUBTOTAL(9, Buckets_1_24[Final])</totalsRowFormula>
    </tableColumn>
    <tableColumn id="16" xr3:uid="{0FC70187-BE35-4121-919A-85C5775EB9D1}" name="Unfilled" totalsRowFunction="custom" dataDxfId="87" totalsRowDxfId="86">
      <calculatedColumnFormula>Buckets_1_24[[#This Row],[Capacity]]-Buckets_1_24[[#This Row],[Final]]</calculatedColumnFormula>
      <totalsRowFormula>SUBTOTAL(9, Buckets_1_24[Unfilled])</totalsRowFormula>
    </tableColumn>
    <tableColumn id="17" xr3:uid="{2C18A877-5056-4D44-AC79-47DD23C16D7F}" name="% Filled" totalsRowFunction="custom" dataDxfId="85" totalsRowDxfId="84" dataCellStyle="Percent" totalsRowCellStyle="Percent">
      <calculatedColumnFormula>IF(Buckets_1_24[[#This Row],[Capacity]]=0, 1, Buckets_1_24[[#This Row],[Final]]/Buckets_1_24[[#This Row],[Capacity]])</calculatedColumnFormula>
      <totalsRowFormula>Buckets_1_24[[#Totals],[Final]]/Buckets_1_24[[#Totals],[Capacity]]</totalsRowFormula>
    </tableColumn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6261269E-9330-4402-B472-DD4459D7C497}" name="Buckets_2_24" displayName="Buckets_2_24" ref="FD3:FT36" totalsRowCount="1">
  <autoFilter ref="FD3:FT35" xr:uid="{6261269E-9330-4402-B472-DD4459D7C497}"/>
  <tableColumns count="17">
    <tableColumn id="1" xr3:uid="{6919576C-8EE9-4B7F-AD3C-201381EAE6F6}" name="Start" totalsRowFunction="custom" dataDxfId="83" totalsRowDxfId="82" dataCellStyle="Currency">
      <calculatedColumnFormula>EZ4</calculatedColumnFormula>
      <totalsRowFormula>SUBTOTAL(9, Buckets_2_24[Start])</totalsRowFormula>
    </tableColumn>
    <tableColumn id="2" xr3:uid="{A1A830DE-5EFE-4F01-A54F-12598EF3C6AD}" name="Transactions" totalsRowFunction="custom" dataDxfId="81" totalsRowDxfId="80" dataCellStyle="Currency">
      <calculatedColumnFormula>GetTransactionTotal(AggregateTable2024[], AggregateTable2024[Start], FD$1, AggregateTable2024[#Headers], $D4)</calculatedColumnFormula>
      <totalsRowFormula>SUBTOTAL(9, Buckets_2_24[Transactions])</totalsRowFormula>
    </tableColumn>
    <tableColumn id="3" xr3:uid="{29F5371C-6EFD-4036-9854-E954B2346AC9}" name="After T" totalsRowFunction="custom" dataDxfId="79" totalsRowDxfId="78" dataCellStyle="Currency">
      <calculatedColumnFormula>Buckets_2_24[[#This Row],[Start]]+Buckets_2_24[[#This Row],[Transactions]]</calculatedColumnFormula>
      <totalsRowFormula>SUBTOTAL(9, Buckets_2_24[After T])</totalsRowFormula>
    </tableColumn>
    <tableColumn id="4" xr3:uid="{F1DADC98-7BA0-49BA-86D4-6F2EBF7082BD}" name="Capacity" totalsRowFunction="custom" dataDxfId="77" totalsRowDxfId="76" dataCellStyle="Currency">
      <calculatedColumnFormula>FA4</calculatedColumnFormula>
      <totalsRowFormula>SUBTOTAL(9, Buckets_2_24[Capacity])</totalsRowFormula>
    </tableColumn>
    <tableColumn id="5" xr3:uid="{8E3BB9D6-3FF3-4392-8A9C-6F6036196A61}" name="Cap Diff" totalsRowFunction="custom" dataDxfId="75" totalsRowDxfId="74" dataCellStyle="Currency">
      <calculatedColumnFormula>Buckets_2_24[[#This Row],[Capacity]]-Buckets_2_24[[#This Row],[After T]]</calculatedColumnFormula>
      <totalsRowFormula>SUBTOTAL(9, Buckets_2_24[Cap Diff])</totalsRowFormula>
    </tableColumn>
    <tableColumn id="9" xr3:uid="{7B4C23FB-6D7D-44AD-8C42-A6A767E8195B}" name="Slush" totalsRowFunction="custom" dataDxfId="73" totalsRowDxfId="72" dataCellStyle="Currency">
      <calculatedColumnFormula>MAX(-Buckets_2_24[[#This Row],[Cap Diff]], 0)</calculatedColumnFormula>
      <totalsRowFormula>SUBTOTAL(9, Buckets_2_24[Slush])</totalsRowFormula>
    </tableColumn>
    <tableColumn id="10" xr3:uid="{9995F90B-5173-49B3-BB95-40509BC156C1}" name="Before Fill" dataDxfId="71" dataCellStyle="Currency">
      <calculatedColumnFormula>Buckets_2_24[[#This Row],[After T]]-Buckets_2_24[[#This Row],[Slush]]</calculatedColumnFormula>
    </tableColumn>
    <tableColumn id="12" xr3:uid="{6B17C2C7-BC72-4D05-8127-32966E670A42}" name="S Cap Diff" dataDxfId="70" dataCellStyle="Currency">
      <calculatedColumnFormula>Buckets_2_24[[#This Row],[Capacity]]-Buckets_2_24[[#This Row],[Before Fill]]</calculatedColumnFormula>
    </tableColumn>
    <tableColumn id="6" xr3:uid="{FEA9E7C8-BDC0-4C93-BE8B-4DD5BD688A8C}" name="Is Crit" dataCellStyle="Normal">
      <calculatedColumnFormula>OR(FB4, Buckets_2_24[[#This Row],[After T]]&lt;0)</calculatedColumnFormula>
    </tableColumn>
    <tableColumn id="7" xr3:uid="{275B9E0E-82A0-4105-9B99-BFD69FB15750}" name="Crit To Fill" totalsRowFunction="custom" dataDxfId="69" totalsRowDxfId="68" dataCellStyle="Currency">
      <calculatedColumnFormula>IF(Buckets_2_24[[#This Row],[Is Crit]], Buckets_2_24[[#This Row],[S Cap Diff]], 0)</calculatedColumnFormula>
      <totalsRowFormula>SUBTOTAL(9, Buckets_2_24[Crit To Fill])</totalsRowFormula>
    </tableColumn>
    <tableColumn id="11" xr3:uid="{6B2ED933-031C-44DA-B960-4B8E5FA93F3C}" name="Crit Filled" dataDxfId="67" dataCellStyle="Currency">
      <calculatedColumnFormula>Buckets_2_24[[#This Row],[Before Fill]]+Buckets_2_24[[#This Row],[Crit To Fill]]</calculatedColumnFormula>
    </tableColumn>
    <tableColumn id="8" xr3:uid="{FDA5FE2E-4A08-4804-BC32-A0EBD415459F}" name="NC To Fill" totalsRowFunction="custom" dataDxfId="66" totalsRowDxfId="65" dataCellStyle="Currency">
      <calculatedColumnFormula>IF(NOT(Buckets_2_24[[#This Row],[Is Crit]]), Buckets_2_24[[#This Row],[S Cap Diff]], 0)</calculatedColumnFormula>
      <totalsRowFormula>SUBTOTAL(9,Buckets_2_24[NC To Fill])</totalsRowFormula>
    </tableColumn>
    <tableColumn id="13" xr3:uid="{54DDEF06-1940-48F4-B8FF-683FE4B0790B}" name="Scaled" totalsRowFunction="custom" dataDxfId="64" totalsRowDxfId="63">
      <calculatedColumnFormula>FN$41/Buckets_2_24[[#Totals],[NC To Fill]]*Buckets_2_24[[#This Row],[NC To Fill]]</calculatedColumnFormula>
      <totalsRowFormula>SUBTOTAL(9, Buckets_2_24[Scaled])</totalsRowFormula>
    </tableColumn>
    <tableColumn id="14" xr3:uid="{DF680109-43DA-4589-818B-0867CAEC3E0E}" name="NC Filled" dataDxfId="62">
      <calculatedColumnFormula>Buckets_2_24[[#This Row],[Crit Filled]]+Buckets_2_24[[#This Row],[Scaled]]</calculatedColumnFormula>
    </tableColumn>
    <tableColumn id="15" xr3:uid="{D3BE9DC6-BEBC-484A-8726-23E7C93CA855}" name="Final" totalsRowFunction="custom" dataDxfId="61" totalsRowDxfId="60">
      <calculatedColumnFormula>Buckets_2_24[[#This Row],[NC Filled]]</calculatedColumnFormula>
      <totalsRowFormula>SUBTOTAL(9, Buckets_2_24[Final])</totalsRowFormula>
    </tableColumn>
    <tableColumn id="16" xr3:uid="{CFBC34D5-410D-4D10-A8CA-A8AC98826760}" name="Unfilled" totalsRowFunction="custom" dataDxfId="59" totalsRowDxfId="58">
      <calculatedColumnFormula>Buckets_2_24[[#This Row],[Capacity]]-Buckets_2_24[[#This Row],[Final]]</calculatedColumnFormula>
      <totalsRowFormula>SUBTOTAL(9, Buckets_2_24[Unfilled])</totalsRowFormula>
    </tableColumn>
    <tableColumn id="17" xr3:uid="{9A489601-BD4E-4711-98F8-FE802D9CE841}" name="% Filled" totalsRowFunction="custom" dataDxfId="57" totalsRowDxfId="56" dataCellStyle="Percent" totalsRowCellStyle="Percent">
      <calculatedColumnFormula>IF(Buckets_2_24[[#This Row],[Capacity]]=0, 1, Buckets_2_24[[#This Row],[Final]]/Buckets_2_24[[#This Row],[Capacity]])</calculatedColumnFormula>
      <totalsRowFormula>Buckets_2_24[[#Totals],[Final]]/Buckets_2_24[[#Totals],[Capacity]]</totalsRowFormula>
    </tableColumn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40964C78-7D5D-46BB-B500-09AE87F274F3}" name="Buckets_3_24" displayName="Buckets_3_24" ref="GH3:GX36" totalsRowCount="1">
  <autoFilter ref="GH3:GX35" xr:uid="{40964C78-7D5D-46BB-B500-09AE87F274F3}"/>
  <tableColumns count="17">
    <tableColumn id="1" xr3:uid="{AC5ADBEC-EC2C-48C1-B09E-007291609DE6}" name="Start" totalsRowFunction="custom" dataDxfId="55" totalsRowDxfId="54" dataCellStyle="Currency">
      <calculatedColumnFormula>GD4</calculatedColumnFormula>
      <totalsRowFormula>SUBTOTAL(9, Buckets_3_24[Start])</totalsRowFormula>
    </tableColumn>
    <tableColumn id="2" xr3:uid="{787E7E35-96CA-4507-9F1F-4452B5D3A1AC}" name="Transactions" totalsRowFunction="custom" dataDxfId="53" totalsRowDxfId="52" dataCellStyle="Currency">
      <calculatedColumnFormula>GetTransactionTotal(AggregateTable2024[], AggregateTable2024[Start], GH$1, AggregateTable2024[#Headers], $D4)</calculatedColumnFormula>
      <totalsRowFormula>SUBTOTAL(9, Buckets_3_24[Transactions])</totalsRowFormula>
    </tableColumn>
    <tableColumn id="3" xr3:uid="{5DBE0EB6-E1A8-40F7-A993-D0769B6E1CEC}" name="After T" totalsRowFunction="custom" dataDxfId="51" totalsRowDxfId="50" dataCellStyle="Currency">
      <calculatedColumnFormula>Buckets_3_24[[#This Row],[Start]]+Buckets_3_24[[#This Row],[Transactions]]</calculatedColumnFormula>
      <totalsRowFormula>SUBTOTAL(9, Buckets_3_24[After T])</totalsRowFormula>
    </tableColumn>
    <tableColumn id="4" xr3:uid="{B288EEC3-D3FE-4E00-9034-7EFB632AFBD5}" name="Capacity" totalsRowFunction="custom" dataDxfId="49" totalsRowDxfId="48" dataCellStyle="Currency">
      <calculatedColumnFormula>GE4</calculatedColumnFormula>
      <totalsRowFormula>SUBTOTAL(9, Buckets_3_24[Capacity])</totalsRowFormula>
    </tableColumn>
    <tableColumn id="5" xr3:uid="{27E34592-AF44-4F0F-AA1B-4D81D7684C28}" name="Cap Diff" totalsRowFunction="custom" dataDxfId="47" totalsRowDxfId="46" dataCellStyle="Currency">
      <calculatedColumnFormula>Buckets_3_24[[#This Row],[Capacity]]-Buckets_3_24[[#This Row],[After T]]</calculatedColumnFormula>
      <totalsRowFormula>SUBTOTAL(9, Buckets_3_24[Cap Diff])</totalsRowFormula>
    </tableColumn>
    <tableColumn id="9" xr3:uid="{EF1D4ABF-4B62-47BB-B431-9257EC28D06D}" name="Slush" totalsRowFunction="custom" dataDxfId="45" totalsRowDxfId="44" dataCellStyle="Currency">
      <calculatedColumnFormula>MAX(-Buckets_3_24[[#This Row],[Cap Diff]], 0)</calculatedColumnFormula>
      <totalsRowFormula>SUBTOTAL(9, Buckets_3_24[Slush])</totalsRowFormula>
    </tableColumn>
    <tableColumn id="10" xr3:uid="{7BE9B76D-3C48-4B7C-8995-9B153F148A2A}" name="Before Fill" dataDxfId="43" dataCellStyle="Currency">
      <calculatedColumnFormula>Buckets_3_24[[#This Row],[After T]]-Buckets_3_24[[#This Row],[Slush]]</calculatedColumnFormula>
    </tableColumn>
    <tableColumn id="12" xr3:uid="{0CDD43CB-7C8D-4C42-AAD1-AB55D0F6E929}" name="S Cap Diff" dataDxfId="42" dataCellStyle="Currency">
      <calculatedColumnFormula>Buckets_3_24[[#This Row],[Capacity]]-Buckets_3_24[[#This Row],[Before Fill]]</calculatedColumnFormula>
    </tableColumn>
    <tableColumn id="6" xr3:uid="{AB690D9C-5670-4DFE-9D74-9E68C90B29FF}" name="Is Crit" dataCellStyle="Normal">
      <calculatedColumnFormula>OR(GF4, Buckets_3_24[[#This Row],[After T]]&lt;0)</calculatedColumnFormula>
    </tableColumn>
    <tableColumn id="7" xr3:uid="{70E29A61-4BB0-4CB2-98FF-649E140472FC}" name="Crit To Fill" totalsRowFunction="custom" dataDxfId="41" totalsRowDxfId="40" dataCellStyle="Currency">
      <calculatedColumnFormula>IF(Buckets_3_24[[#This Row],[Is Crit]], Buckets_3_24[[#This Row],[S Cap Diff]], 0)</calculatedColumnFormula>
      <totalsRowFormula>SUBTOTAL(9, Buckets_3_24[Crit To Fill])</totalsRowFormula>
    </tableColumn>
    <tableColumn id="11" xr3:uid="{82157A0C-7FE6-4780-93C9-93CE48D73342}" name="Crit Filled" dataDxfId="39" dataCellStyle="Currency">
      <calculatedColumnFormula>Buckets_3_24[[#This Row],[Before Fill]]+Buckets_3_24[[#This Row],[Crit To Fill]]</calculatedColumnFormula>
    </tableColumn>
    <tableColumn id="8" xr3:uid="{A3B39FD0-AFAE-4A9B-B618-4ED6C9CEB0F9}" name="NC To Fill" totalsRowFunction="custom" dataDxfId="38" totalsRowDxfId="37" dataCellStyle="Currency">
      <calculatedColumnFormula>IF(NOT(Buckets_3_24[[#This Row],[Is Crit]]), Buckets_3_24[[#This Row],[S Cap Diff]], 0)</calculatedColumnFormula>
      <totalsRowFormula>SUBTOTAL(9,Buckets_3_24[NC To Fill])</totalsRowFormula>
    </tableColumn>
    <tableColumn id="13" xr3:uid="{81BFD222-C69C-44C0-9AB7-95A1B039E2EA}" name="Scaled" totalsRowFunction="custom" dataDxfId="36" totalsRowDxfId="35">
      <calculatedColumnFormula>GR$41/Buckets_3_24[[#Totals],[NC To Fill]]*Buckets_3_24[[#This Row],[NC To Fill]]</calculatedColumnFormula>
      <totalsRowFormula>SUBTOTAL(9, Buckets_3_24[Scaled])</totalsRowFormula>
    </tableColumn>
    <tableColumn id="14" xr3:uid="{0BEF3D82-3D40-4CED-A938-D0A575D0B688}" name="NC Filled" dataDxfId="34">
      <calculatedColumnFormula>Buckets_3_24[[#This Row],[Crit Filled]]+Buckets_3_24[[#This Row],[Scaled]]</calculatedColumnFormula>
    </tableColumn>
    <tableColumn id="15" xr3:uid="{0E31E2F2-E1D8-4B11-B05A-7A2FDF884CA9}" name="Final" totalsRowFunction="custom" dataDxfId="33" totalsRowDxfId="32">
      <calculatedColumnFormula>Buckets_3_24[[#This Row],[NC Filled]]</calculatedColumnFormula>
      <totalsRowFormula>SUBTOTAL(9, Buckets_3_24[Final])</totalsRowFormula>
    </tableColumn>
    <tableColumn id="16" xr3:uid="{52FC96A8-2522-442F-94FF-AE5F1AF18A0E}" name="Unfilled" totalsRowFunction="custom" dataDxfId="31" totalsRowDxfId="30">
      <calculatedColumnFormula>Buckets_3_24[[#This Row],[Capacity]]-Buckets_3_24[[#This Row],[Final]]</calculatedColumnFormula>
      <totalsRowFormula>SUBTOTAL(9, Buckets_3_24[Unfilled])</totalsRowFormula>
    </tableColumn>
    <tableColumn id="17" xr3:uid="{4FF5D790-3B42-4CC4-98F7-D411B145F77C}" name="% Filled" totalsRowFunction="custom" dataDxfId="29" totalsRowDxfId="28" dataCellStyle="Percent" totalsRowCellStyle="Percent">
      <calculatedColumnFormula>IF(Buckets_3_24[[#This Row],[Capacity]]=0, 1, Buckets_3_24[[#This Row],[Final]]/Buckets_3_24[[#This Row],[Capacity]])</calculatedColumnFormula>
      <totalsRowFormula>Buckets_3_24[[#Totals],[Final]]/Buckets_3_24[[#Totals],[Capacity]]</totalsRowFormula>
    </tableColumn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F316C53B-7546-4C0D-B3EC-4E7255B1A17D}" name="Buckets_4_24" displayName="Buckets_4_24" ref="HL3:IB36" totalsRowCount="1">
  <autoFilter ref="HL3:IB35" xr:uid="{F316C53B-7546-4C0D-B3EC-4E7255B1A17D}"/>
  <tableColumns count="17">
    <tableColumn id="1" xr3:uid="{59C0E2F3-9EC6-466D-9665-8CF23D10B907}" name="Start" totalsRowFunction="custom" dataDxfId="27" totalsRowDxfId="26" dataCellStyle="Currency">
      <calculatedColumnFormula>HH4</calculatedColumnFormula>
      <totalsRowFormula>SUBTOTAL(9, Buckets_4_24[Start])</totalsRowFormula>
    </tableColumn>
    <tableColumn id="2" xr3:uid="{8EE8D795-F277-455D-BCA0-7DDBEF95BC65}" name="Transactions" totalsRowFunction="custom" dataDxfId="25" totalsRowDxfId="24" dataCellStyle="Currency">
      <calculatedColumnFormula>GetTransactionTotal(AggregateTable2024[], AggregateTable2024[Start], HL$1, AggregateTable2024[#Headers], $D4)</calculatedColumnFormula>
      <totalsRowFormula>SUBTOTAL(9, Buckets_4_24[Transactions])</totalsRowFormula>
    </tableColumn>
    <tableColumn id="3" xr3:uid="{D713C5BA-ED1F-4262-B51B-4B2374B617D7}" name="After T" totalsRowFunction="custom" dataDxfId="23" totalsRowDxfId="22" dataCellStyle="Currency">
      <calculatedColumnFormula>Buckets_4_24[[#This Row],[Start]]+Buckets_4_24[[#This Row],[Transactions]]</calculatedColumnFormula>
      <totalsRowFormula>SUBTOTAL(9, Buckets_4_24[After T])</totalsRowFormula>
    </tableColumn>
    <tableColumn id="4" xr3:uid="{242B081D-C937-43A4-ACD0-901059AB6BC8}" name="Capacity" totalsRowFunction="custom" dataDxfId="21" totalsRowDxfId="20" dataCellStyle="Currency">
      <calculatedColumnFormula>HI4</calculatedColumnFormula>
      <totalsRowFormula>SUBTOTAL(9, Buckets_4_24[Capacity])</totalsRowFormula>
    </tableColumn>
    <tableColumn id="5" xr3:uid="{F7770055-35C2-434D-A9B9-2452C15710F6}" name="Cap Diff" totalsRowFunction="custom" dataDxfId="19" totalsRowDxfId="18" dataCellStyle="Currency">
      <calculatedColumnFormula>Buckets_4_24[[#This Row],[Capacity]]-Buckets_4_24[[#This Row],[After T]]</calculatedColumnFormula>
      <totalsRowFormula>SUBTOTAL(9, Buckets_4_24[Cap Diff])</totalsRowFormula>
    </tableColumn>
    <tableColumn id="9" xr3:uid="{3F91545F-D7B7-4059-BFFE-B23875C67402}" name="Slush" totalsRowFunction="custom" dataDxfId="17" totalsRowDxfId="16" dataCellStyle="Currency">
      <calculatedColumnFormula>MAX(-Buckets_4_24[[#This Row],[Cap Diff]], 0)</calculatedColumnFormula>
      <totalsRowFormula>SUBTOTAL(9, Buckets_4_24[Slush])</totalsRowFormula>
    </tableColumn>
    <tableColumn id="10" xr3:uid="{D2E449F9-24F8-4507-B250-06E588B467F7}" name="Before Fill" dataDxfId="15" dataCellStyle="Currency">
      <calculatedColumnFormula>Buckets_4_24[[#This Row],[After T]]-Buckets_4_24[[#This Row],[Slush]]</calculatedColumnFormula>
    </tableColumn>
    <tableColumn id="12" xr3:uid="{31CB0950-E1D8-491C-9234-045533DCC86F}" name="S Cap Diff" dataDxfId="14" dataCellStyle="Currency">
      <calculatedColumnFormula>Buckets_4_24[[#This Row],[Capacity]]-Buckets_4_24[[#This Row],[Before Fill]]</calculatedColumnFormula>
    </tableColumn>
    <tableColumn id="6" xr3:uid="{EF155262-8E0E-477A-BE64-86B45C9A444D}" name="Is Crit" dataCellStyle="Normal">
      <calculatedColumnFormula>OR(HJ4, Buckets_4_24[[#This Row],[After T]]&lt;0)</calculatedColumnFormula>
    </tableColumn>
    <tableColumn id="7" xr3:uid="{662A43B7-DA61-4584-A16F-EC3FA640E8C0}" name="Crit To Fill" totalsRowFunction="custom" dataDxfId="13" totalsRowDxfId="12" dataCellStyle="Currency">
      <calculatedColumnFormula>IF(Buckets_4_24[[#This Row],[Is Crit]], Buckets_4_24[[#This Row],[S Cap Diff]], 0)</calculatedColumnFormula>
      <totalsRowFormula>SUBTOTAL(9, Buckets_4_24[Crit To Fill])</totalsRowFormula>
    </tableColumn>
    <tableColumn id="11" xr3:uid="{96DBC2C0-E300-4ADE-99CD-D8AD404D5C47}" name="Crit Filled" dataDxfId="11" dataCellStyle="Currency">
      <calculatedColumnFormula>Buckets_4_24[[#This Row],[Before Fill]]+Buckets_4_24[[#This Row],[Crit To Fill]]</calculatedColumnFormula>
    </tableColumn>
    <tableColumn id="8" xr3:uid="{45959EDC-0607-4B0C-9A1F-C4291A43E4B2}" name="NC To Fill" totalsRowFunction="custom" dataDxfId="10" totalsRowDxfId="9" dataCellStyle="Currency">
      <calculatedColumnFormula>IF(NOT(Buckets_4_24[[#This Row],[Is Crit]]), Buckets_4_24[[#This Row],[S Cap Diff]], 0)</calculatedColumnFormula>
      <totalsRowFormula>SUBTOTAL(9,Buckets_4_24[NC To Fill])</totalsRowFormula>
    </tableColumn>
    <tableColumn id="13" xr3:uid="{46E12FC2-2592-41AE-B604-867B30471478}" name="Scaled" totalsRowFunction="custom" dataDxfId="8" totalsRowDxfId="7">
      <calculatedColumnFormula>HV$41/Buckets_4_24[[#Totals],[NC To Fill]]*Buckets_4_24[[#This Row],[NC To Fill]]</calculatedColumnFormula>
      <totalsRowFormula>SUBTOTAL(9, Buckets_4_24[Scaled])</totalsRowFormula>
    </tableColumn>
    <tableColumn id="14" xr3:uid="{9066605D-363C-441C-BF68-3799EE16FAD4}" name="NC Filled" dataDxfId="6">
      <calculatedColumnFormula>Buckets_4_24[[#This Row],[Crit Filled]]+Buckets_4_24[[#This Row],[Scaled]]</calculatedColumnFormula>
    </tableColumn>
    <tableColumn id="15" xr3:uid="{49E2DD40-5F01-48E3-B32C-2A808AA5EBAD}" name="Final" totalsRowFunction="custom" dataDxfId="5" totalsRowDxfId="4">
      <calculatedColumnFormula>Buckets_4_24[[#This Row],[NC Filled]]</calculatedColumnFormula>
      <totalsRowFormula>SUBTOTAL(9, Buckets_4_24[Final])</totalsRowFormula>
    </tableColumn>
    <tableColumn id="16" xr3:uid="{948F8440-EFB2-45DF-9D38-1AC84DE61B47}" name="Unfilled" totalsRowFunction="custom" dataDxfId="3" totalsRowDxfId="2">
      <calculatedColumnFormula>Buckets_4_24[[#This Row],[Capacity]]-Buckets_4_24[[#This Row],[Final]]</calculatedColumnFormula>
      <totalsRowFormula>SUBTOTAL(9, Buckets_4_24[Unfilled])</totalsRowFormula>
    </tableColumn>
    <tableColumn id="17" xr3:uid="{30AF7881-56A1-497B-88D7-4FDB5B8F03F0}" name="% Filled" totalsRowFunction="custom" dataDxfId="1" totalsRowDxfId="0" dataCellStyle="Percent" totalsRowCellStyle="Percent">
      <calculatedColumnFormula>IF(Buckets_4_24[[#This Row],[Capacity]]=0, 1, Buckets_4_24[[#This Row],[Final]]/Buckets_4_24[[#This Row],[Capacity]])</calculatedColumnFormula>
      <totalsRowFormula>Buckets_4_24[[#Totals],[Final]]/Buckets_4_24[[#Totals],[Capacity]]</totalsRow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1.xml"/><Relationship Id="rId3" Type="http://schemas.openxmlformats.org/officeDocument/2006/relationships/table" Target="../tables/table6.xml"/><Relationship Id="rId7" Type="http://schemas.openxmlformats.org/officeDocument/2006/relationships/table" Target="../tables/table10.xml"/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9.xml"/><Relationship Id="rId5" Type="http://schemas.openxmlformats.org/officeDocument/2006/relationships/table" Target="../tables/table8.xml"/><Relationship Id="rId4" Type="http://schemas.openxmlformats.org/officeDocument/2006/relationships/table" Target="../tables/table7.xml"/><Relationship Id="rId9" Type="http://schemas.openxmlformats.org/officeDocument/2006/relationships/table" Target="../tables/table1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V218"/>
  <sheetViews>
    <sheetView tabSelected="1" topLeftCell="K1" workbookViewId="0">
      <selection activeCell="Q122" sqref="Q122"/>
    </sheetView>
  </sheetViews>
  <sheetFormatPr defaultRowHeight="15" x14ac:dyDescent="0.25"/>
  <cols>
    <col min="1" max="1" width="10.7109375" bestFit="1" customWidth="1"/>
    <col min="2" max="2" width="36.7109375" bestFit="1" customWidth="1"/>
    <col min="3" max="3" width="47.85546875" bestFit="1" customWidth="1"/>
    <col min="4" max="4" width="21.140625" bestFit="1" customWidth="1"/>
    <col min="5" max="5" width="12" bestFit="1" customWidth="1"/>
    <col min="6" max="6" width="10.28515625" bestFit="1" customWidth="1"/>
    <col min="7" max="7" width="10.42578125" bestFit="1" customWidth="1"/>
    <col min="8" max="8" width="9.5703125" bestFit="1" customWidth="1"/>
    <col min="9" max="9" width="15.7109375" bestFit="1" customWidth="1"/>
    <col min="10" max="10" width="23.28515625" bestFit="1" customWidth="1"/>
    <col min="11" max="11" width="13.28515625" bestFit="1" customWidth="1"/>
    <col min="12" max="12" width="12.5703125" bestFit="1" customWidth="1"/>
    <col min="13" max="13" width="10.85546875" bestFit="1" customWidth="1"/>
    <col min="14" max="14" width="10.7109375" style="1" bestFit="1" customWidth="1"/>
    <col min="15" max="15" width="36.7109375" bestFit="1" customWidth="1"/>
    <col min="16" max="16" width="47.85546875" bestFit="1" customWidth="1"/>
    <col min="17" max="17" width="21.140625" bestFit="1" customWidth="1"/>
    <col min="18" max="18" width="10.42578125" style="10" bestFit="1" customWidth="1"/>
    <col min="19" max="19" width="8.7109375" bestFit="1" customWidth="1"/>
    <col min="20" max="20" width="20.85546875" bestFit="1" customWidth="1"/>
    <col min="21" max="21" width="4.28515625" bestFit="1" customWidth="1"/>
    <col min="22" max="22" width="36" customWidth="1"/>
  </cols>
  <sheetData>
    <row r="1" spans="1:22" x14ac:dyDescent="0.25">
      <c r="A1" s="44" t="s">
        <v>254</v>
      </c>
      <c r="B1" s="44"/>
      <c r="C1" s="44"/>
      <c r="D1" s="44"/>
      <c r="E1" s="44"/>
      <c r="F1" s="44"/>
      <c r="G1" t="s">
        <v>194</v>
      </c>
      <c r="H1" s="45" t="s">
        <v>255</v>
      </c>
      <c r="I1" s="45"/>
      <c r="J1" s="45"/>
      <c r="K1" s="45"/>
      <c r="L1" s="45"/>
      <c r="M1" s="45"/>
      <c r="N1" s="46" t="s">
        <v>262</v>
      </c>
      <c r="O1" s="46"/>
      <c r="P1" s="46"/>
      <c r="Q1" s="46"/>
      <c r="R1" s="46"/>
      <c r="S1" s="46"/>
      <c r="T1" t="s">
        <v>311</v>
      </c>
      <c r="U1" t="s">
        <v>365</v>
      </c>
      <c r="V1" t="s">
        <v>334</v>
      </c>
    </row>
    <row r="2" spans="1:22" x14ac:dyDescent="0.25">
      <c r="A2" s="2" t="s">
        <v>263</v>
      </c>
      <c r="B2" s="2" t="s">
        <v>264</v>
      </c>
      <c r="C2" s="2" t="s">
        <v>265</v>
      </c>
      <c r="D2" s="2" t="s">
        <v>266</v>
      </c>
      <c r="E2" s="2" t="s">
        <v>267</v>
      </c>
      <c r="F2" s="2" t="s">
        <v>268</v>
      </c>
      <c r="G2" s="2" t="s">
        <v>194</v>
      </c>
      <c r="H2" s="2" t="s">
        <v>256</v>
      </c>
      <c r="I2" s="2" t="s">
        <v>257</v>
      </c>
      <c r="J2" s="2" t="s">
        <v>258</v>
      </c>
      <c r="K2" s="2" t="s">
        <v>259</v>
      </c>
      <c r="L2" s="2" t="s">
        <v>260</v>
      </c>
      <c r="M2" s="3" t="s">
        <v>261</v>
      </c>
      <c r="N2" s="1" t="s">
        <v>0</v>
      </c>
      <c r="O2" t="s">
        <v>1</v>
      </c>
      <c r="P2" t="s">
        <v>2</v>
      </c>
      <c r="Q2" t="s">
        <v>3</v>
      </c>
      <c r="R2" s="10" t="s">
        <v>4</v>
      </c>
      <c r="S2" t="s">
        <v>5</v>
      </c>
      <c r="T2" t="s">
        <v>311</v>
      </c>
      <c r="U2" t="s">
        <v>365</v>
      </c>
      <c r="V2" t="s">
        <v>334</v>
      </c>
    </row>
    <row r="3" spans="1:22" x14ac:dyDescent="0.25">
      <c r="A3" s="4">
        <v>45290</v>
      </c>
      <c r="B3" s="5" t="s">
        <v>71</v>
      </c>
      <c r="C3" s="5" t="s">
        <v>72</v>
      </c>
      <c r="D3" s="5" t="s">
        <v>73</v>
      </c>
      <c r="E3" s="5">
        <v>823.79</v>
      </c>
      <c r="F3" s="5" t="s">
        <v>9</v>
      </c>
      <c r="G3" s="5" t="s">
        <v>195</v>
      </c>
      <c r="H3" s="4">
        <v>45293</v>
      </c>
      <c r="I3" s="5"/>
      <c r="J3" s="5"/>
      <c r="K3" s="5"/>
      <c r="L3" s="5">
        <v>0</v>
      </c>
      <c r="M3" s="6"/>
      <c r="N3" s="1">
        <f>IF( ISBLANK(LogTable2023[[#This Row],[Date_o]]), IF(ISBLANK(LogTable2023[[#This Row],[Date_i]]), "", LogTable2023[[#This Row],[Date_i]]), LogTable2023[[#This Row],[Date_o]])</f>
        <v>45293</v>
      </c>
      <c r="O3" t="str">
        <f>IF( ISBLANK(LogTable2023[[#This Row],[Description_o]]), IF(ISBLANK(LogTable2023[[#This Row],[Description_i]]), "", LogTable2023[[#This Row],[Description_i]]), LogTable2023[[#This Row],[Description_o]])</f>
        <v>USAA Credit Card</v>
      </c>
      <c r="P3" t="str">
        <f>IF( ISBLANK(LogTable2023[[#This Row],[Original Description_o]]), IF(ISBLANK(LogTable2023[[#This Row],[Original Description_i]]), "", LogTable2023[[#This Row],[Original Description_i]]), LogTable2023[[#This Row],[Original Description_o]])</f>
        <v>USAA CREDIT CARD PAYMENT SAN ANTONIO  TX</v>
      </c>
      <c r="Q3" t="str">
        <f>IF( ISBLANK(LogTable2023[[#This Row],[Category_o]]), IF(ISBLANK(LogTable2023[[#This Row],[Category_i]]), "", LogTable2023[[#This Row],[Category_i]]), LogTable2023[[#This Row],[Category_o]])</f>
        <v>Transfer</v>
      </c>
      <c r="R3" s="10">
        <f>IF( ISBLANK(LogTable2023[[#This Row],[Amount_o]]), IF(ISBLANK(LogTable2023[[#This Row],[Amount_i]]), "", LogTable2023[[#This Row],[Amount_i]]), LogTable2023[[#This Row],[Amount_o]])</f>
        <v>0</v>
      </c>
      <c r="S3" s="1" t="str">
        <f>IF( ISBLANK(LogTable2023[[#This Row],[Status_o]]), IF(ISBLANK(LogTable2023[[#This Row],[Status_i]]), "", LogTable2023[[#This Row],[Status_i]]), LogTable2023[[#This Row],[Status_o]])</f>
        <v>Posted</v>
      </c>
      <c r="T3" t="s">
        <v>307</v>
      </c>
      <c r="U3" t="str">
        <f>IF( _xlfn.IFNA(MATCH(LogTable2023[[#This Row],[My Category]], Buckets!$D$4:$D$35, 0), FALSE), ".", "E")</f>
        <v>.</v>
      </c>
      <c r="V3" t="s">
        <v>515</v>
      </c>
    </row>
    <row r="4" spans="1:22" hidden="1" x14ac:dyDescent="0.25">
      <c r="A4" s="4">
        <v>45289</v>
      </c>
      <c r="B4" s="5" t="s">
        <v>74</v>
      </c>
      <c r="C4" s="5" t="s">
        <v>75</v>
      </c>
      <c r="D4" s="5" t="s">
        <v>76</v>
      </c>
      <c r="E4" s="5">
        <v>-14.83</v>
      </c>
      <c r="F4" s="5" t="s">
        <v>9</v>
      </c>
      <c r="G4" s="5" t="s">
        <v>195</v>
      </c>
      <c r="H4" s="5"/>
      <c r="I4" s="5"/>
      <c r="J4" s="5"/>
      <c r="K4" s="5"/>
      <c r="L4" s="5"/>
      <c r="M4" s="6"/>
      <c r="N4" s="1">
        <f>IF( ISBLANK(LogTable2023[[#This Row],[Date_o]]), IF(ISBLANK(LogTable2023[[#This Row],[Date_i]]), "", LogTable2023[[#This Row],[Date_i]]), LogTable2023[[#This Row],[Date_o]])</f>
        <v>45289</v>
      </c>
      <c r="O4" t="str">
        <f>IF( ISBLANK(LogTable2023[[#This Row],[Description_o]]), IF(ISBLANK(LogTable2023[[#This Row],[Description_i]]), "", LogTable2023[[#This Row],[Description_i]]), LogTable2023[[#This Row],[Description_o]])</f>
        <v>Lyft</v>
      </c>
      <c r="P4" t="str">
        <f>IF( ISBLANK(LogTable2023[[#This Row],[Original Description_o]]), IF(ISBLANK(LogTable2023[[#This Row],[Original Description_i]]), "", LogTable2023[[#This Row],[Original Description_i]]), LogTable2023[[#This Row],[Original Description_o]])</f>
        <v>PAYPAL *LYFT TEMP AUTH HO402-935-7733 CA</v>
      </c>
      <c r="Q4" t="str">
        <f>IF( ISBLANK(LogTable2023[[#This Row],[Category_o]]), IF(ISBLANK(LogTable2023[[#This Row],[Category_i]]), "", LogTable2023[[#This Row],[Category_i]]), LogTable2023[[#This Row],[Category_o]])</f>
        <v>Rental Car &amp; Taxi</v>
      </c>
      <c r="R4" s="10">
        <f>IF( ISBLANK(LogTable2023[[#This Row],[Amount_o]]), IF(ISBLANK(LogTable2023[[#This Row],[Amount_i]]), "", LogTable2023[[#This Row],[Amount_i]]), LogTable2023[[#This Row],[Amount_o]])</f>
        <v>-14.83</v>
      </c>
      <c r="S4" s="1" t="str">
        <f>IF( ISBLANK(LogTable2023[[#This Row],[Status_o]]), IF(ISBLANK(LogTable2023[[#This Row],[Status_i]]), "", LogTable2023[[#This Row],[Status_i]]), LogTable2023[[#This Row],[Status_o]])</f>
        <v>Posted</v>
      </c>
      <c r="T4" t="s">
        <v>291</v>
      </c>
      <c r="U4" t="str">
        <f>IF( _xlfn.IFNA(MATCH(LogTable2023[[#This Row],[My Category]], Buckets!$D$4:$D$35, 0), FALSE), ".", "E")</f>
        <v>.</v>
      </c>
      <c r="V4" t="s">
        <v>438</v>
      </c>
    </row>
    <row r="5" spans="1:22" hidden="1" x14ac:dyDescent="0.25">
      <c r="A5" s="4">
        <v>45289</v>
      </c>
      <c r="B5" s="5" t="s">
        <v>407</v>
      </c>
      <c r="C5" s="5" t="s">
        <v>408</v>
      </c>
      <c r="D5" s="5" t="s">
        <v>409</v>
      </c>
      <c r="E5" s="5">
        <v>-10.5</v>
      </c>
      <c r="F5" s="5" t="s">
        <v>9</v>
      </c>
      <c r="G5" s="5" t="s">
        <v>195</v>
      </c>
      <c r="H5" s="5"/>
      <c r="I5" s="5"/>
      <c r="J5" s="5"/>
      <c r="K5" s="5"/>
      <c r="L5" s="5"/>
      <c r="M5" s="6"/>
      <c r="N5" s="1">
        <f>IF( ISBLANK(LogTable2023[[#This Row],[Date_o]]), IF(ISBLANK(LogTable2023[[#This Row],[Date_i]]), "", LogTable2023[[#This Row],[Date_i]]), LogTable2023[[#This Row],[Date_o]])</f>
        <v>45289</v>
      </c>
      <c r="O5" t="str">
        <f>IF( ISBLANK(LogTable2023[[#This Row],[Description_o]]), IF(ISBLANK(LogTable2023[[#This Row],[Description_i]]), "", LogTable2023[[#This Row],[Description_i]]), LogTable2023[[#This Row],[Description_o]])</f>
        <v>East Dia</v>
      </c>
      <c r="P5" t="str">
        <f>IF( ISBLANK(LogTable2023[[#This Row],[Original Description_o]]), IF(ISBLANK(LogTable2023[[#This Row],[Original Description_i]]), "", LogTable2023[[#This Row],[Original Description_i]]), LogTable2023[[#This Row],[Original Description_o]])</f>
        <v>RTD EAST DIA             DENVER       CO</v>
      </c>
      <c r="Q5" t="str">
        <f>IF( ISBLANK(LogTable2023[[#This Row],[Category_o]]), IF(ISBLANK(LogTable2023[[#This Row],[Category_i]]), "", LogTable2023[[#This Row],[Category_i]]), LogTable2023[[#This Row],[Category_o]])</f>
        <v>Travel</v>
      </c>
      <c r="R5" s="10">
        <f>IF( ISBLANK(LogTable2023[[#This Row],[Amount_o]]), IF(ISBLANK(LogTable2023[[#This Row],[Amount_i]]), "", LogTable2023[[#This Row],[Amount_i]]), LogTable2023[[#This Row],[Amount_o]])</f>
        <v>-10.5</v>
      </c>
      <c r="S5" s="1" t="str">
        <f>IF( ISBLANK(LogTable2023[[#This Row],[Status_o]]), IF(ISBLANK(LogTable2023[[#This Row],[Status_i]]), "", LogTable2023[[#This Row],[Status_i]]), LogTable2023[[#This Row],[Status_o]])</f>
        <v>Posted</v>
      </c>
      <c r="T5" t="s">
        <v>291</v>
      </c>
      <c r="U5" t="str">
        <f>IF( _xlfn.IFNA(MATCH(LogTable2023[[#This Row],[My Category]], Buckets!$D$4:$D$35, 0), FALSE), ".", "E")</f>
        <v>.</v>
      </c>
      <c r="V5" t="s">
        <v>438</v>
      </c>
    </row>
    <row r="6" spans="1:22" hidden="1" x14ac:dyDescent="0.25">
      <c r="A6" s="4">
        <v>45289</v>
      </c>
      <c r="B6" s="5" t="s">
        <v>410</v>
      </c>
      <c r="C6" s="5" t="s">
        <v>411</v>
      </c>
      <c r="D6" s="5" t="s">
        <v>35</v>
      </c>
      <c r="E6" s="5">
        <v>-12.9</v>
      </c>
      <c r="F6" s="5" t="s">
        <v>9</v>
      </c>
      <c r="G6" s="5" t="s">
        <v>195</v>
      </c>
      <c r="H6" s="5"/>
      <c r="I6" s="5"/>
      <c r="J6" s="5"/>
      <c r="K6" s="5"/>
      <c r="L6" s="5"/>
      <c r="M6" s="6"/>
      <c r="N6" s="1">
        <f>IF( ISBLANK(LogTable2023[[#This Row],[Date_o]]), IF(ISBLANK(LogTable2023[[#This Row],[Date_i]]), "", LogTable2023[[#This Row],[Date_i]]), LogTable2023[[#This Row],[Date_o]])</f>
        <v>45289</v>
      </c>
      <c r="O6" t="str">
        <f>IF( ISBLANK(LogTable2023[[#This Row],[Description_o]]), IF(ISBLANK(LogTable2023[[#This Row],[Description_i]]), "", LogTable2023[[#This Row],[Description_i]]), LogTable2023[[#This Row],[Description_o]])</f>
        <v>The Grateful Gnome</v>
      </c>
      <c r="P6" t="str">
        <f>IF( ISBLANK(LogTable2023[[#This Row],[Original Description_o]]), IF(ISBLANK(LogTable2023[[#This Row],[Original Description_i]]), "", LogTable2023[[#This Row],[Original Description_i]]), LogTable2023[[#This Row],[Original Description_o]])</f>
        <v>THE GRATEFUL GNOME       973-8858125  CO</v>
      </c>
      <c r="Q6" t="str">
        <f>IF( ISBLANK(LogTable2023[[#This Row],[Category_o]]), IF(ISBLANK(LogTable2023[[#This Row],[Category_i]]), "", LogTable2023[[#This Row],[Category_i]]), LogTable2023[[#This Row],[Category_o]])</f>
        <v>Alcohol &amp; Bars</v>
      </c>
      <c r="R6" s="10">
        <f>IF( ISBLANK(LogTable2023[[#This Row],[Amount_o]]), IF(ISBLANK(LogTable2023[[#This Row],[Amount_i]]), "", LogTable2023[[#This Row],[Amount_i]]), LogTable2023[[#This Row],[Amount_o]])</f>
        <v>-12.9</v>
      </c>
      <c r="S6" s="1" t="str">
        <f>IF( ISBLANK(LogTable2023[[#This Row],[Status_o]]), IF(ISBLANK(LogTable2023[[#This Row],[Status_i]]), "", LogTable2023[[#This Row],[Status_i]]), LogTable2023[[#This Row],[Status_o]])</f>
        <v>Posted</v>
      </c>
      <c r="T6" t="s">
        <v>348</v>
      </c>
      <c r="U6" t="str">
        <f>IF( _xlfn.IFNA(MATCH(LogTable2023[[#This Row],[My Category]], Buckets!$D$4:$D$35, 0), FALSE), ".", "E")</f>
        <v>.</v>
      </c>
    </row>
    <row r="7" spans="1:22" hidden="1" x14ac:dyDescent="0.25">
      <c r="A7" s="4">
        <v>45288</v>
      </c>
      <c r="B7" s="5" t="s">
        <v>196</v>
      </c>
      <c r="C7" s="5" t="s">
        <v>197</v>
      </c>
      <c r="D7" s="5" t="s">
        <v>198</v>
      </c>
      <c r="E7" s="5">
        <v>5579.1</v>
      </c>
      <c r="F7" s="5" t="s">
        <v>9</v>
      </c>
      <c r="G7" s="5" t="s">
        <v>269</v>
      </c>
      <c r="H7" s="5"/>
      <c r="I7" s="5"/>
      <c r="J7" s="5"/>
      <c r="K7" s="5"/>
      <c r="L7" s="5"/>
      <c r="M7" s="6"/>
      <c r="N7" s="1">
        <f>IF( ISBLANK(LogTable2023[[#This Row],[Date_o]]), IF(ISBLANK(LogTable2023[[#This Row],[Date_i]]), "", LogTable2023[[#This Row],[Date_i]]), LogTable2023[[#This Row],[Date_o]])</f>
        <v>45288</v>
      </c>
      <c r="O7" t="str">
        <f>IF( ISBLANK(LogTable2023[[#This Row],[Description_o]]), IF(ISBLANK(LogTable2023[[#This Row],[Description_i]]), "", LogTable2023[[#This Row],[Description_i]]), LogTable2023[[#This Row],[Description_o]])</f>
        <v>Insperity</v>
      </c>
      <c r="P7" t="str">
        <f>IF( ISBLANK(LogTable2023[[#This Row],[Original Description_o]]), IF(ISBLANK(LogTable2023[[#This Row],[Original Description_i]]), "", LogTable2023[[#This Row],[Original Description_i]]), LogTable2023[[#This Row],[Original Description_o]])</f>
        <v>ASF, DBA Insperi PAYROLL    ***********5626</v>
      </c>
      <c r="Q7" t="str">
        <f>IF( ISBLANK(LogTable2023[[#This Row],[Category_o]]), IF(ISBLANK(LogTable2023[[#This Row],[Category_i]]), "", LogTable2023[[#This Row],[Category_i]]), LogTable2023[[#This Row],[Category_o]])</f>
        <v>Paycheck</v>
      </c>
      <c r="R7" s="10">
        <f>IF( ISBLANK(LogTable2023[[#This Row],[Amount_o]]), IF(ISBLANK(LogTable2023[[#This Row],[Amount_i]]), "", LogTable2023[[#This Row],[Amount_i]]), LogTable2023[[#This Row],[Amount_o]])</f>
        <v>5579.1</v>
      </c>
      <c r="S7" s="1" t="str">
        <f>IF( ISBLANK(LogTable2023[[#This Row],[Status_o]]), IF(ISBLANK(LogTable2023[[#This Row],[Status_i]]), "", LogTable2023[[#This Row],[Status_i]]), LogTable2023[[#This Row],[Status_o]])</f>
        <v>Posted</v>
      </c>
      <c r="T7" t="s">
        <v>305</v>
      </c>
      <c r="U7" t="str">
        <f>IF( _xlfn.IFNA(MATCH(LogTable2023[[#This Row],[My Category]], Buckets!$D$4:$D$35, 0), FALSE), ".", "E")</f>
        <v>.</v>
      </c>
    </row>
    <row r="8" spans="1:22" hidden="1" x14ac:dyDescent="0.25">
      <c r="A8" s="4">
        <v>45287</v>
      </c>
      <c r="B8" s="5" t="s">
        <v>412</v>
      </c>
      <c r="C8" s="5" t="s">
        <v>413</v>
      </c>
      <c r="D8" s="5" t="s">
        <v>414</v>
      </c>
      <c r="E8" s="5">
        <v>-39.49</v>
      </c>
      <c r="F8" s="5" t="s">
        <v>9</v>
      </c>
      <c r="G8" s="5" t="s">
        <v>195</v>
      </c>
      <c r="H8" s="5"/>
      <c r="I8" s="5"/>
      <c r="J8" s="5"/>
      <c r="K8" s="5"/>
      <c r="L8" s="5"/>
      <c r="M8" s="6"/>
      <c r="N8" s="1">
        <f>IF( ISBLANK(LogTable2023[[#This Row],[Date_o]]), IF(ISBLANK(LogTable2023[[#This Row],[Date_i]]), "", LogTable2023[[#This Row],[Date_i]]), LogTable2023[[#This Row],[Date_o]])</f>
        <v>45287</v>
      </c>
      <c r="O8" t="str">
        <f>IF( ISBLANK(LogTable2023[[#This Row],[Description_o]]), IF(ISBLANK(LogTable2023[[#This Row],[Description_i]]), "", LogTable2023[[#This Row],[Description_i]]), LogTable2023[[#This Row],[Description_o]])</f>
        <v>Hallmark</v>
      </c>
      <c r="P8" t="str">
        <f>IF( ISBLANK(LogTable2023[[#This Row],[Original Description_o]]), IF(ISBLANK(LogTable2023[[#This Row],[Original Description_i]]), "", LogTable2023[[#This Row],[Original Description_i]]), LogTable2023[[#This Row],[Original Description_o]])</f>
        <v>KARENS HALLMARK 15       HOUSTON      TX</v>
      </c>
      <c r="Q8" t="str">
        <f>IF( ISBLANK(LogTable2023[[#This Row],[Category_o]]), IF(ISBLANK(LogTable2023[[#This Row],[Category_i]]), "", LogTable2023[[#This Row],[Category_i]]), LogTable2023[[#This Row],[Category_o]])</f>
        <v>Gift</v>
      </c>
      <c r="R8" s="10">
        <f>IF( ISBLANK(LogTable2023[[#This Row],[Amount_o]]), IF(ISBLANK(LogTable2023[[#This Row],[Amount_i]]), "", LogTable2023[[#This Row],[Amount_i]]), LogTable2023[[#This Row],[Amount_o]])</f>
        <v>-39.49</v>
      </c>
      <c r="S8" s="1" t="str">
        <f>IF( ISBLANK(LogTable2023[[#This Row],[Status_o]]), IF(ISBLANK(LogTable2023[[#This Row],[Status_i]]), "", LogTable2023[[#This Row],[Status_i]]), LogTable2023[[#This Row],[Status_o]])</f>
        <v>Posted</v>
      </c>
      <c r="T8" t="s">
        <v>304</v>
      </c>
      <c r="U8" t="str">
        <f>IF( _xlfn.IFNA(MATCH(LogTable2023[[#This Row],[My Category]], Buckets!$D$4:$D$35, 0), FALSE), ".", "E")</f>
        <v>.</v>
      </c>
    </row>
    <row r="9" spans="1:22" hidden="1" x14ac:dyDescent="0.25">
      <c r="A9" s="4">
        <v>45286</v>
      </c>
      <c r="B9" s="5" t="s">
        <v>201</v>
      </c>
      <c r="C9" s="5" t="s">
        <v>202</v>
      </c>
      <c r="D9" s="5" t="s">
        <v>203</v>
      </c>
      <c r="E9" s="5">
        <v>0.08</v>
      </c>
      <c r="F9" s="5" t="s">
        <v>9</v>
      </c>
      <c r="G9" s="5" t="s">
        <v>269</v>
      </c>
      <c r="H9" s="5"/>
      <c r="I9" s="5"/>
      <c r="J9" s="5"/>
      <c r="K9" s="5"/>
      <c r="L9" s="5"/>
      <c r="M9" s="6"/>
      <c r="N9" s="1">
        <f>IF( ISBLANK(LogTable2023[[#This Row],[Date_o]]), IF(ISBLANK(LogTable2023[[#This Row],[Date_i]]), "", LogTable2023[[#This Row],[Date_i]]), LogTable2023[[#This Row],[Date_o]])</f>
        <v>45286</v>
      </c>
      <c r="O9" t="str">
        <f>IF( ISBLANK(LogTable2023[[#This Row],[Description_o]]), IF(ISBLANK(LogTable2023[[#This Row],[Description_i]]), "", LogTable2023[[#This Row],[Description_i]]), LogTable2023[[#This Row],[Description_o]])</f>
        <v>Interest Paid</v>
      </c>
      <c r="P9" t="str">
        <f>IF( ISBLANK(LogTable2023[[#This Row],[Original Description_o]]), IF(ISBLANK(LogTable2023[[#This Row],[Original Description_i]]), "", LogTable2023[[#This Row],[Original Description_i]]), LogTable2023[[#This Row],[Original Description_o]])</f>
        <v>INTEREST PAID</v>
      </c>
      <c r="Q9" t="str">
        <f>IF( ISBLANK(LogTable2023[[#This Row],[Category_o]]), IF(ISBLANK(LogTable2023[[#This Row],[Category_i]]), "", LogTable2023[[#This Row],[Category_i]]), LogTable2023[[#This Row],[Category_o]])</f>
        <v>Interest Income</v>
      </c>
      <c r="R9" s="10">
        <f>IF( ISBLANK(LogTable2023[[#This Row],[Amount_o]]), IF(ISBLANK(LogTable2023[[#This Row],[Amount_i]]), "", LogTable2023[[#This Row],[Amount_i]]), LogTable2023[[#This Row],[Amount_o]])</f>
        <v>0.08</v>
      </c>
      <c r="S9" s="1" t="str">
        <f>IF( ISBLANK(LogTable2023[[#This Row],[Status_o]]), IF(ISBLANK(LogTable2023[[#This Row],[Status_i]]), "", LogTable2023[[#This Row],[Status_i]]), LogTable2023[[#This Row],[Status_o]])</f>
        <v>Posted</v>
      </c>
      <c r="T9" t="s">
        <v>306</v>
      </c>
      <c r="U9" t="str">
        <f>IF( _xlfn.IFNA(MATCH(LogTable2023[[#This Row],[My Category]], Buckets!$D$4:$D$35, 0), FALSE), ".", "E")</f>
        <v>.</v>
      </c>
    </row>
    <row r="10" spans="1:22" hidden="1" x14ac:dyDescent="0.25">
      <c r="A10" s="4">
        <v>45286</v>
      </c>
      <c r="B10" s="5" t="s">
        <v>415</v>
      </c>
      <c r="C10" s="5" t="s">
        <v>416</v>
      </c>
      <c r="D10" s="5" t="s">
        <v>21</v>
      </c>
      <c r="E10" s="5">
        <v>-115.01</v>
      </c>
      <c r="F10" s="5" t="s">
        <v>9</v>
      </c>
      <c r="G10" s="5" t="s">
        <v>195</v>
      </c>
      <c r="H10" s="5"/>
      <c r="I10" s="5"/>
      <c r="J10" s="5"/>
      <c r="K10" s="5"/>
      <c r="L10" s="5"/>
      <c r="M10" s="6"/>
      <c r="N10" s="1">
        <f>IF( ISBLANK(LogTable2023[[#This Row],[Date_o]]), IF(ISBLANK(LogTable2023[[#This Row],[Date_i]]), "", LogTable2023[[#This Row],[Date_i]]), LogTable2023[[#This Row],[Date_o]])</f>
        <v>45286</v>
      </c>
      <c r="O10" t="str">
        <f>IF( ISBLANK(LogTable2023[[#This Row],[Description_o]]), IF(ISBLANK(LogTable2023[[#This Row],[Description_i]]), "", LogTable2023[[#This Row],[Description_i]]), LogTable2023[[#This Row],[Description_o]])</f>
        <v>Birraporettis</v>
      </c>
      <c r="P10" t="str">
        <f>IF( ISBLANK(LogTable2023[[#This Row],[Original Description_o]]), IF(ISBLANK(LogTable2023[[#This Row],[Original Description_i]]), "", LogTable2023[[#This Row],[Original Description_i]]), LogTable2023[[#This Row],[Original Description_o]])</f>
        <v>BIRRAPORETTIS            713-2249494  TX</v>
      </c>
      <c r="Q10" t="str">
        <f>IF( ISBLANK(LogTable2023[[#This Row],[Category_o]]), IF(ISBLANK(LogTable2023[[#This Row],[Category_i]]), "", LogTable2023[[#This Row],[Category_i]]), LogTable2023[[#This Row],[Category_o]])</f>
        <v>Restaurants</v>
      </c>
      <c r="R10" s="10">
        <f>IF( ISBLANK(LogTable2023[[#This Row],[Amount_o]]), IF(ISBLANK(LogTable2023[[#This Row],[Amount_i]]), "", LogTable2023[[#This Row],[Amount_i]]), LogTable2023[[#This Row],[Amount_o]])</f>
        <v>-115.01</v>
      </c>
      <c r="S10" s="1" t="str">
        <f>IF( ISBLANK(LogTable2023[[#This Row],[Status_o]]), IF(ISBLANK(LogTable2023[[#This Row],[Status_i]]), "", LogTable2023[[#This Row],[Status_i]]), LogTable2023[[#This Row],[Status_o]])</f>
        <v>Posted</v>
      </c>
      <c r="T10" t="s">
        <v>291</v>
      </c>
      <c r="U10" t="str">
        <f>IF( _xlfn.IFNA(MATCH(LogTable2023[[#This Row],[My Category]], Buckets!$D$4:$D$35, 0), FALSE), ".", "E")</f>
        <v>.</v>
      </c>
      <c r="V10" t="s">
        <v>433</v>
      </c>
    </row>
    <row r="11" spans="1:22" hidden="1" x14ac:dyDescent="0.25">
      <c r="A11" s="4">
        <v>45284</v>
      </c>
      <c r="B11" s="5" t="s">
        <v>108</v>
      </c>
      <c r="C11" s="5" t="s">
        <v>109</v>
      </c>
      <c r="D11" s="5" t="s">
        <v>186</v>
      </c>
      <c r="E11" s="5">
        <v>25</v>
      </c>
      <c r="F11" s="5" t="s">
        <v>9</v>
      </c>
      <c r="G11" s="5" t="s">
        <v>195</v>
      </c>
      <c r="H11" s="5"/>
      <c r="I11" s="5"/>
      <c r="J11" s="5"/>
      <c r="K11" s="5"/>
      <c r="L11" s="5"/>
      <c r="M11" s="6"/>
      <c r="N11" s="1">
        <f>IF( ISBLANK(LogTable2023[[#This Row],[Date_o]]), IF(ISBLANK(LogTable2023[[#This Row],[Date_i]]), "", LogTable2023[[#This Row],[Date_i]]), LogTable2023[[#This Row],[Date_o]])</f>
        <v>45284</v>
      </c>
      <c r="O11" t="str">
        <f>IF( ISBLANK(LogTable2023[[#This Row],[Description_o]]), IF(ISBLANK(LogTable2023[[#This Row],[Description_i]]), "", LogTable2023[[#This Row],[Description_i]]), LogTable2023[[#This Row],[Description_o]])</f>
        <v>Recurring Reward Points Redemption</v>
      </c>
      <c r="P11" t="str">
        <f>IF( ISBLANK(LogTable2023[[#This Row],[Original Description_o]]), IF(ISBLANK(LogTable2023[[#This Row],[Original Description_i]]), "", LogTable2023[[#This Row],[Original Description_i]]), LogTable2023[[#This Row],[Original Description_o]])</f>
        <v>RECURRING REWARD POINTS REDEMPTION</v>
      </c>
      <c r="Q11" t="str">
        <f>IF( ISBLANK(LogTable2023[[#This Row],[Category_o]]), IF(ISBLANK(LogTable2023[[#This Row],[Category_i]]), "", LogTable2023[[#This Row],[Category_i]]), LogTable2023[[#This Row],[Category_o]])</f>
        <v>Credit Card Payment</v>
      </c>
      <c r="R11" s="10">
        <f>IF( ISBLANK(LogTable2023[[#This Row],[Amount_o]]), IF(ISBLANK(LogTable2023[[#This Row],[Amount_i]]), "", LogTable2023[[#This Row],[Amount_i]]), LogTable2023[[#This Row],[Amount_o]])</f>
        <v>25</v>
      </c>
      <c r="S11" s="1" t="str">
        <f>IF( ISBLANK(LogTable2023[[#This Row],[Status_o]]), IF(ISBLANK(LogTable2023[[#This Row],[Status_i]]), "", LogTable2023[[#This Row],[Status_i]]), LogTable2023[[#This Row],[Status_o]])</f>
        <v>Posted</v>
      </c>
      <c r="T11" t="s">
        <v>306</v>
      </c>
      <c r="U11" t="str">
        <f>IF( _xlfn.IFNA(MATCH(LogTable2023[[#This Row],[My Category]], Buckets!$D$4:$D$35, 0), FALSE), ".", "E")</f>
        <v>.</v>
      </c>
    </row>
    <row r="12" spans="1:22" hidden="1" x14ac:dyDescent="0.25">
      <c r="A12" s="4">
        <v>45283</v>
      </c>
      <c r="B12" s="5" t="s">
        <v>131</v>
      </c>
      <c r="C12" s="5" t="s">
        <v>417</v>
      </c>
      <c r="D12" s="5" t="s">
        <v>125</v>
      </c>
      <c r="E12" s="5">
        <v>-14.06</v>
      </c>
      <c r="F12" s="5" t="s">
        <v>9</v>
      </c>
      <c r="G12" s="5" t="s">
        <v>195</v>
      </c>
      <c r="H12" s="5"/>
      <c r="I12" s="5"/>
      <c r="J12" s="5"/>
      <c r="K12" s="5"/>
      <c r="L12" s="5"/>
      <c r="M12" s="6"/>
      <c r="N12" s="1">
        <f>IF( ISBLANK(LogTable2023[[#This Row],[Date_o]]), IF(ISBLANK(LogTable2023[[#This Row],[Date_i]]), "", LogTable2023[[#This Row],[Date_i]]), LogTable2023[[#This Row],[Date_o]])</f>
        <v>45283</v>
      </c>
      <c r="O12" t="str">
        <f>IF( ISBLANK(LogTable2023[[#This Row],[Description_o]]), IF(ISBLANK(LogTable2023[[#This Row],[Description_i]]), "", LogTable2023[[#This Row],[Description_i]]), LogTable2023[[#This Row],[Description_o]])</f>
        <v>Kindle</v>
      </c>
      <c r="P12" t="str">
        <f>IF( ISBLANK(LogTable2023[[#This Row],[Original Description_o]]), IF(ISBLANK(LogTable2023[[#This Row],[Original Description_i]]), "", LogTable2023[[#This Row],[Original Description_i]]), LogTable2023[[#This Row],[Original Description_o]])</f>
        <v>Kindle Svcs*GC7ZI6A63    888-802-3080 WA</v>
      </c>
      <c r="Q12" t="str">
        <f>IF( ISBLANK(LogTable2023[[#This Row],[Category_o]]), IF(ISBLANK(LogTable2023[[#This Row],[Category_i]]), "", LogTable2023[[#This Row],[Category_i]]), LogTable2023[[#This Row],[Category_o]])</f>
        <v>Books</v>
      </c>
      <c r="R12" s="10">
        <f>IF( ISBLANK(LogTable2023[[#This Row],[Amount_o]]), IF(ISBLANK(LogTable2023[[#This Row],[Amount_i]]), "", LogTable2023[[#This Row],[Amount_i]]), LogTable2023[[#This Row],[Amount_o]])</f>
        <v>-14.06</v>
      </c>
      <c r="S12" s="1" t="str">
        <f>IF( ISBLANK(LogTable2023[[#This Row],[Status_o]]), IF(ISBLANK(LogTable2023[[#This Row],[Status_i]]), "", LogTable2023[[#This Row],[Status_i]]), LogTable2023[[#This Row],[Status_o]])</f>
        <v>Posted</v>
      </c>
      <c r="T12" t="s">
        <v>125</v>
      </c>
      <c r="U12" t="str">
        <f>IF( _xlfn.IFNA(MATCH(LogTable2023[[#This Row],[My Category]], Buckets!$D$4:$D$35, 0), FALSE), ".", "E")</f>
        <v>.</v>
      </c>
    </row>
    <row r="13" spans="1:22" hidden="1" x14ac:dyDescent="0.25">
      <c r="A13" s="4">
        <v>45283</v>
      </c>
      <c r="B13" s="5" t="s">
        <v>131</v>
      </c>
      <c r="C13" s="5" t="s">
        <v>418</v>
      </c>
      <c r="D13" s="5" t="s">
        <v>125</v>
      </c>
      <c r="E13" s="5">
        <v>-10.81</v>
      </c>
      <c r="F13" s="5" t="s">
        <v>9</v>
      </c>
      <c r="G13" s="5" t="s">
        <v>195</v>
      </c>
      <c r="H13" s="5"/>
      <c r="I13" s="5"/>
      <c r="J13" s="5"/>
      <c r="K13" s="5"/>
      <c r="L13" s="5"/>
      <c r="M13" s="6"/>
      <c r="N13" s="1">
        <f>IF( ISBLANK(LogTable2023[[#This Row],[Date_o]]), IF(ISBLANK(LogTable2023[[#This Row],[Date_i]]), "", LogTable2023[[#This Row],[Date_i]]), LogTable2023[[#This Row],[Date_o]])</f>
        <v>45283</v>
      </c>
      <c r="O13" t="str">
        <f>IF( ISBLANK(LogTable2023[[#This Row],[Description_o]]), IF(ISBLANK(LogTable2023[[#This Row],[Description_i]]), "", LogTable2023[[#This Row],[Description_i]]), LogTable2023[[#This Row],[Description_o]])</f>
        <v>Kindle</v>
      </c>
      <c r="P13" t="str">
        <f>IF( ISBLANK(LogTable2023[[#This Row],[Original Description_o]]), IF(ISBLANK(LogTable2023[[#This Row],[Original Description_i]]), "", LogTable2023[[#This Row],[Original Description_i]]), LogTable2023[[#This Row],[Original Description_o]])</f>
        <v>Kindle Svcs*J57YI2MI3    888-802-3080 WA</v>
      </c>
      <c r="Q13" t="str">
        <f>IF( ISBLANK(LogTable2023[[#This Row],[Category_o]]), IF(ISBLANK(LogTable2023[[#This Row],[Category_i]]), "", LogTable2023[[#This Row],[Category_i]]), LogTable2023[[#This Row],[Category_o]])</f>
        <v>Books</v>
      </c>
      <c r="R13" s="10">
        <f>IF( ISBLANK(LogTable2023[[#This Row],[Amount_o]]), IF(ISBLANK(LogTable2023[[#This Row],[Amount_i]]), "", LogTable2023[[#This Row],[Amount_i]]), LogTable2023[[#This Row],[Amount_o]])</f>
        <v>-10.81</v>
      </c>
      <c r="S13" s="1" t="str">
        <f>IF( ISBLANK(LogTable2023[[#This Row],[Status_o]]), IF(ISBLANK(LogTable2023[[#This Row],[Status_i]]), "", LogTable2023[[#This Row],[Status_i]]), LogTable2023[[#This Row],[Status_o]])</f>
        <v>Posted</v>
      </c>
      <c r="T13" t="s">
        <v>125</v>
      </c>
      <c r="U13" t="str">
        <f>IF( _xlfn.IFNA(MATCH(LogTable2023[[#This Row],[My Category]], Buckets!$D$4:$D$35, 0), FALSE), ".", "E")</f>
        <v>.</v>
      </c>
    </row>
    <row r="14" spans="1:22" hidden="1" x14ac:dyDescent="0.25">
      <c r="A14" s="4">
        <v>45283</v>
      </c>
      <c r="B14" s="5" t="s">
        <v>74</v>
      </c>
      <c r="C14" s="5" t="s">
        <v>75</v>
      </c>
      <c r="D14" s="5" t="s">
        <v>76</v>
      </c>
      <c r="E14" s="5">
        <v>-62.26</v>
      </c>
      <c r="F14" s="5" t="s">
        <v>9</v>
      </c>
      <c r="G14" s="5" t="s">
        <v>195</v>
      </c>
      <c r="H14" s="5"/>
      <c r="I14" s="5"/>
      <c r="J14" s="5"/>
      <c r="K14" s="5"/>
      <c r="L14" s="5"/>
      <c r="M14" s="6"/>
      <c r="N14" s="1">
        <f>IF( ISBLANK(LogTable2023[[#This Row],[Date_o]]), IF(ISBLANK(LogTable2023[[#This Row],[Date_i]]), "", LogTable2023[[#This Row],[Date_i]]), LogTable2023[[#This Row],[Date_o]])</f>
        <v>45283</v>
      </c>
      <c r="O14" t="str">
        <f>IF( ISBLANK(LogTable2023[[#This Row],[Description_o]]), IF(ISBLANK(LogTable2023[[#This Row],[Description_i]]), "", LogTable2023[[#This Row],[Description_i]]), LogTable2023[[#This Row],[Description_o]])</f>
        <v>Lyft</v>
      </c>
      <c r="P14" t="str">
        <f>IF( ISBLANK(LogTable2023[[#This Row],[Original Description_o]]), IF(ISBLANK(LogTable2023[[#This Row],[Original Description_i]]), "", LogTable2023[[#This Row],[Original Description_i]]), LogTable2023[[#This Row],[Original Description_o]])</f>
        <v>PAYPAL *LYFT TEMP AUTH HO402-935-7733 CA</v>
      </c>
      <c r="Q14" t="str">
        <f>IF( ISBLANK(LogTable2023[[#This Row],[Category_o]]), IF(ISBLANK(LogTable2023[[#This Row],[Category_i]]), "", LogTable2023[[#This Row],[Category_i]]), LogTable2023[[#This Row],[Category_o]])</f>
        <v>Rental Car &amp; Taxi</v>
      </c>
      <c r="R14" s="10">
        <f>IF( ISBLANK(LogTable2023[[#This Row],[Amount_o]]), IF(ISBLANK(LogTable2023[[#This Row],[Amount_i]]), "", LogTable2023[[#This Row],[Amount_i]]), LogTable2023[[#This Row],[Amount_o]])</f>
        <v>-62.26</v>
      </c>
      <c r="S14" s="1" t="str">
        <f>IF( ISBLANK(LogTable2023[[#This Row],[Status_o]]), IF(ISBLANK(LogTable2023[[#This Row],[Status_i]]), "", LogTable2023[[#This Row],[Status_i]]), LogTable2023[[#This Row],[Status_o]])</f>
        <v>Posted</v>
      </c>
      <c r="T14" t="s">
        <v>291</v>
      </c>
      <c r="U14" t="str">
        <f>IF( _xlfn.IFNA(MATCH(LogTable2023[[#This Row],[My Category]], Buckets!$D$4:$D$35, 0), FALSE), ".", "E")</f>
        <v>.</v>
      </c>
      <c r="V14" t="s">
        <v>438</v>
      </c>
    </row>
    <row r="15" spans="1:22" hidden="1" x14ac:dyDescent="0.25">
      <c r="A15" s="4">
        <v>45281</v>
      </c>
      <c r="B15" s="5" t="s">
        <v>45</v>
      </c>
      <c r="C15" s="5" t="s">
        <v>46</v>
      </c>
      <c r="D15" s="5" t="s">
        <v>47</v>
      </c>
      <c r="E15" s="5">
        <v>-27.27</v>
      </c>
      <c r="F15" s="5" t="s">
        <v>9</v>
      </c>
      <c r="G15" s="5" t="s">
        <v>195</v>
      </c>
      <c r="H15" s="5"/>
      <c r="I15" s="5"/>
      <c r="J15" s="5"/>
      <c r="K15" s="5"/>
      <c r="L15" s="5"/>
      <c r="M15" s="6"/>
      <c r="N15" s="1">
        <f>IF( ISBLANK(LogTable2023[[#This Row],[Date_o]]), IF(ISBLANK(LogTable2023[[#This Row],[Date_i]]), "", LogTable2023[[#This Row],[Date_i]]), LogTable2023[[#This Row],[Date_o]])</f>
        <v>45281</v>
      </c>
      <c r="O15" t="str">
        <f>IF( ISBLANK(LogTable2023[[#This Row],[Description_o]]), IF(ISBLANK(LogTable2023[[#This Row],[Description_i]]), "", LogTable2023[[#This Row],[Description_i]]), LogTable2023[[#This Row],[Description_o]])</f>
        <v>Lucy's Burger Bar</v>
      </c>
      <c r="P15" t="str">
        <f>IF( ISBLANK(LogTable2023[[#This Row],[Original Description_o]]), IF(ISBLANK(LogTable2023[[#This Row],[Original Description_i]]), "", LogTable2023[[#This Row],[Original Description_i]]), LogTable2023[[#This Row],[Original Description_o]])</f>
        <v>TST* LUCY'S BURGER BAR   612-202-3545 CO</v>
      </c>
      <c r="Q15" t="str">
        <f>IF( ISBLANK(LogTable2023[[#This Row],[Category_o]]), IF(ISBLANK(LogTable2023[[#This Row],[Category_i]]), "", LogTable2023[[#This Row],[Category_i]]), LogTable2023[[#This Row],[Category_o]])</f>
        <v>Food &amp; Dining</v>
      </c>
      <c r="R15" s="10">
        <f>IF( ISBLANK(LogTable2023[[#This Row],[Amount_o]]), IF(ISBLANK(LogTable2023[[#This Row],[Amount_i]]), "", LogTable2023[[#This Row],[Amount_i]]), LogTable2023[[#This Row],[Amount_o]])</f>
        <v>-27.27</v>
      </c>
      <c r="S15" s="1" t="str">
        <f>IF( ISBLANK(LogTable2023[[#This Row],[Status_o]]), IF(ISBLANK(LogTable2023[[#This Row],[Status_i]]), "", LogTable2023[[#This Row],[Status_i]]), LogTable2023[[#This Row],[Status_o]])</f>
        <v>Posted</v>
      </c>
      <c r="T15" t="s">
        <v>348</v>
      </c>
      <c r="U15" t="str">
        <f>IF( _xlfn.IFNA(MATCH(LogTable2023[[#This Row],[My Category]], Buckets!$D$4:$D$35, 0), FALSE), ".", "E")</f>
        <v>.</v>
      </c>
    </row>
    <row r="16" spans="1:22" hidden="1" x14ac:dyDescent="0.25">
      <c r="A16" s="4">
        <v>45279</v>
      </c>
      <c r="B16" s="5" t="s">
        <v>57</v>
      </c>
      <c r="C16" s="5" t="s">
        <v>58</v>
      </c>
      <c r="D16" s="5" t="s">
        <v>47</v>
      </c>
      <c r="E16" s="5">
        <v>-16.170000000000002</v>
      </c>
      <c r="F16" s="5" t="s">
        <v>9</v>
      </c>
      <c r="G16" s="5" t="s">
        <v>195</v>
      </c>
      <c r="H16" s="5"/>
      <c r="I16" s="5"/>
      <c r="J16" s="5"/>
      <c r="K16" s="5"/>
      <c r="L16" s="5"/>
      <c r="M16" s="6"/>
      <c r="N16" s="1">
        <f>IF( ISBLANK(LogTable2023[[#This Row],[Date_o]]), IF(ISBLANK(LogTable2023[[#This Row],[Date_i]]), "", LogTable2023[[#This Row],[Date_i]]), LogTable2023[[#This Row],[Date_o]])</f>
        <v>45279</v>
      </c>
      <c r="O16" t="str">
        <f>IF( ISBLANK(LogTable2023[[#This Row],[Description_o]]), IF(ISBLANK(LogTable2023[[#This Row],[Description_i]]), "", LogTable2023[[#This Row],[Description_i]]), LogTable2023[[#This Row],[Description_o]])</f>
        <v>Mugi Ramen and Poke</v>
      </c>
      <c r="P16" t="str">
        <f>IF( ISBLANK(LogTable2023[[#This Row],[Original Description_o]]), IF(ISBLANK(LogTable2023[[#This Row],[Original Description_i]]), "", LogTable2023[[#This Row],[Original Description_i]]), LogTable2023[[#This Row],[Original Description_o]])</f>
        <v>MUGI RAMEN AND POKE      WESTMINSTER  CO</v>
      </c>
      <c r="Q16" t="str">
        <f>IF( ISBLANK(LogTable2023[[#This Row],[Category_o]]), IF(ISBLANK(LogTable2023[[#This Row],[Category_i]]), "", LogTable2023[[#This Row],[Category_i]]), LogTable2023[[#This Row],[Category_o]])</f>
        <v>Food &amp; Dining</v>
      </c>
      <c r="R16" s="10">
        <f>IF( ISBLANK(LogTable2023[[#This Row],[Amount_o]]), IF(ISBLANK(LogTable2023[[#This Row],[Amount_i]]), "", LogTable2023[[#This Row],[Amount_i]]), LogTable2023[[#This Row],[Amount_o]])</f>
        <v>-16.170000000000002</v>
      </c>
      <c r="S16" s="1" t="str">
        <f>IF( ISBLANK(LogTable2023[[#This Row],[Status_o]]), IF(ISBLANK(LogTable2023[[#This Row],[Status_i]]), "", LogTable2023[[#This Row],[Status_i]]), LogTable2023[[#This Row],[Status_o]])</f>
        <v>Posted</v>
      </c>
      <c r="T16" t="s">
        <v>348</v>
      </c>
      <c r="U16" t="str">
        <f>IF( _xlfn.IFNA(MATCH(LogTable2023[[#This Row],[My Category]], Buckets!$D$4:$D$35, 0), FALSE), ".", "E")</f>
        <v>.</v>
      </c>
    </row>
    <row r="17" spans="1:22" hidden="1" x14ac:dyDescent="0.25">
      <c r="A17" s="4">
        <v>45279</v>
      </c>
      <c r="B17" s="5" t="s">
        <v>419</v>
      </c>
      <c r="C17" s="5" t="s">
        <v>420</v>
      </c>
      <c r="D17" s="5" t="s">
        <v>12</v>
      </c>
      <c r="E17" s="5">
        <v>-113.4</v>
      </c>
      <c r="F17" s="5" t="s">
        <v>9</v>
      </c>
      <c r="G17" s="5" t="s">
        <v>195</v>
      </c>
      <c r="H17" s="5"/>
      <c r="I17" s="5"/>
      <c r="J17" s="5"/>
      <c r="K17" s="5"/>
      <c r="L17" s="5"/>
      <c r="M17" s="6"/>
      <c r="N17" s="1">
        <f>IF( ISBLANK(LogTable2023[[#This Row],[Date_o]]), IF(ISBLANK(LogTable2023[[#This Row],[Date_i]]), "", LogTable2023[[#This Row],[Date_i]]), LogTable2023[[#This Row],[Date_o]])</f>
        <v>45279</v>
      </c>
      <c r="O17" t="str">
        <f>IF( ISBLANK(LogTable2023[[#This Row],[Description_o]]), IF(ISBLANK(LogTable2023[[#This Row],[Description_i]]), "", LogTable2023[[#This Row],[Description_i]]), LogTable2023[[#This Row],[Description_o]])</f>
        <v>Swiss Flower &amp; Gift</v>
      </c>
      <c r="P17" t="str">
        <f>IF( ISBLANK(LogTable2023[[#This Row],[Original Description_o]]), IF(ISBLANK(LogTable2023[[#This Row],[Original Description_i]]), "", LogTable2023[[#This Row],[Original Description_i]]), LogTable2023[[#This Row],[Original Description_o]])</f>
        <v>SWISS FLOWER &amp; GIFT      WHEAT RIDGE  CO</v>
      </c>
      <c r="Q17" t="str">
        <f>IF( ISBLANK(LogTable2023[[#This Row],[Category_o]]), IF(ISBLANK(LogTable2023[[#This Row],[Category_i]]), "", LogTable2023[[#This Row],[Category_i]]), LogTable2023[[#This Row],[Category_o]])</f>
        <v>Shopping</v>
      </c>
      <c r="R17" s="10">
        <f>IF( ISBLANK(LogTable2023[[#This Row],[Amount_o]]), IF(ISBLANK(LogTable2023[[#This Row],[Amount_i]]), "", LogTable2023[[#This Row],[Amount_i]]), LogTable2023[[#This Row],[Amount_o]])</f>
        <v>-113.4</v>
      </c>
      <c r="S17" s="1" t="str">
        <f>IF( ISBLANK(LogTable2023[[#This Row],[Status_o]]), IF(ISBLANK(LogTable2023[[#This Row],[Status_i]]), "", LogTable2023[[#This Row],[Status_i]]), LogTable2023[[#This Row],[Status_o]])</f>
        <v>Posted</v>
      </c>
      <c r="T17" t="s">
        <v>304</v>
      </c>
      <c r="U17" t="str">
        <f>IF( _xlfn.IFNA(MATCH(LogTable2023[[#This Row],[My Category]], Buckets!$D$4:$D$35, 0), FALSE), ".", "E")</f>
        <v>.</v>
      </c>
      <c r="V17" t="s">
        <v>357</v>
      </c>
    </row>
    <row r="18" spans="1:22" hidden="1" x14ac:dyDescent="0.25">
      <c r="A18" s="4">
        <v>45279</v>
      </c>
      <c r="B18" s="5" t="s">
        <v>13</v>
      </c>
      <c r="C18" s="5" t="s">
        <v>14</v>
      </c>
      <c r="D18" s="5" t="s">
        <v>15</v>
      </c>
      <c r="E18" s="5">
        <v>-56.44</v>
      </c>
      <c r="F18" s="5" t="s">
        <v>9</v>
      </c>
      <c r="G18" s="5" t="s">
        <v>195</v>
      </c>
      <c r="H18" s="5"/>
      <c r="I18" s="5"/>
      <c r="J18" s="5"/>
      <c r="K18" s="5"/>
      <c r="L18" s="5"/>
      <c r="M18" s="6"/>
      <c r="N18" s="1">
        <f>IF( ISBLANK(LogTable2023[[#This Row],[Date_o]]), IF(ISBLANK(LogTable2023[[#This Row],[Date_i]]), "", LogTable2023[[#This Row],[Date_i]]), LogTable2023[[#This Row],[Date_o]])</f>
        <v>45279</v>
      </c>
      <c r="O18" t="str">
        <f>IF( ISBLANK(LogTable2023[[#This Row],[Description_o]]), IF(ISBLANK(LogTable2023[[#This Row],[Description_i]]), "", LogTable2023[[#This Row],[Description_i]]), LogTable2023[[#This Row],[Description_o]])</f>
        <v>King Soopers</v>
      </c>
      <c r="P18" t="str">
        <f>IF( ISBLANK(LogTable2023[[#This Row],[Original Description_o]]), IF(ISBLANK(LogTable2023[[#This Row],[Original Description_i]]), "", LogTable2023[[#This Row],[Original Description_i]]), LogTable2023[[#This Row],[Original Description_o]])</f>
        <v>KING SOOPERS #0057       WHEAT RIDGE  CO</v>
      </c>
      <c r="Q18" t="str">
        <f>IF( ISBLANK(LogTable2023[[#This Row],[Category_o]]), IF(ISBLANK(LogTable2023[[#This Row],[Category_i]]), "", LogTable2023[[#This Row],[Category_i]]), LogTable2023[[#This Row],[Category_o]])</f>
        <v>Groceries</v>
      </c>
      <c r="R18" s="10">
        <f>IF( ISBLANK(LogTable2023[[#This Row],[Amount_o]]), IF(ISBLANK(LogTable2023[[#This Row],[Amount_i]]), "", LogTable2023[[#This Row],[Amount_i]]), LogTable2023[[#This Row],[Amount_o]])</f>
        <v>-56.44</v>
      </c>
      <c r="S18" s="1" t="str">
        <f>IF( ISBLANK(LogTable2023[[#This Row],[Status_o]]), IF(ISBLANK(LogTable2023[[#This Row],[Status_i]]), "", LogTable2023[[#This Row],[Status_i]]), LogTable2023[[#This Row],[Status_o]])</f>
        <v>Posted</v>
      </c>
      <c r="T18" t="s">
        <v>15</v>
      </c>
      <c r="U18" t="str">
        <f>IF( _xlfn.IFNA(MATCH(LogTable2023[[#This Row],[My Category]], Buckets!$D$4:$D$35, 0), FALSE), ".", "E")</f>
        <v>.</v>
      </c>
    </row>
    <row r="19" spans="1:22" hidden="1" x14ac:dyDescent="0.25">
      <c r="A19" s="4">
        <v>45279</v>
      </c>
      <c r="B19" s="5" t="s">
        <v>421</v>
      </c>
      <c r="C19" s="5" t="s">
        <v>422</v>
      </c>
      <c r="D19" s="5" t="s">
        <v>116</v>
      </c>
      <c r="E19" s="5">
        <v>-20.65</v>
      </c>
      <c r="F19" s="5" t="s">
        <v>9</v>
      </c>
      <c r="G19" s="5" t="s">
        <v>195</v>
      </c>
      <c r="H19" s="5"/>
      <c r="I19" s="5"/>
      <c r="J19" s="5"/>
      <c r="K19" s="5"/>
      <c r="L19" s="5"/>
      <c r="M19" s="6"/>
      <c r="N19" s="1">
        <f>IF( ISBLANK(LogTable2023[[#This Row],[Date_o]]), IF(ISBLANK(LogTable2023[[#This Row],[Date_i]]), "", LogTable2023[[#This Row],[Date_i]]), LogTable2023[[#This Row],[Date_o]])</f>
        <v>45279</v>
      </c>
      <c r="O19" t="str">
        <f>IF( ISBLANK(LogTable2023[[#This Row],[Description_o]]), IF(ISBLANK(LogTable2023[[#This Row],[Description_i]]), "", LogTable2023[[#This Row],[Description_i]]), LogTable2023[[#This Row],[Description_o]])</f>
        <v>LAZ Parking</v>
      </c>
      <c r="P19" t="str">
        <f>IF( ISBLANK(LogTable2023[[#This Row],[Original Description_o]]), IF(ISBLANK(LogTable2023[[#This Row],[Original Description_i]]), "", LogTable2023[[#This Row],[Original Description_i]]), LogTable2023[[#This Row],[Original Description_o]])</f>
        <v>PAYPAL *LAZ PARKING ECOMM402-935-7733 CT</v>
      </c>
      <c r="Q19" t="str">
        <f>IF( ISBLANK(LogTable2023[[#This Row],[Category_o]]), IF(ISBLANK(LogTable2023[[#This Row],[Category_i]]), "", LogTable2023[[#This Row],[Category_i]]), LogTable2023[[#This Row],[Category_o]])</f>
        <v>Parking</v>
      </c>
      <c r="R19" s="10">
        <f>IF( ISBLANK(LogTable2023[[#This Row],[Amount_o]]), IF(ISBLANK(LogTable2023[[#This Row],[Amount_i]]), "", LogTable2023[[#This Row],[Amount_i]]), LogTable2023[[#This Row],[Amount_o]])</f>
        <v>-20.65</v>
      </c>
      <c r="S19" s="1" t="str">
        <f>IF( ISBLANK(LogTable2023[[#This Row],[Status_o]]), IF(ISBLANK(LogTable2023[[#This Row],[Status_i]]), "", LogTable2023[[#This Row],[Status_i]]), LogTable2023[[#This Row],[Status_o]])</f>
        <v>Posted</v>
      </c>
      <c r="T19" t="s">
        <v>287</v>
      </c>
      <c r="U19" t="str">
        <f>IF( _xlfn.IFNA(MATCH(LogTable2023[[#This Row],[My Category]], Buckets!$D$4:$D$35, 0), FALSE), ".", "E")</f>
        <v>.</v>
      </c>
      <c r="V19" t="s">
        <v>437</v>
      </c>
    </row>
    <row r="20" spans="1:22" hidden="1" x14ac:dyDescent="0.25">
      <c r="A20" s="4">
        <v>45277</v>
      </c>
      <c r="B20" s="5" t="s">
        <v>423</v>
      </c>
      <c r="C20" s="5" t="s">
        <v>424</v>
      </c>
      <c r="D20" s="5" t="s">
        <v>35</v>
      </c>
      <c r="E20" s="5">
        <v>-17.04</v>
      </c>
      <c r="F20" s="5" t="s">
        <v>9</v>
      </c>
      <c r="G20" s="5" t="s">
        <v>195</v>
      </c>
      <c r="H20" s="5"/>
      <c r="I20" s="5"/>
      <c r="J20" s="5"/>
      <c r="K20" s="5"/>
      <c r="L20" s="5"/>
      <c r="M20" s="6"/>
      <c r="N20" s="1">
        <f>IF( ISBLANK(LogTable2023[[#This Row],[Date_o]]), IF(ISBLANK(LogTable2023[[#This Row],[Date_i]]), "", LogTable2023[[#This Row],[Date_i]]), LogTable2023[[#This Row],[Date_o]])</f>
        <v>45277</v>
      </c>
      <c r="O20" t="str">
        <f>IF( ISBLANK(LogTable2023[[#This Row],[Description_o]]), IF(ISBLANK(LogTable2023[[#This Row],[Description_i]]), "", LogTable2023[[#This Row],[Description_i]]), LogTable2023[[#This Row],[Description_o]])</f>
        <v>Que Bueno Suerte</v>
      </c>
      <c r="P20" t="str">
        <f>IF( ISBLANK(LogTable2023[[#This Row],[Original Description_o]]), IF(ISBLANK(LogTable2023[[#This Row],[Original Description_i]]), "", LogTable2023[[#This Row],[Original Description_i]]), LogTable2023[[#This Row],[Original Description_o]])</f>
        <v>QUE BUENO SUERTE         DENVER       CO</v>
      </c>
      <c r="Q20" t="str">
        <f>IF( ISBLANK(LogTable2023[[#This Row],[Category_o]]), IF(ISBLANK(LogTable2023[[#This Row],[Category_i]]), "", LogTable2023[[#This Row],[Category_i]]), LogTable2023[[#This Row],[Category_o]])</f>
        <v>Alcohol &amp; Bars</v>
      </c>
      <c r="R20" s="10">
        <f>IF( ISBLANK(LogTable2023[[#This Row],[Amount_o]]), IF(ISBLANK(LogTable2023[[#This Row],[Amount_i]]), "", LogTable2023[[#This Row],[Amount_i]]), LogTable2023[[#This Row],[Amount_o]])</f>
        <v>-17.04</v>
      </c>
      <c r="S20" s="1" t="str">
        <f>IF( ISBLANK(LogTable2023[[#This Row],[Status_o]]), IF(ISBLANK(LogTable2023[[#This Row],[Status_i]]), "", LogTable2023[[#This Row],[Status_i]]), LogTable2023[[#This Row],[Status_o]])</f>
        <v>Posted</v>
      </c>
      <c r="T20" t="s">
        <v>287</v>
      </c>
      <c r="U20" t="str">
        <f>IF( _xlfn.IFNA(MATCH(LogTable2023[[#This Row],[My Category]], Buckets!$D$4:$D$35, 0), FALSE), ".", "E")</f>
        <v>.</v>
      </c>
      <c r="V20" t="s">
        <v>437</v>
      </c>
    </row>
    <row r="21" spans="1:22" hidden="1" x14ac:dyDescent="0.25">
      <c r="A21" s="4">
        <v>45276</v>
      </c>
      <c r="B21" s="5" t="s">
        <v>100</v>
      </c>
      <c r="C21" s="5" t="s">
        <v>101</v>
      </c>
      <c r="D21" s="5" t="s">
        <v>32</v>
      </c>
      <c r="E21" s="5">
        <v>-2</v>
      </c>
      <c r="F21" s="5" t="s">
        <v>9</v>
      </c>
      <c r="G21" s="5" t="s">
        <v>195</v>
      </c>
      <c r="H21" s="5"/>
      <c r="I21" s="5"/>
      <c r="J21" s="5"/>
      <c r="K21" s="5"/>
      <c r="L21" s="5"/>
      <c r="M21" s="6"/>
      <c r="N21" s="1">
        <f>IF( ISBLANK(LogTable2023[[#This Row],[Date_o]]), IF(ISBLANK(LogTable2023[[#This Row],[Date_i]]), "", LogTable2023[[#This Row],[Date_i]]), LogTable2023[[#This Row],[Date_o]])</f>
        <v>45276</v>
      </c>
      <c r="O21" t="str">
        <f>IF( ISBLANK(LogTable2023[[#This Row],[Description_o]]), IF(ISBLANK(LogTable2023[[#This Row],[Description_i]]), "", LogTable2023[[#This Row],[Description_i]]), LogTable2023[[#This Row],[Description_o]])</f>
        <v>Patreon</v>
      </c>
      <c r="P21" t="str">
        <f>IF( ISBLANK(LogTable2023[[#This Row],[Original Description_o]]), IF(ISBLANK(LogTable2023[[#This Row],[Original Description_i]]), "", LogTable2023[[#This Row],[Original Description_i]]), LogTable2023[[#This Row],[Original Description_o]])</f>
        <v>PAYPAL *PATREON INC  MEMB402-935-7733 CA</v>
      </c>
      <c r="Q21" t="str">
        <f>IF( ISBLANK(LogTable2023[[#This Row],[Category_o]]), IF(ISBLANK(LogTable2023[[#This Row],[Category_i]]), "", LogTable2023[[#This Row],[Category_i]]), LogTable2023[[#This Row],[Category_o]])</f>
        <v>Entertainment</v>
      </c>
      <c r="R21" s="10">
        <f>IF( ISBLANK(LogTable2023[[#This Row],[Amount_o]]), IF(ISBLANK(LogTable2023[[#This Row],[Amount_i]]), "", LogTable2023[[#This Row],[Amount_i]]), LogTable2023[[#This Row],[Amount_o]])</f>
        <v>-2</v>
      </c>
      <c r="S21" s="1" t="str">
        <f>IF( ISBLANK(LogTable2023[[#This Row],[Status_o]]), IF(ISBLANK(LogTable2023[[#This Row],[Status_i]]), "", LogTable2023[[#This Row],[Status_i]]), LogTable2023[[#This Row],[Status_o]])</f>
        <v>Posted</v>
      </c>
      <c r="T21" t="s">
        <v>288</v>
      </c>
      <c r="U21" t="str">
        <f>IF( _xlfn.IFNA(MATCH(LogTable2023[[#This Row],[My Category]], Buckets!$D$4:$D$35, 0), FALSE), ".", "E")</f>
        <v>.</v>
      </c>
    </row>
    <row r="22" spans="1:22" hidden="1" x14ac:dyDescent="0.25">
      <c r="A22" s="4">
        <v>45275</v>
      </c>
      <c r="B22" s="5" t="s">
        <v>79</v>
      </c>
      <c r="C22" s="5" t="s">
        <v>80</v>
      </c>
      <c r="D22" s="5" t="s">
        <v>81</v>
      </c>
      <c r="E22" s="5">
        <v>-10.65</v>
      </c>
      <c r="F22" s="5" t="s">
        <v>9</v>
      </c>
      <c r="G22" s="5" t="s">
        <v>195</v>
      </c>
      <c r="H22" s="5"/>
      <c r="I22" s="5"/>
      <c r="J22" s="5"/>
      <c r="K22" s="5"/>
      <c r="L22" s="5"/>
      <c r="M22" s="6"/>
      <c r="N22" s="1">
        <f>IF( ISBLANK(LogTable2023[[#This Row],[Date_o]]), IF(ISBLANK(LogTable2023[[#This Row],[Date_i]]), "", LogTable2023[[#This Row],[Date_i]]), LogTable2023[[#This Row],[Date_o]])</f>
        <v>45275</v>
      </c>
      <c r="O22" t="str">
        <f>IF( ISBLANK(LogTable2023[[#This Row],[Description_o]]), IF(ISBLANK(LogTable2023[[#This Row],[Description_i]]), "", LogTable2023[[#This Row],[Description_i]]), LogTable2023[[#This Row],[Description_o]])</f>
        <v>I Hop Ipa</v>
      </c>
      <c r="P22" t="str">
        <f>IF( ISBLANK(LogTable2023[[#This Row],[Original Description_o]]), IF(ISBLANK(LogTable2023[[#This Row],[Original Description_i]]), "", LogTable2023[[#This Row],[Original Description_i]]), LogTable2023[[#This Row],[Original Description_o]])</f>
        <v>SQ *I HOP IPA            BROOMFIELD   CO</v>
      </c>
      <c r="Q22" t="str">
        <f>IF( ISBLANK(LogTable2023[[#This Row],[Category_o]]), IF(ISBLANK(LogTable2023[[#This Row],[Category_i]]), "", LogTable2023[[#This Row],[Category_i]]), LogTable2023[[#This Row],[Category_o]])</f>
        <v>Business Services</v>
      </c>
      <c r="R22" s="10">
        <f>IF( ISBLANK(LogTable2023[[#This Row],[Amount_o]]), IF(ISBLANK(LogTable2023[[#This Row],[Amount_i]]), "", LogTable2023[[#This Row],[Amount_i]]), LogTable2023[[#This Row],[Amount_o]])</f>
        <v>-10.65</v>
      </c>
      <c r="S22" s="1" t="str">
        <f>IF( ISBLANK(LogTable2023[[#This Row],[Status_o]]), IF(ISBLANK(LogTable2023[[#This Row],[Status_i]]), "", LogTable2023[[#This Row],[Status_i]]), LogTable2023[[#This Row],[Status_o]])</f>
        <v>Posted</v>
      </c>
      <c r="T22" t="s">
        <v>337</v>
      </c>
      <c r="U22" t="str">
        <f>IF( _xlfn.IFNA(MATCH(LogTable2023[[#This Row],[My Category]], Buckets!$D$4:$D$35, 0), FALSE), ".", "E")</f>
        <v>.</v>
      </c>
    </row>
    <row r="23" spans="1:22" hidden="1" x14ac:dyDescent="0.25">
      <c r="A23" s="4">
        <v>45275</v>
      </c>
      <c r="B23" s="5" t="s">
        <v>425</v>
      </c>
      <c r="C23" s="5" t="s">
        <v>426</v>
      </c>
      <c r="D23" s="5" t="s">
        <v>27</v>
      </c>
      <c r="E23" s="5">
        <v>-8.01</v>
      </c>
      <c r="F23" s="5" t="s">
        <v>9</v>
      </c>
      <c r="G23" s="5" t="s">
        <v>195</v>
      </c>
      <c r="H23" s="5"/>
      <c r="I23" s="5"/>
      <c r="J23" s="5"/>
      <c r="K23" s="5"/>
      <c r="L23" s="5"/>
      <c r="M23" s="6"/>
      <c r="N23" s="1">
        <f>IF( ISBLANK(LogTable2023[[#This Row],[Date_o]]), IF(ISBLANK(LogTable2023[[#This Row],[Date_i]]), "", LogTable2023[[#This Row],[Date_i]]), LogTable2023[[#This Row],[Date_o]])</f>
        <v>45275</v>
      </c>
      <c r="O23" t="str">
        <f>IF( ISBLANK(LogTable2023[[#This Row],[Description_o]]), IF(ISBLANK(LogTable2023[[#This Row],[Description_i]]), "", LogTable2023[[#This Row],[Description_i]]), LogTable2023[[#This Row],[Description_o]])</f>
        <v>Out Thornton</v>
      </c>
      <c r="P23" t="str">
        <f>IF( ISBLANK(LogTable2023[[#This Row],[Original Description_o]]), IF(ISBLANK(LogTable2023[[#This Row],[Original Description_i]]), "", LogTable2023[[#This Row],[Original Description_i]]), LogTable2023[[#This Row],[Original Description_o]])</f>
        <v>IN-N-OUT THORNTON        THORNTON     CO</v>
      </c>
      <c r="Q23" t="str">
        <f>IF( ISBLANK(LogTable2023[[#This Row],[Category_o]]), IF(ISBLANK(LogTable2023[[#This Row],[Category_i]]), "", LogTable2023[[#This Row],[Category_i]]), LogTable2023[[#This Row],[Category_o]])</f>
        <v>Fast Food</v>
      </c>
      <c r="R23" s="10">
        <f>IF( ISBLANK(LogTable2023[[#This Row],[Amount_o]]), IF(ISBLANK(LogTable2023[[#This Row],[Amount_i]]), "", LogTable2023[[#This Row],[Amount_i]]), LogTable2023[[#This Row],[Amount_o]])</f>
        <v>-8.01</v>
      </c>
      <c r="S23" s="1" t="str">
        <f>IF( ISBLANK(LogTable2023[[#This Row],[Status_o]]), IF(ISBLANK(LogTable2023[[#This Row],[Status_i]]), "", LogTable2023[[#This Row],[Status_i]]), LogTable2023[[#This Row],[Status_o]])</f>
        <v>Posted</v>
      </c>
      <c r="T23" t="s">
        <v>348</v>
      </c>
      <c r="U23" t="str">
        <f>IF( _xlfn.IFNA(MATCH(LogTable2023[[#This Row],[My Category]], Buckets!$D$4:$D$35, 0), FALSE), ".", "E")</f>
        <v>.</v>
      </c>
    </row>
    <row r="24" spans="1:22" hidden="1" x14ac:dyDescent="0.25">
      <c r="A24" s="4">
        <v>45275</v>
      </c>
      <c r="B24" s="5" t="s">
        <v>77</v>
      </c>
      <c r="C24" s="5" t="s">
        <v>78</v>
      </c>
      <c r="D24" s="5" t="s">
        <v>32</v>
      </c>
      <c r="E24" s="5">
        <v>-21.65</v>
      </c>
      <c r="F24" s="5" t="s">
        <v>9</v>
      </c>
      <c r="G24" s="5" t="s">
        <v>195</v>
      </c>
      <c r="H24" s="5"/>
      <c r="I24" s="5"/>
      <c r="J24" s="5"/>
      <c r="K24" s="5"/>
      <c r="L24" s="5"/>
      <c r="M24" s="6"/>
      <c r="N24" s="1">
        <f>IF( ISBLANK(LogTable2023[[#This Row],[Date_o]]), IF(ISBLANK(LogTable2023[[#This Row],[Date_i]]), "", LogTable2023[[#This Row],[Date_i]]), LogTable2023[[#This Row],[Date_o]])</f>
        <v>45275</v>
      </c>
      <c r="O24" t="str">
        <f>IF( ISBLANK(LogTable2023[[#This Row],[Description_o]]), IF(ISBLANK(LogTable2023[[#This Row],[Description_i]]), "", LogTable2023[[#This Row],[Description_i]]), LogTable2023[[#This Row],[Description_o]])</f>
        <v>Steam</v>
      </c>
      <c r="P24" t="str">
        <f>IF( ISBLANK(LogTable2023[[#This Row],[Original Description_o]]), IF(ISBLANK(LogTable2023[[#This Row],[Original Description_i]]), "", LogTable2023[[#This Row],[Original Description_i]]), LogTable2023[[#This Row],[Original Description_o]])</f>
        <v>PAYPAL *STEAM GAMES      4259522985   WA</v>
      </c>
      <c r="Q24" t="str">
        <f>IF( ISBLANK(LogTable2023[[#This Row],[Category_o]]), IF(ISBLANK(LogTable2023[[#This Row],[Category_i]]), "", LogTable2023[[#This Row],[Category_i]]), LogTable2023[[#This Row],[Category_o]])</f>
        <v>Entertainment</v>
      </c>
      <c r="R24" s="10">
        <f>IF( ISBLANK(LogTable2023[[#This Row],[Amount_o]]), IF(ISBLANK(LogTable2023[[#This Row],[Amount_i]]), "", LogTable2023[[#This Row],[Amount_i]]), LogTable2023[[#This Row],[Amount_o]])</f>
        <v>-21.65</v>
      </c>
      <c r="S24" s="1" t="str">
        <f>IF( ISBLANK(LogTable2023[[#This Row],[Status_o]]), IF(ISBLANK(LogTable2023[[#This Row],[Status_i]]), "", LogTable2023[[#This Row],[Status_i]]), LogTable2023[[#This Row],[Status_o]])</f>
        <v>Posted</v>
      </c>
      <c r="T24" t="s">
        <v>289</v>
      </c>
      <c r="U24" t="str">
        <f>IF( _xlfn.IFNA(MATCH(LogTable2023[[#This Row],[My Category]], Buckets!$D$4:$D$35, 0), FALSE), ".", "E")</f>
        <v>.</v>
      </c>
    </row>
    <row r="25" spans="1:22" hidden="1" x14ac:dyDescent="0.25">
      <c r="A25" s="4">
        <v>45272</v>
      </c>
      <c r="B25" s="5" t="s">
        <v>204</v>
      </c>
      <c r="C25" s="5" t="s">
        <v>205</v>
      </c>
      <c r="D25" s="5" t="s">
        <v>206</v>
      </c>
      <c r="E25" s="5">
        <v>-163.71</v>
      </c>
      <c r="F25" s="5" t="s">
        <v>9</v>
      </c>
      <c r="G25" s="5" t="s">
        <v>269</v>
      </c>
      <c r="H25" s="5"/>
      <c r="I25" s="5"/>
      <c r="J25" s="5"/>
      <c r="K25" s="5"/>
      <c r="L25" s="5"/>
      <c r="M25" s="6"/>
      <c r="N25" s="1">
        <f>IF( ISBLANK(LogTable2023[[#This Row],[Date_o]]), IF(ISBLANK(LogTable2023[[#This Row],[Date_i]]), "", LogTable2023[[#This Row],[Date_i]]), LogTable2023[[#This Row],[Date_o]])</f>
        <v>45272</v>
      </c>
      <c r="O25" t="str">
        <f>IF( ISBLANK(LogTable2023[[#This Row],[Description_o]]), IF(ISBLANK(LogTable2023[[#This Row],[Description_i]]), "", LogTable2023[[#This Row],[Description_i]]), LogTable2023[[#This Row],[Description_o]])</f>
        <v>USAA Property and Casualty Insurance</v>
      </c>
      <c r="P25" t="str">
        <f>IF( ISBLANK(LogTable2023[[#This Row],[Original Description_o]]), IF(ISBLANK(LogTable2023[[#This Row],[Original Description_i]]), "", LogTable2023[[#This Row],[Original Description_i]]), LogTable2023[[#This Row],[Original Description_o]])</f>
        <v>USAA P&amp;C         AUTOPAY    ***********4530</v>
      </c>
      <c r="Q25" t="str">
        <f>IF( ISBLANK(LogTable2023[[#This Row],[Category_o]]), IF(ISBLANK(LogTable2023[[#This Row],[Category_i]]), "", LogTable2023[[#This Row],[Category_i]]), LogTable2023[[#This Row],[Category_o]])</f>
        <v>Financial</v>
      </c>
      <c r="R25" s="10">
        <f>IF( ISBLANK(LogTable2023[[#This Row],[Amount_o]]), IF(ISBLANK(LogTable2023[[#This Row],[Amount_i]]), "", LogTable2023[[#This Row],[Amount_i]]), LogTable2023[[#This Row],[Amount_o]])</f>
        <v>-163.71</v>
      </c>
      <c r="S25" s="1" t="str">
        <f>IF( ISBLANK(LogTable2023[[#This Row],[Status_o]]), IF(ISBLANK(LogTable2023[[#This Row],[Status_i]]), "", LogTable2023[[#This Row],[Status_i]]), LogTable2023[[#This Row],[Status_o]])</f>
        <v>Posted</v>
      </c>
      <c r="T25" t="s">
        <v>282</v>
      </c>
      <c r="U25" t="str">
        <f>IF( _xlfn.IFNA(MATCH(LogTable2023[[#This Row],[My Category]], Buckets!$D$4:$D$35, 0), FALSE), ".", "E")</f>
        <v>.</v>
      </c>
    </row>
    <row r="26" spans="1:22" hidden="1" x14ac:dyDescent="0.25">
      <c r="A26" s="4">
        <v>45271</v>
      </c>
      <c r="B26" s="5" t="s">
        <v>207</v>
      </c>
      <c r="C26" s="5" t="s">
        <v>208</v>
      </c>
      <c r="D26" s="5" t="s">
        <v>209</v>
      </c>
      <c r="E26" s="5">
        <v>-11.9</v>
      </c>
      <c r="F26" s="5" t="s">
        <v>9</v>
      </c>
      <c r="G26" s="5" t="s">
        <v>269</v>
      </c>
      <c r="H26" s="5"/>
      <c r="I26" s="5"/>
      <c r="J26" s="5"/>
      <c r="K26" s="5"/>
      <c r="L26" s="5"/>
      <c r="M26" s="6"/>
      <c r="N26" s="1">
        <f>IF( ISBLANK(LogTable2023[[#This Row],[Date_o]]), IF(ISBLANK(LogTable2023[[#This Row],[Date_i]]), "", LogTable2023[[#This Row],[Date_i]]), LogTable2023[[#This Row],[Date_o]])</f>
        <v>45271</v>
      </c>
      <c r="O26" t="str">
        <f>IF( ISBLANK(LogTable2023[[#This Row],[Description_o]]), IF(ISBLANK(LogTable2023[[#This Row],[Description_i]]), "", LogTable2023[[#This Row],[Description_i]]), LogTable2023[[#This Row],[Description_o]])</f>
        <v>Spotify</v>
      </c>
      <c r="P26" t="str">
        <f>IF( ISBLANK(LogTable2023[[#This Row],[Original Description_o]]), IF(ISBLANK(LogTable2023[[#This Row],[Original Description_i]]), "", LogTable2023[[#This Row],[Original Description_i]]), LogTable2023[[#This Row],[Original Description_o]])</f>
        <v>PAYPAL           INST XFER  ***********USAI</v>
      </c>
      <c r="Q26" t="str">
        <f>IF( ISBLANK(LogTable2023[[#This Row],[Category_o]]), IF(ISBLANK(LogTable2023[[#This Row],[Category_i]]), "", LogTable2023[[#This Row],[Category_i]]), LogTable2023[[#This Row],[Category_o]])</f>
        <v>Music</v>
      </c>
      <c r="R26" s="10">
        <f>IF( ISBLANK(LogTable2023[[#This Row],[Amount_o]]), IF(ISBLANK(LogTable2023[[#This Row],[Amount_i]]), "", LogTable2023[[#This Row],[Amount_i]]), LogTable2023[[#This Row],[Amount_o]])</f>
        <v>-11.9</v>
      </c>
      <c r="S26" s="1" t="str">
        <f>IF( ISBLANK(LogTable2023[[#This Row],[Status_o]]), IF(ISBLANK(LogTable2023[[#This Row],[Status_i]]), "", LogTable2023[[#This Row],[Status_i]]), LogTable2023[[#This Row],[Status_o]])</f>
        <v>Posted</v>
      </c>
      <c r="T26" t="s">
        <v>288</v>
      </c>
      <c r="U26" t="str">
        <f>IF( _xlfn.IFNA(MATCH(LogTable2023[[#This Row],[My Category]], Buckets!$D$4:$D$35, 0), FALSE), ".", "E")</f>
        <v>.</v>
      </c>
    </row>
    <row r="27" spans="1:22" hidden="1" x14ac:dyDescent="0.25">
      <c r="A27" s="4">
        <v>45271</v>
      </c>
      <c r="B27" s="5" t="s">
        <v>427</v>
      </c>
      <c r="C27" s="5" t="s">
        <v>428</v>
      </c>
      <c r="D27" s="5" t="s">
        <v>21</v>
      </c>
      <c r="E27" s="5">
        <v>-45.07</v>
      </c>
      <c r="F27" s="5" t="s">
        <v>9</v>
      </c>
      <c r="G27" s="5" t="s">
        <v>195</v>
      </c>
      <c r="H27" s="5"/>
      <c r="I27" s="5"/>
      <c r="J27" s="5"/>
      <c r="K27" s="5"/>
      <c r="L27" s="5"/>
      <c r="M27" s="6"/>
      <c r="N27" s="1">
        <f>IF( ISBLANK(LogTable2023[[#This Row],[Date_o]]), IF(ISBLANK(LogTable2023[[#This Row],[Date_i]]), "", LogTable2023[[#This Row],[Date_i]]), LogTable2023[[#This Row],[Date_o]])</f>
        <v>45271</v>
      </c>
      <c r="O27" t="str">
        <f>IF( ISBLANK(LogTable2023[[#This Row],[Description_o]]), IF(ISBLANK(LogTable2023[[#This Row],[Description_i]]), "", LogTable2023[[#This Row],[Description_i]]), LogTable2023[[#This Row],[Description_o]])</f>
        <v>Jinya</v>
      </c>
      <c r="P27" t="str">
        <f>IF( ISBLANK(LogTable2023[[#This Row],[Original Description_o]]), IF(ISBLANK(LogTable2023[[#This Row],[Original Description_i]]), "", LogTable2023[[#This Row],[Original Description_i]]), LogTable2023[[#This Row],[Original Description_o]])</f>
        <v>JINYA                    DENVER       CO</v>
      </c>
      <c r="Q27" t="str">
        <f>IF( ISBLANK(LogTable2023[[#This Row],[Category_o]]), IF(ISBLANK(LogTable2023[[#This Row],[Category_i]]), "", LogTable2023[[#This Row],[Category_i]]), LogTable2023[[#This Row],[Category_o]])</f>
        <v>Restaurants</v>
      </c>
      <c r="R27" s="10">
        <f>IF( ISBLANK(LogTable2023[[#This Row],[Amount_o]]), IF(ISBLANK(LogTable2023[[#This Row],[Amount_i]]), "", LogTable2023[[#This Row],[Amount_i]]), LogTable2023[[#This Row],[Amount_o]])</f>
        <v>-45.07</v>
      </c>
      <c r="S27" s="1" t="str">
        <f>IF( ISBLANK(LogTable2023[[#This Row],[Status_o]]), IF(ISBLANK(LogTable2023[[#This Row],[Status_i]]), "", LogTable2023[[#This Row],[Status_i]]), LogTable2023[[#This Row],[Status_o]])</f>
        <v>Posted</v>
      </c>
      <c r="T27" t="s">
        <v>287</v>
      </c>
      <c r="U27" t="str">
        <f>IF( _xlfn.IFNA(MATCH(LogTable2023[[#This Row],[My Category]], Buckets!$D$4:$D$35, 0), FALSE), ".", "E")</f>
        <v>.</v>
      </c>
      <c r="V27" t="s">
        <v>436</v>
      </c>
    </row>
    <row r="28" spans="1:22" hidden="1" x14ac:dyDescent="0.25">
      <c r="A28" s="4">
        <v>45271</v>
      </c>
      <c r="B28" s="5" t="s">
        <v>421</v>
      </c>
      <c r="C28" s="5" t="s">
        <v>429</v>
      </c>
      <c r="D28" s="5" t="s">
        <v>116</v>
      </c>
      <c r="E28" s="5">
        <v>-8</v>
      </c>
      <c r="F28" s="5" t="s">
        <v>9</v>
      </c>
      <c r="G28" s="5" t="s">
        <v>195</v>
      </c>
      <c r="H28" s="5"/>
      <c r="I28" s="5"/>
      <c r="J28" s="5"/>
      <c r="K28" s="5"/>
      <c r="L28" s="5"/>
      <c r="M28" s="6"/>
      <c r="N28" s="1">
        <f>IF( ISBLANK(LogTable2023[[#This Row],[Date_o]]), IF(ISBLANK(LogTable2023[[#This Row],[Date_i]]), "", LogTable2023[[#This Row],[Date_i]]), LogTable2023[[#This Row],[Date_o]])</f>
        <v>45271</v>
      </c>
      <c r="O28" t="str">
        <f>IF( ISBLANK(LogTable2023[[#This Row],[Description_o]]), IF(ISBLANK(LogTable2023[[#This Row],[Description_i]]), "", LogTable2023[[#This Row],[Description_i]]), LogTable2023[[#This Row],[Description_o]])</f>
        <v>LAZ Parking</v>
      </c>
      <c r="P28" t="str">
        <f>IF( ISBLANK(LogTable2023[[#This Row],[Original Description_o]]), IF(ISBLANK(LogTable2023[[#This Row],[Original Description_i]]), "", LogTable2023[[#This Row],[Original Description_i]]), LogTable2023[[#This Row],[Original Description_o]])</f>
        <v>LAZ PARKING 760127       DENVER       CO</v>
      </c>
      <c r="Q28" t="str">
        <f>IF( ISBLANK(LogTable2023[[#This Row],[Category_o]]), IF(ISBLANK(LogTable2023[[#This Row],[Category_i]]), "", LogTable2023[[#This Row],[Category_i]]), LogTable2023[[#This Row],[Category_o]])</f>
        <v>Parking</v>
      </c>
      <c r="R28" s="10">
        <f>IF( ISBLANK(LogTable2023[[#This Row],[Amount_o]]), IF(ISBLANK(LogTable2023[[#This Row],[Amount_i]]), "", LogTable2023[[#This Row],[Amount_i]]), LogTable2023[[#This Row],[Amount_o]])</f>
        <v>-8</v>
      </c>
      <c r="S28" s="1" t="str">
        <f>IF( ISBLANK(LogTable2023[[#This Row],[Status_o]]), IF(ISBLANK(LogTable2023[[#This Row],[Status_i]]), "", LogTable2023[[#This Row],[Status_i]]), LogTable2023[[#This Row],[Status_o]])</f>
        <v>Posted</v>
      </c>
      <c r="T28" t="s">
        <v>287</v>
      </c>
      <c r="U28" t="str">
        <f>IF( _xlfn.IFNA(MATCH(LogTable2023[[#This Row],[My Category]], Buckets!$D$4:$D$35, 0), FALSE), ".", "E")</f>
        <v>.</v>
      </c>
      <c r="V28" t="s">
        <v>436</v>
      </c>
    </row>
    <row r="29" spans="1:22" hidden="1" x14ac:dyDescent="0.25">
      <c r="A29" s="4">
        <v>45270</v>
      </c>
      <c r="B29" s="5" t="s">
        <v>13</v>
      </c>
      <c r="C29" s="5" t="s">
        <v>38</v>
      </c>
      <c r="D29" s="5" t="s">
        <v>39</v>
      </c>
      <c r="E29" s="5">
        <v>-24.47</v>
      </c>
      <c r="F29" s="5" t="s">
        <v>9</v>
      </c>
      <c r="G29" s="5" t="s">
        <v>195</v>
      </c>
      <c r="H29" s="5"/>
      <c r="I29" s="5"/>
      <c r="J29" s="5"/>
      <c r="K29" s="5"/>
      <c r="L29" s="5"/>
      <c r="M29" s="6"/>
      <c r="N29" s="1">
        <f>IF( ISBLANK(LogTable2023[[#This Row],[Date_o]]), IF(ISBLANK(LogTable2023[[#This Row],[Date_i]]), "", LogTable2023[[#This Row],[Date_i]]), LogTable2023[[#This Row],[Date_o]])</f>
        <v>45270</v>
      </c>
      <c r="O29" t="str">
        <f>IF( ISBLANK(LogTable2023[[#This Row],[Description_o]]), IF(ISBLANK(LogTable2023[[#This Row],[Description_i]]), "", LogTable2023[[#This Row],[Description_i]]), LogTable2023[[#This Row],[Description_o]])</f>
        <v>King Soopers</v>
      </c>
      <c r="P29" t="str">
        <f>IF( ISBLANK(LogTable2023[[#This Row],[Original Description_o]]), IF(ISBLANK(LogTable2023[[#This Row],[Original Description_i]]), "", LogTable2023[[#This Row],[Original Description_i]]), LogTable2023[[#This Row],[Original Description_o]])</f>
        <v>KING SOOPERS #0657 FUEL QWHEAT RIDGE  CO</v>
      </c>
      <c r="Q29" t="str">
        <f>IF( ISBLANK(LogTable2023[[#This Row],[Category_o]]), IF(ISBLANK(LogTable2023[[#This Row],[Category_i]]), "", LogTable2023[[#This Row],[Category_i]]), LogTable2023[[#This Row],[Category_o]])</f>
        <v>Gas</v>
      </c>
      <c r="R29" s="10">
        <f>IF( ISBLANK(LogTable2023[[#This Row],[Amount_o]]), IF(ISBLANK(LogTable2023[[#This Row],[Amount_i]]), "", LogTable2023[[#This Row],[Amount_i]]), LogTable2023[[#This Row],[Amount_o]])</f>
        <v>-24.47</v>
      </c>
      <c r="S29" s="1" t="str">
        <f>IF( ISBLANK(LogTable2023[[#This Row],[Status_o]]), IF(ISBLANK(LogTable2023[[#This Row],[Status_i]]), "", LogTable2023[[#This Row],[Status_i]]), LogTable2023[[#This Row],[Status_o]])</f>
        <v>Posted</v>
      </c>
      <c r="T29" t="s">
        <v>283</v>
      </c>
      <c r="U29" t="str">
        <f>IF( _xlfn.IFNA(MATCH(LogTable2023[[#This Row],[My Category]], Buckets!$D$4:$D$35, 0), FALSE), ".", "E")</f>
        <v>.</v>
      </c>
    </row>
    <row r="30" spans="1:22" hidden="1" x14ac:dyDescent="0.25">
      <c r="A30" s="4">
        <v>45270</v>
      </c>
      <c r="B30" s="5" t="s">
        <v>13</v>
      </c>
      <c r="C30" s="5" t="s">
        <v>14</v>
      </c>
      <c r="D30" s="5" t="s">
        <v>15</v>
      </c>
      <c r="E30" s="5">
        <v>-152.66999999999999</v>
      </c>
      <c r="F30" s="5" t="s">
        <v>9</v>
      </c>
      <c r="G30" s="5" t="s">
        <v>195</v>
      </c>
      <c r="H30" s="5"/>
      <c r="I30" s="5"/>
      <c r="J30" s="5"/>
      <c r="K30" s="5"/>
      <c r="L30" s="5"/>
      <c r="M30" s="6"/>
      <c r="N30" s="1">
        <f>IF( ISBLANK(LogTable2023[[#This Row],[Date_o]]), IF(ISBLANK(LogTable2023[[#This Row],[Date_i]]), "", LogTable2023[[#This Row],[Date_i]]), LogTable2023[[#This Row],[Date_o]])</f>
        <v>45270</v>
      </c>
      <c r="O30" t="str">
        <f>IF( ISBLANK(LogTable2023[[#This Row],[Description_o]]), IF(ISBLANK(LogTable2023[[#This Row],[Description_i]]), "", LogTable2023[[#This Row],[Description_i]]), LogTable2023[[#This Row],[Description_o]])</f>
        <v>King Soopers</v>
      </c>
      <c r="P30" t="str">
        <f>IF( ISBLANK(LogTable2023[[#This Row],[Original Description_o]]), IF(ISBLANK(LogTable2023[[#This Row],[Original Description_i]]), "", LogTable2023[[#This Row],[Original Description_i]]), LogTable2023[[#This Row],[Original Description_o]])</f>
        <v>KING SOOPERS #0057       WHEAT RIDGE  CO</v>
      </c>
      <c r="Q30" t="str">
        <f>IF( ISBLANK(LogTable2023[[#This Row],[Category_o]]), IF(ISBLANK(LogTable2023[[#This Row],[Category_i]]), "", LogTable2023[[#This Row],[Category_i]]), LogTable2023[[#This Row],[Category_o]])</f>
        <v>Groceries</v>
      </c>
      <c r="R30" s="10">
        <f>IF( ISBLANK(LogTable2023[[#This Row],[Amount_o]]), IF(ISBLANK(LogTable2023[[#This Row],[Amount_i]]), "", LogTable2023[[#This Row],[Amount_i]]), LogTable2023[[#This Row],[Amount_o]])</f>
        <v>-152.66999999999999</v>
      </c>
      <c r="S30" s="1" t="str">
        <f>IF( ISBLANK(LogTable2023[[#This Row],[Status_o]]), IF(ISBLANK(LogTable2023[[#This Row],[Status_i]]), "", LogTable2023[[#This Row],[Status_i]]), LogTable2023[[#This Row],[Status_o]])</f>
        <v>Posted</v>
      </c>
      <c r="T30" t="s">
        <v>15</v>
      </c>
      <c r="U30" t="str">
        <f>IF( _xlfn.IFNA(MATCH(LogTable2023[[#This Row],[My Category]], Buckets!$D$4:$D$35, 0), FALSE), ".", "E")</f>
        <v>.</v>
      </c>
    </row>
    <row r="31" spans="1:22" hidden="1" x14ac:dyDescent="0.25">
      <c r="A31" s="4">
        <v>45267</v>
      </c>
      <c r="B31" s="5" t="s">
        <v>59</v>
      </c>
      <c r="C31" s="5" t="s">
        <v>60</v>
      </c>
      <c r="D31" s="5" t="s">
        <v>61</v>
      </c>
      <c r="E31" s="5">
        <v>-30</v>
      </c>
      <c r="F31" s="5" t="s">
        <v>9</v>
      </c>
      <c r="G31" s="5" t="s">
        <v>195</v>
      </c>
      <c r="H31" s="5"/>
      <c r="I31" s="5"/>
      <c r="J31" s="5"/>
      <c r="K31" s="5"/>
      <c r="L31" s="5"/>
      <c r="M31" s="6"/>
      <c r="N31" s="1">
        <f>IF( ISBLANK(LogTable2023[[#This Row],[Date_o]]), IF(ISBLANK(LogTable2023[[#This Row],[Date_i]]), "", LogTable2023[[#This Row],[Date_i]]), LogTable2023[[#This Row],[Date_o]])</f>
        <v>45267</v>
      </c>
      <c r="O31" t="str">
        <f>IF( ISBLANK(LogTable2023[[#This Row],[Description_o]]), IF(ISBLANK(LogTable2023[[#This Row],[Description_i]]), "", LogTable2023[[#This Row],[Description_i]]), LogTable2023[[#This Row],[Description_o]])</f>
        <v>Nature Conservancy</v>
      </c>
      <c r="P31" t="str">
        <f>IF( ISBLANK(LogTable2023[[#This Row],[Original Description_o]]), IF(ISBLANK(LogTable2023[[#This Row],[Original Description_i]]), "", LogTable2023[[#This Row],[Original Description_i]]), LogTable2023[[#This Row],[Original Description_o]])</f>
        <v>Nature Conservancy       800-6286860  VA</v>
      </c>
      <c r="Q31" t="str">
        <f>IF( ISBLANK(LogTable2023[[#This Row],[Category_o]]), IF(ISBLANK(LogTable2023[[#This Row],[Category_i]]), "", LogTable2023[[#This Row],[Category_i]]), LogTable2023[[#This Row],[Category_o]])</f>
        <v>Gifts &amp; Donations</v>
      </c>
      <c r="R31" s="10">
        <f>IF( ISBLANK(LogTable2023[[#This Row],[Amount_o]]), IF(ISBLANK(LogTable2023[[#This Row],[Amount_i]]), "", LogTable2023[[#This Row],[Amount_i]]), LogTable2023[[#This Row],[Amount_o]])</f>
        <v>-30</v>
      </c>
      <c r="S31" s="1" t="str">
        <f>IF( ISBLANK(LogTable2023[[#This Row],[Status_o]]), IF(ISBLANK(LogTable2023[[#This Row],[Status_i]]), "", LogTable2023[[#This Row],[Status_i]]), LogTable2023[[#This Row],[Status_o]])</f>
        <v>Posted</v>
      </c>
      <c r="T31" t="s">
        <v>304</v>
      </c>
      <c r="U31" t="str">
        <f>IF( _xlfn.IFNA(MATCH(LogTable2023[[#This Row],[My Category]], Buckets!$D$4:$D$35, 0), FALSE), ".", "E")</f>
        <v>.</v>
      </c>
    </row>
    <row r="32" spans="1:22" hidden="1" x14ac:dyDescent="0.25">
      <c r="A32" s="4">
        <v>45267</v>
      </c>
      <c r="B32" s="5" t="s">
        <v>52</v>
      </c>
      <c r="C32" s="5" t="s">
        <v>53</v>
      </c>
      <c r="D32" s="5" t="s">
        <v>54</v>
      </c>
      <c r="E32" s="5">
        <v>-35.17</v>
      </c>
      <c r="F32" s="5" t="s">
        <v>9</v>
      </c>
      <c r="G32" s="5" t="s">
        <v>195</v>
      </c>
      <c r="H32" s="5"/>
      <c r="I32" s="5"/>
      <c r="J32" s="5"/>
      <c r="K32" s="5"/>
      <c r="L32" s="5"/>
      <c r="M32" s="6"/>
      <c r="N32" s="1">
        <f>IF( ISBLANK(LogTable2023[[#This Row],[Date_o]]), IF(ISBLANK(LogTable2023[[#This Row],[Date_i]]), "", LogTable2023[[#This Row],[Date_i]]), LogTable2023[[#This Row],[Date_o]])</f>
        <v>45267</v>
      </c>
      <c r="O32" t="str">
        <f>IF( ISBLANK(LogTable2023[[#This Row],[Description_o]]), IF(ISBLANK(LogTable2023[[#This Row],[Description_i]]), "", LogTable2023[[#This Row],[Description_i]]), LogTable2023[[#This Row],[Description_o]])</f>
        <v>CVS</v>
      </c>
      <c r="P32" t="str">
        <f>IF( ISBLANK(LogTable2023[[#This Row],[Original Description_o]]), IF(ISBLANK(LogTable2023[[#This Row],[Original Description_i]]), "", LogTable2023[[#This Row],[Original Description_i]]), LogTable2023[[#This Row],[Original Description_o]])</f>
        <v>CVS/PHARMACY #10784      DENVER       CO</v>
      </c>
      <c r="Q32" t="str">
        <f>IF( ISBLANK(LogTable2023[[#This Row],[Category_o]]), IF(ISBLANK(LogTable2023[[#This Row],[Category_i]]), "", LogTable2023[[#This Row],[Category_i]]), LogTable2023[[#This Row],[Category_o]])</f>
        <v>Pharmacy</v>
      </c>
      <c r="R32" s="10">
        <f>IF( ISBLANK(LogTable2023[[#This Row],[Amount_o]]), IF(ISBLANK(LogTable2023[[#This Row],[Amount_i]]), "", LogTable2023[[#This Row],[Amount_i]]), LogTable2023[[#This Row],[Amount_o]])</f>
        <v>-35.17</v>
      </c>
      <c r="S32" s="1" t="str">
        <f>IF( ISBLANK(LogTable2023[[#This Row],[Status_o]]), IF(ISBLANK(LogTable2023[[#This Row],[Status_i]]), "", LogTable2023[[#This Row],[Status_i]]), LogTable2023[[#This Row],[Status_o]])</f>
        <v>Posted</v>
      </c>
      <c r="T32" t="s">
        <v>301</v>
      </c>
      <c r="U32" t="str">
        <f>IF( _xlfn.IFNA(MATCH(LogTable2023[[#This Row],[My Category]], Buckets!$D$4:$D$35, 0), FALSE), ".", "E")</f>
        <v>.</v>
      </c>
    </row>
    <row r="33" spans="1:22" hidden="1" x14ac:dyDescent="0.25">
      <c r="A33" s="4">
        <v>45266</v>
      </c>
      <c r="B33" s="5" t="s">
        <v>30</v>
      </c>
      <c r="C33" s="5" t="s">
        <v>430</v>
      </c>
      <c r="D33" s="5" t="s">
        <v>32</v>
      </c>
      <c r="E33" s="5">
        <v>15</v>
      </c>
      <c r="F33" s="5" t="s">
        <v>9</v>
      </c>
      <c r="G33" s="5" t="s">
        <v>195</v>
      </c>
      <c r="H33" s="5"/>
      <c r="I33" s="5"/>
      <c r="J33" s="5"/>
      <c r="K33" s="5"/>
      <c r="L33" s="5"/>
      <c r="M33" s="6"/>
      <c r="N33" s="1">
        <f>IF( ISBLANK(LogTable2023[[#This Row],[Date_o]]), IF(ISBLANK(LogTable2023[[#This Row],[Date_i]]), "", LogTable2023[[#This Row],[Date_i]]), LogTable2023[[#This Row],[Date_o]])</f>
        <v>45266</v>
      </c>
      <c r="O33" t="str">
        <f>IF( ISBLANK(LogTable2023[[#This Row],[Description_o]]), IF(ISBLANK(LogTable2023[[#This Row],[Description_i]]), "", LogTable2023[[#This Row],[Description_i]]), LogTable2023[[#This Row],[Description_o]])</f>
        <v>Boulderswing</v>
      </c>
      <c r="P33" t="str">
        <f>IF( ISBLANK(LogTable2023[[#This Row],[Original Description_o]]), IF(ISBLANK(LogTable2023[[#This Row],[Original Description_i]]), "", LogTable2023[[#This Row],[Original Description_i]]), LogTable2023[[#This Row],[Original Description_o]])</f>
        <v>BOULDERSWING BOULDERSWINGD CO     CREDIT</v>
      </c>
      <c r="Q33" t="str">
        <f>IF( ISBLANK(LogTable2023[[#This Row],[Category_o]]), IF(ISBLANK(LogTable2023[[#This Row],[Category_i]]), "", LogTable2023[[#This Row],[Category_i]]), LogTable2023[[#This Row],[Category_o]])</f>
        <v>Entertainment</v>
      </c>
      <c r="R33" s="10">
        <f>IF( ISBLANK(LogTable2023[[#This Row],[Amount_o]]), IF(ISBLANK(LogTable2023[[#This Row],[Amount_i]]), "", LogTable2023[[#This Row],[Amount_i]]), LogTable2023[[#This Row],[Amount_o]])</f>
        <v>15</v>
      </c>
      <c r="S33" s="1" t="str">
        <f>IF( ISBLANK(LogTable2023[[#This Row],[Status_o]]), IF(ISBLANK(LogTable2023[[#This Row],[Status_i]]), "", LogTable2023[[#This Row],[Status_i]]), LogTable2023[[#This Row],[Status_o]])</f>
        <v>Posted</v>
      </c>
      <c r="T33" t="s">
        <v>285</v>
      </c>
      <c r="U33" t="str">
        <f>IF( _xlfn.IFNA(MATCH(LogTable2023[[#This Row],[My Category]], Buckets!$D$4:$D$35, 0), FALSE), ".", "E")</f>
        <v>.</v>
      </c>
    </row>
    <row r="34" spans="1:22" hidden="1" x14ac:dyDescent="0.25">
      <c r="A34" s="4">
        <v>45265</v>
      </c>
      <c r="B34" s="5" t="s">
        <v>216</v>
      </c>
      <c r="C34" s="5" t="s">
        <v>403</v>
      </c>
      <c r="D34" s="5" t="s">
        <v>218</v>
      </c>
      <c r="E34" s="5">
        <v>-2233</v>
      </c>
      <c r="F34" s="5" t="s">
        <v>9</v>
      </c>
      <c r="G34" s="5" t="s">
        <v>269</v>
      </c>
      <c r="H34" s="5"/>
      <c r="I34" s="5"/>
      <c r="J34" s="5"/>
      <c r="K34" s="5"/>
      <c r="L34" s="5"/>
      <c r="M34" s="6"/>
      <c r="N34" s="1">
        <f>IF( ISBLANK(LogTable2023[[#This Row],[Date_o]]), IF(ISBLANK(LogTable2023[[#This Row],[Date_i]]), "", LogTable2023[[#This Row],[Date_i]]), LogTable2023[[#This Row],[Date_o]])</f>
        <v>45265</v>
      </c>
      <c r="O34" t="str">
        <f>IF( ISBLANK(LogTable2023[[#This Row],[Description_o]]), IF(ISBLANK(LogTable2023[[#This Row],[Description_i]]), "", LogTable2023[[#This Row],[Description_i]]), LogTable2023[[#This Row],[Description_o]])</f>
        <v>Advs Ed Serv Web Studntloan</v>
      </c>
      <c r="P34" t="str">
        <f>IF( ISBLANK(LogTable2023[[#This Row],[Original Description_o]]), IF(ISBLANK(LogTable2023[[#This Row],[Original Description_i]]), "", LogTable2023[[#This Row],[Original Description_i]]), LogTable2023[[#This Row],[Original Description_o]])</f>
        <v>ADVS ED SERV WEB STUDNTLOAN ***********5341</v>
      </c>
      <c r="Q34" t="str">
        <f>IF( ISBLANK(LogTable2023[[#This Row],[Category_o]]), IF(ISBLANK(LogTable2023[[#This Row],[Category_i]]), "", LogTable2023[[#This Row],[Category_i]]), LogTable2023[[#This Row],[Category_o]])</f>
        <v>Student Loan</v>
      </c>
      <c r="R34" s="10">
        <f>IF( ISBLANK(LogTable2023[[#This Row],[Amount_o]]), IF(ISBLANK(LogTable2023[[#This Row],[Amount_i]]), "", LogTable2023[[#This Row],[Amount_i]]), LogTable2023[[#This Row],[Amount_o]])</f>
        <v>-2233</v>
      </c>
      <c r="S34" s="1" t="str">
        <f>IF( ISBLANK(LogTable2023[[#This Row],[Status_o]]), IF(ISBLANK(LogTable2023[[#This Row],[Status_i]]), "", LogTable2023[[#This Row],[Status_i]]), LogTable2023[[#This Row],[Status_o]])</f>
        <v>Posted</v>
      </c>
      <c r="T34" t="s">
        <v>285</v>
      </c>
      <c r="U34" t="str">
        <f>IF( _xlfn.IFNA(MATCH(LogTable2023[[#This Row],[My Category]], Buckets!$D$4:$D$35, 0), FALSE), ".", "E")</f>
        <v>.</v>
      </c>
      <c r="V34" t="s">
        <v>361</v>
      </c>
    </row>
    <row r="35" spans="1:22" hidden="1" x14ac:dyDescent="0.25">
      <c r="A35" s="4">
        <v>45264</v>
      </c>
      <c r="B35" s="5" t="s">
        <v>219</v>
      </c>
      <c r="C35" s="5" t="s">
        <v>404</v>
      </c>
      <c r="D35" s="5" t="s">
        <v>107</v>
      </c>
      <c r="E35" s="5">
        <v>-2035.3</v>
      </c>
      <c r="F35" s="5" t="s">
        <v>9</v>
      </c>
      <c r="G35" s="5" t="s">
        <v>269</v>
      </c>
      <c r="H35" s="5"/>
      <c r="I35" s="5"/>
      <c r="J35" s="5"/>
      <c r="K35" s="5"/>
      <c r="L35" s="5"/>
      <c r="M35" s="6"/>
      <c r="N35" s="1">
        <f>IF( ISBLANK(LogTable2023[[#This Row],[Date_o]]), IF(ISBLANK(LogTable2023[[#This Row],[Date_i]]), "", LogTable2023[[#This Row],[Date_i]]), LogTable2023[[#This Row],[Date_o]])</f>
        <v>45264</v>
      </c>
      <c r="O35" t="str">
        <f>IF( ISBLANK(LogTable2023[[#This Row],[Description_o]]), IF(ISBLANK(LogTable2023[[#This Row],[Description_i]]), "", LogTable2023[[#This Row],[Description_i]]), LogTable2023[[#This Row],[Description_o]])</f>
        <v>Cornerstoneapart Web</v>
      </c>
      <c r="P35" t="str">
        <f>IF( ISBLANK(LogTable2023[[#This Row],[Original Description_o]]), IF(ISBLANK(LogTable2023[[#This Row],[Original Description_i]]), "", LogTable2023[[#This Row],[Original Description_i]]), LogTable2023[[#This Row],[Original Description_o]])</f>
        <v>CORNERSTONEAPART WEB PMTS   ***********9Q9F</v>
      </c>
      <c r="Q35" t="str">
        <f>IF( ISBLANK(LogTable2023[[#This Row],[Category_o]]), IF(ISBLANK(LogTable2023[[#This Row],[Category_i]]), "", LogTable2023[[#This Row],[Category_i]]), LogTable2023[[#This Row],[Category_o]])</f>
        <v>Uncategorized</v>
      </c>
      <c r="R35" s="10">
        <f>IF( ISBLANK(LogTable2023[[#This Row],[Amount_o]]), IF(ISBLANK(LogTable2023[[#This Row],[Amount_i]]), "", LogTable2023[[#This Row],[Amount_i]]), LogTable2023[[#This Row],[Amount_o]])</f>
        <v>-2035.3</v>
      </c>
      <c r="S35" s="1" t="str">
        <f>IF( ISBLANK(LogTable2023[[#This Row],[Status_o]]), IF(ISBLANK(LogTable2023[[#This Row],[Status_i]]), "", LogTable2023[[#This Row],[Status_i]]), LogTable2023[[#This Row],[Status_o]])</f>
        <v>Posted</v>
      </c>
      <c r="T35" t="s">
        <v>293</v>
      </c>
      <c r="U35" t="str">
        <f>IF( _xlfn.IFNA(MATCH(LogTable2023[[#This Row],[My Category]], Buckets!$D$4:$D$35, 0), FALSE), ".", "E")</f>
        <v>.</v>
      </c>
    </row>
    <row r="36" spans="1:22" hidden="1" x14ac:dyDescent="0.25">
      <c r="A36" s="4">
        <v>45264</v>
      </c>
      <c r="B36" s="5" t="s">
        <v>224</v>
      </c>
      <c r="C36" s="5" t="s">
        <v>405</v>
      </c>
      <c r="D36" s="5" t="s">
        <v>226</v>
      </c>
      <c r="E36" s="5">
        <v>-320</v>
      </c>
      <c r="F36" s="5" t="s">
        <v>9</v>
      </c>
      <c r="G36" s="5" t="s">
        <v>269</v>
      </c>
      <c r="H36" s="5"/>
      <c r="I36" s="5"/>
      <c r="J36" s="5"/>
      <c r="K36" s="5"/>
      <c r="L36" s="5"/>
      <c r="M36" s="6"/>
      <c r="N36" s="1">
        <f>IF( ISBLANK(LogTable2023[[#This Row],[Date_o]]), IF(ISBLANK(LogTable2023[[#This Row],[Date_i]]), "", LogTable2023[[#This Row],[Date_i]]), LogTable2023[[#This Row],[Date_o]])</f>
        <v>45264</v>
      </c>
      <c r="O36" t="str">
        <f>IF( ISBLANK(LogTable2023[[#This Row],[Description_o]]), IF(ISBLANK(LogTable2023[[#This Row],[Description_i]]), "", LogTable2023[[#This Row],[Description_i]]), LogTable2023[[#This Row],[Description_o]])</f>
        <v>Honda Financial</v>
      </c>
      <c r="P36" t="str">
        <f>IF( ISBLANK(LogTable2023[[#This Row],[Original Description_o]]), IF(ISBLANK(LogTable2023[[#This Row],[Original Description_i]]), "", LogTable2023[[#This Row],[Original Description_i]]), LogTable2023[[#This Row],[Original Description_o]])</f>
        <v>HONDA PMT        8004489307 ***********9256</v>
      </c>
      <c r="Q36" t="str">
        <f>IF( ISBLANK(LogTable2023[[#This Row],[Category_o]]), IF(ISBLANK(LogTable2023[[#This Row],[Category_i]]), "", LogTable2023[[#This Row],[Category_i]]), LogTable2023[[#This Row],[Category_o]])</f>
        <v>Auto Payment</v>
      </c>
      <c r="R36" s="10">
        <f>IF( ISBLANK(LogTable2023[[#This Row],[Amount_o]]), IF(ISBLANK(LogTable2023[[#This Row],[Amount_i]]), "", LogTable2023[[#This Row],[Amount_i]]), LogTable2023[[#This Row],[Amount_o]])</f>
        <v>-320</v>
      </c>
      <c r="S36" s="1" t="str">
        <f>IF( ISBLANK(LogTable2023[[#This Row],[Status_o]]), IF(ISBLANK(LogTable2023[[#This Row],[Status_i]]), "", LogTable2023[[#This Row],[Status_i]]), LogTable2023[[#This Row],[Status_o]])</f>
        <v>Posted</v>
      </c>
      <c r="T36" t="s">
        <v>281</v>
      </c>
      <c r="U36" t="str">
        <f>IF( _xlfn.IFNA(MATCH(LogTable2023[[#This Row],[My Category]], Buckets!$D$4:$D$35, 0), FALSE), ".", "E")</f>
        <v>.</v>
      </c>
    </row>
    <row r="37" spans="1:22" hidden="1" x14ac:dyDescent="0.25">
      <c r="A37" s="4">
        <v>45264</v>
      </c>
      <c r="B37" s="5" t="s">
        <v>221</v>
      </c>
      <c r="C37" s="5" t="s">
        <v>406</v>
      </c>
      <c r="D37" s="5" t="s">
        <v>177</v>
      </c>
      <c r="E37" s="5">
        <v>-0.95</v>
      </c>
      <c r="F37" s="5" t="s">
        <v>9</v>
      </c>
      <c r="G37" s="5" t="s">
        <v>269</v>
      </c>
      <c r="H37" s="5"/>
      <c r="I37" s="5"/>
      <c r="J37" s="5"/>
      <c r="K37" s="5"/>
      <c r="L37" s="5"/>
      <c r="M37" s="6"/>
      <c r="N37" s="1">
        <f>IF( ISBLANK(LogTable2023[[#This Row],[Date_o]]), IF(ISBLANK(LogTable2023[[#This Row],[Date_i]]), "", LogTable2023[[#This Row],[Date_i]]), LogTable2023[[#This Row],[Date_o]])</f>
        <v>45264</v>
      </c>
      <c r="O37" t="str">
        <f>IF( ISBLANK(LogTable2023[[#This Row],[Description_o]]), IF(ISBLANK(LogTable2023[[#This Row],[Description_i]]), "", LogTable2023[[#This Row],[Description_i]]), LogTable2023[[#This Row],[Description_o]])</f>
        <v>Yardi</v>
      </c>
      <c r="P37" t="str">
        <f>IF( ISBLANK(LogTable2023[[#This Row],[Original Description_o]]), IF(ISBLANK(LogTable2023[[#This Row],[Original Description_i]]), "", LogTable2023[[#This Row],[Original Description_i]]), LogTable2023[[#This Row],[Original Description_o]])</f>
        <v>YARDI SERVICECHG WEB PMTS   ***********4P9F</v>
      </c>
      <c r="Q37" t="str">
        <f>IF( ISBLANK(LogTable2023[[#This Row],[Category_o]]), IF(ISBLANK(LogTable2023[[#This Row],[Category_i]]), "", LogTable2023[[#This Row],[Category_i]]), LogTable2023[[#This Row],[Category_o]])</f>
        <v>Mortgage &amp; Rent</v>
      </c>
      <c r="R37" s="10">
        <f>IF( ISBLANK(LogTable2023[[#This Row],[Amount_o]]), IF(ISBLANK(LogTable2023[[#This Row],[Amount_i]]), "", LogTable2023[[#This Row],[Amount_i]]), LogTable2023[[#This Row],[Amount_o]])</f>
        <v>-0.95</v>
      </c>
      <c r="S37" s="1" t="str">
        <f>IF( ISBLANK(LogTable2023[[#This Row],[Status_o]]), IF(ISBLANK(LogTable2023[[#This Row],[Status_i]]), "", LogTable2023[[#This Row],[Status_i]]), LogTable2023[[#This Row],[Status_o]])</f>
        <v>Posted</v>
      </c>
      <c r="T37" t="s">
        <v>293</v>
      </c>
      <c r="U37" t="str">
        <f>IF( _xlfn.IFNA(MATCH(LogTable2023[[#This Row],[My Category]], Buckets!$D$4:$D$35, 0), FALSE), ".", "E")</f>
        <v>.</v>
      </c>
    </row>
    <row r="38" spans="1:22" x14ac:dyDescent="0.25">
      <c r="A38" s="4">
        <v>45264</v>
      </c>
      <c r="B38" s="5" t="s">
        <v>71</v>
      </c>
      <c r="C38" s="5" t="s">
        <v>228</v>
      </c>
      <c r="D38" s="5" t="s">
        <v>186</v>
      </c>
      <c r="E38" s="5">
        <v>-1916.08</v>
      </c>
      <c r="F38" s="5" t="s">
        <v>9</v>
      </c>
      <c r="G38" s="5" t="s">
        <v>269</v>
      </c>
      <c r="H38" s="5"/>
      <c r="I38" s="5"/>
      <c r="J38" s="5"/>
      <c r="K38" s="5"/>
      <c r="L38" s="5"/>
      <c r="M38" s="6"/>
      <c r="N38" s="1">
        <f>IF( ISBLANK(LogTable2023[[#This Row],[Date_o]]), IF(ISBLANK(LogTable2023[[#This Row],[Date_i]]), "", LogTable2023[[#This Row],[Date_i]]), LogTable2023[[#This Row],[Date_o]])</f>
        <v>45264</v>
      </c>
      <c r="O38" t="str">
        <f>IF( ISBLANK(LogTable2023[[#This Row],[Description_o]]), IF(ISBLANK(LogTable2023[[#This Row],[Description_i]]), "", LogTable2023[[#This Row],[Description_i]]), LogTable2023[[#This Row],[Description_o]])</f>
        <v>USAA Credit Card</v>
      </c>
      <c r="P38" t="str">
        <f>IF( ISBLANK(LogTable2023[[#This Row],[Original Description_o]]), IF(ISBLANK(LogTable2023[[#This Row],[Original Description_i]]), "", LogTable2023[[#This Row],[Original Description_i]]), LogTable2023[[#This Row],[Original Description_o]])</f>
        <v>USAA CREDIT CARD PAYMENT</v>
      </c>
      <c r="Q38" t="str">
        <f>IF( ISBLANK(LogTable2023[[#This Row],[Category_o]]), IF(ISBLANK(LogTable2023[[#This Row],[Category_i]]), "", LogTable2023[[#This Row],[Category_i]]), LogTable2023[[#This Row],[Category_o]])</f>
        <v>Credit Card Payment</v>
      </c>
      <c r="R38" s="10">
        <f>IF( ISBLANK(LogTable2023[[#This Row],[Amount_o]]), IF(ISBLANK(LogTable2023[[#This Row],[Amount_i]]), "", LogTable2023[[#This Row],[Amount_i]]), LogTable2023[[#This Row],[Amount_o]])</f>
        <v>-1916.08</v>
      </c>
      <c r="S38" s="1" t="str">
        <f>IF( ISBLANK(LogTable2023[[#This Row],[Status_o]]), IF(ISBLANK(LogTable2023[[#This Row],[Status_i]]), "", LogTable2023[[#This Row],[Status_i]]), LogTable2023[[#This Row],[Status_o]])</f>
        <v>Posted</v>
      </c>
      <c r="T38" t="s">
        <v>307</v>
      </c>
      <c r="U38" t="str">
        <f>IF( _xlfn.IFNA(MATCH(LogTable2023[[#This Row],[My Category]], Buckets!$D$4:$D$35, 0), FALSE), ".", "E")</f>
        <v>.</v>
      </c>
    </row>
    <row r="39" spans="1:22" hidden="1" x14ac:dyDescent="0.25">
      <c r="A39" s="4">
        <v>45264</v>
      </c>
      <c r="B39" s="5" t="s">
        <v>66</v>
      </c>
      <c r="C39" s="5" t="s">
        <v>67</v>
      </c>
      <c r="D39" s="5" t="s">
        <v>68</v>
      </c>
      <c r="E39" s="5">
        <v>-35</v>
      </c>
      <c r="F39" s="5" t="s">
        <v>9</v>
      </c>
      <c r="G39" s="5" t="s">
        <v>195</v>
      </c>
      <c r="H39" s="5"/>
      <c r="I39" s="5"/>
      <c r="J39" s="5"/>
      <c r="K39" s="5"/>
      <c r="L39" s="5"/>
      <c r="M39" s="6"/>
      <c r="N39" s="1">
        <f>IF( ISBLANK(LogTable2023[[#This Row],[Date_o]]), IF(ISBLANK(LogTable2023[[#This Row],[Date_i]]), "", LogTable2023[[#This Row],[Date_i]]), LogTable2023[[#This Row],[Date_o]])</f>
        <v>45264</v>
      </c>
      <c r="O39" t="str">
        <f>IF( ISBLANK(LogTable2023[[#This Row],[Description_o]]), IF(ISBLANK(LogTable2023[[#This Row],[Description_i]]), "", LogTable2023[[#This Row],[Description_i]]), LogTable2023[[#This Row],[Description_o]])</f>
        <v>T-Mobile</v>
      </c>
      <c r="P39" t="str">
        <f>IF( ISBLANK(LogTable2023[[#This Row],[Original Description_o]]), IF(ISBLANK(LogTable2023[[#This Row],[Original Description_i]]), "", LogTable2023[[#This Row],[Original Description_i]]), LogTable2023[[#This Row],[Original Description_o]])</f>
        <v>TMOBILE*AUTO PAY         800-937-8997 WA</v>
      </c>
      <c r="Q39" t="str">
        <f>IF( ISBLANK(LogTable2023[[#This Row],[Category_o]]), IF(ISBLANK(LogTable2023[[#This Row],[Category_i]]), "", LogTable2023[[#This Row],[Category_i]]), LogTable2023[[#This Row],[Category_o]])</f>
        <v>Mobile Phone</v>
      </c>
      <c r="R39" s="10">
        <f>IF( ISBLANK(LogTable2023[[#This Row],[Amount_o]]), IF(ISBLANK(LogTable2023[[#This Row],[Amount_i]]), "", LogTable2023[[#This Row],[Amount_i]]), LogTable2023[[#This Row],[Amount_o]])</f>
        <v>-35</v>
      </c>
      <c r="S39" s="1" t="str">
        <f>IF( ISBLANK(LogTable2023[[#This Row],[Status_o]]), IF(ISBLANK(LogTable2023[[#This Row],[Status_i]]), "", LogTable2023[[#This Row],[Status_i]]), LogTable2023[[#This Row],[Status_o]])</f>
        <v>Posted</v>
      </c>
      <c r="T39" t="s">
        <v>215</v>
      </c>
      <c r="U39" t="str">
        <f>IF( _xlfn.IFNA(MATCH(LogTable2023[[#This Row],[My Category]], Buckets!$D$4:$D$35, 0), FALSE), ".", "E")</f>
        <v>.</v>
      </c>
    </row>
    <row r="40" spans="1:22" x14ac:dyDescent="0.25">
      <c r="A40" s="4">
        <v>45263</v>
      </c>
      <c r="B40" s="5" t="s">
        <v>71</v>
      </c>
      <c r="C40" s="5" t="s">
        <v>72</v>
      </c>
      <c r="D40" s="5" t="s">
        <v>73</v>
      </c>
      <c r="E40" s="5">
        <v>1916.08</v>
      </c>
      <c r="F40" s="5" t="s">
        <v>9</v>
      </c>
      <c r="G40" s="5" t="s">
        <v>195</v>
      </c>
      <c r="H40" s="5"/>
      <c r="I40" s="5"/>
      <c r="J40" s="5"/>
      <c r="K40" s="5"/>
      <c r="L40" s="5"/>
      <c r="M40" s="6"/>
      <c r="N40" s="1">
        <f>IF( ISBLANK(LogTable2023[[#This Row],[Date_o]]), IF(ISBLANK(LogTable2023[[#This Row],[Date_i]]), "", LogTable2023[[#This Row],[Date_i]]), LogTable2023[[#This Row],[Date_o]])</f>
        <v>45263</v>
      </c>
      <c r="O40" t="str">
        <f>IF( ISBLANK(LogTable2023[[#This Row],[Description_o]]), IF(ISBLANK(LogTable2023[[#This Row],[Description_i]]), "", LogTable2023[[#This Row],[Description_i]]), LogTable2023[[#This Row],[Description_o]])</f>
        <v>USAA Credit Card</v>
      </c>
      <c r="P40" t="str">
        <f>IF( ISBLANK(LogTable2023[[#This Row],[Original Description_o]]), IF(ISBLANK(LogTable2023[[#This Row],[Original Description_i]]), "", LogTable2023[[#This Row],[Original Description_i]]), LogTable2023[[#This Row],[Original Description_o]])</f>
        <v>USAA CREDIT CARD PAYMENT SAN ANTONIO  TX</v>
      </c>
      <c r="Q40" t="str">
        <f>IF( ISBLANK(LogTable2023[[#This Row],[Category_o]]), IF(ISBLANK(LogTable2023[[#This Row],[Category_i]]), "", LogTable2023[[#This Row],[Category_i]]), LogTable2023[[#This Row],[Category_o]])</f>
        <v>Transfer</v>
      </c>
      <c r="R40" s="10">
        <f>IF( ISBLANK(LogTable2023[[#This Row],[Amount_o]]), IF(ISBLANK(LogTable2023[[#This Row],[Amount_i]]), "", LogTable2023[[#This Row],[Amount_i]]), LogTable2023[[#This Row],[Amount_o]])</f>
        <v>1916.08</v>
      </c>
      <c r="S40" s="1" t="str">
        <f>IF( ISBLANK(LogTable2023[[#This Row],[Status_o]]), IF(ISBLANK(LogTable2023[[#This Row],[Status_i]]), "", LogTable2023[[#This Row],[Status_i]]), LogTable2023[[#This Row],[Status_o]])</f>
        <v>Posted</v>
      </c>
      <c r="T40" t="s">
        <v>307</v>
      </c>
      <c r="U40" t="str">
        <f>IF( _xlfn.IFNA(MATCH(LogTable2023[[#This Row],[My Category]], Buckets!$D$4:$D$35, 0), FALSE), ".", "E")</f>
        <v>.</v>
      </c>
    </row>
    <row r="41" spans="1:22" hidden="1" x14ac:dyDescent="0.25">
      <c r="A41" s="4">
        <v>45263</v>
      </c>
      <c r="B41" s="5" t="s">
        <v>108</v>
      </c>
      <c r="C41" s="5" t="s">
        <v>109</v>
      </c>
      <c r="D41" s="5" t="s">
        <v>73</v>
      </c>
      <c r="E41" s="5">
        <v>25</v>
      </c>
      <c r="F41" s="5" t="s">
        <v>9</v>
      </c>
      <c r="G41" s="5" t="s">
        <v>195</v>
      </c>
      <c r="H41" s="5"/>
      <c r="I41" s="5"/>
      <c r="J41" s="5"/>
      <c r="K41" s="5"/>
      <c r="L41" s="5"/>
      <c r="M41" s="6"/>
      <c r="N41" s="1">
        <f>IF( ISBLANK(LogTable2023[[#This Row],[Date_o]]), IF(ISBLANK(LogTable2023[[#This Row],[Date_i]]), "", LogTable2023[[#This Row],[Date_i]]), LogTable2023[[#This Row],[Date_o]])</f>
        <v>45263</v>
      </c>
      <c r="O41" t="str">
        <f>IF( ISBLANK(LogTable2023[[#This Row],[Description_o]]), IF(ISBLANK(LogTable2023[[#This Row],[Description_i]]), "", LogTable2023[[#This Row],[Description_i]]), LogTable2023[[#This Row],[Description_o]])</f>
        <v>Recurring Reward Points Redemption</v>
      </c>
      <c r="P41" t="str">
        <f>IF( ISBLANK(LogTable2023[[#This Row],[Original Description_o]]), IF(ISBLANK(LogTable2023[[#This Row],[Original Description_i]]), "", LogTable2023[[#This Row],[Original Description_i]]), LogTable2023[[#This Row],[Original Description_o]])</f>
        <v>RECURRING REWARD POINTS REDEMPTION</v>
      </c>
      <c r="Q41" t="str">
        <f>IF( ISBLANK(LogTable2023[[#This Row],[Category_o]]), IF(ISBLANK(LogTable2023[[#This Row],[Category_i]]), "", LogTable2023[[#This Row],[Category_i]]), LogTable2023[[#This Row],[Category_o]])</f>
        <v>Transfer</v>
      </c>
      <c r="R41" s="10">
        <f>IF( ISBLANK(LogTable2023[[#This Row],[Amount_o]]), IF(ISBLANK(LogTable2023[[#This Row],[Amount_i]]), "", LogTable2023[[#This Row],[Amount_i]]), LogTable2023[[#This Row],[Amount_o]])</f>
        <v>25</v>
      </c>
      <c r="S41" s="1" t="str">
        <f>IF( ISBLANK(LogTable2023[[#This Row],[Status_o]]), IF(ISBLANK(LogTable2023[[#This Row],[Status_i]]), "", LogTable2023[[#This Row],[Status_i]]), LogTable2023[[#This Row],[Status_o]])</f>
        <v>Posted</v>
      </c>
      <c r="T41" t="s">
        <v>306</v>
      </c>
      <c r="U41" t="str">
        <f>IF( _xlfn.IFNA(MATCH(LogTable2023[[#This Row],[My Category]], Buckets!$D$4:$D$35, 0), FALSE), ".", "E")</f>
        <v>.</v>
      </c>
    </row>
    <row r="42" spans="1:22" hidden="1" x14ac:dyDescent="0.25">
      <c r="A42" s="4">
        <v>45261</v>
      </c>
      <c r="B42" s="5" t="s">
        <v>431</v>
      </c>
      <c r="C42" s="5" t="s">
        <v>432</v>
      </c>
      <c r="D42" s="5" t="s">
        <v>27</v>
      </c>
      <c r="E42" s="5">
        <v>-23.5</v>
      </c>
      <c r="F42" s="5" t="s">
        <v>9</v>
      </c>
      <c r="G42" s="5" t="s">
        <v>195</v>
      </c>
      <c r="H42" s="5"/>
      <c r="I42" s="5"/>
      <c r="J42" s="5"/>
      <c r="K42" s="5"/>
      <c r="L42" s="5"/>
      <c r="M42" s="6"/>
      <c r="N42" s="1">
        <f>IF( ISBLANK(LogTable2023[[#This Row],[Date_o]]), IF(ISBLANK(LogTable2023[[#This Row],[Date_i]]), "", LogTable2023[[#This Row],[Date_i]]), LogTable2023[[#This Row],[Date_o]])</f>
        <v>45261</v>
      </c>
      <c r="O42" t="str">
        <f>IF( ISBLANK(LogTable2023[[#This Row],[Description_o]]), IF(ISBLANK(LogTable2023[[#This Row],[Description_i]]), "", LogTable2023[[#This Row],[Description_i]]), LogTable2023[[#This Row],[Description_o]])</f>
        <v>Rj?s Tacowich</v>
      </c>
      <c r="P42" t="str">
        <f>IF( ISBLANK(LogTable2023[[#This Row],[Original Description_o]]), IF(ISBLANK(LogTable2023[[#This Row],[Original Description_i]]), "", LogTable2023[[#This Row],[Original Description_i]]), LogTable2023[[#This Row],[Original Description_o]])</f>
        <v>SQ *RJ?S TACOWICH        Denver       CO</v>
      </c>
      <c r="Q42" t="str">
        <f>IF( ISBLANK(LogTable2023[[#This Row],[Category_o]]), IF(ISBLANK(LogTable2023[[#This Row],[Category_i]]), "", LogTable2023[[#This Row],[Category_i]]), LogTable2023[[#This Row],[Category_o]])</f>
        <v>Fast Food</v>
      </c>
      <c r="R42" s="10">
        <f>IF( ISBLANK(LogTable2023[[#This Row],[Amount_o]]), IF(ISBLANK(LogTable2023[[#This Row],[Amount_i]]), "", LogTable2023[[#This Row],[Amount_i]]), LogTable2023[[#This Row],[Amount_o]])</f>
        <v>-23.5</v>
      </c>
      <c r="S42" s="1" t="str">
        <f>IF( ISBLANK(LogTable2023[[#This Row],[Status_o]]), IF(ISBLANK(LogTable2023[[#This Row],[Status_i]]), "", LogTable2023[[#This Row],[Status_i]]), LogTable2023[[#This Row],[Status_o]])</f>
        <v>Posted</v>
      </c>
      <c r="T42" t="s">
        <v>348</v>
      </c>
      <c r="U42" t="str">
        <f>IF( _xlfn.IFNA(MATCH(LogTable2023[[#This Row],[My Category]], Buckets!$D$4:$D$35, 0), FALSE), ".", "E")</f>
        <v>.</v>
      </c>
      <c r="V42" t="s">
        <v>435</v>
      </c>
    </row>
    <row r="43" spans="1:22" hidden="1" x14ac:dyDescent="0.25">
      <c r="A43" s="4">
        <v>45260</v>
      </c>
      <c r="B43" s="5" t="s">
        <v>6</v>
      </c>
      <c r="C43" s="5" t="s">
        <v>7</v>
      </c>
      <c r="D43" s="5" t="s">
        <v>8</v>
      </c>
      <c r="E43" s="5">
        <v>-144.58000000000001</v>
      </c>
      <c r="F43" s="5" t="s">
        <v>9</v>
      </c>
      <c r="G43" s="5" t="s">
        <v>195</v>
      </c>
      <c r="H43" s="5"/>
      <c r="I43" s="5"/>
      <c r="J43" s="5"/>
      <c r="K43" s="5"/>
      <c r="L43" s="5"/>
      <c r="M43" s="6"/>
      <c r="N43" s="1">
        <f>IF( ISBLANK(LogTable2023[[#This Row],[Date_o]]), IF(ISBLANK(LogTable2023[[#This Row],[Date_i]]), "", LogTable2023[[#This Row],[Date_i]]), LogTable2023[[#This Row],[Date_o]])</f>
        <v>45260</v>
      </c>
      <c r="O43" t="str">
        <f>IF( ISBLANK(LogTable2023[[#This Row],[Description_o]]), IF(ISBLANK(LogTable2023[[#This Row],[Description_i]]), "", LogTable2023[[#This Row],[Description_i]]), LogTable2023[[#This Row],[Description_o]])</f>
        <v>Colorado Division of Motor Vehicles</v>
      </c>
      <c r="P43" t="str">
        <f>IF( ISBLANK(LogTable2023[[#This Row],[Original Description_o]]), IF(ISBLANK(LogTable2023[[#This Row],[Original Description_i]]), "", LogTable2023[[#This Row],[Original Description_i]]), LogTable2023[[#This Row],[Original Description_o]])</f>
        <v>CO MOTOR VEH SERV EMV    DENVER       CO</v>
      </c>
      <c r="Q43" t="str">
        <f>IF( ISBLANK(LogTable2023[[#This Row],[Category_o]]), IF(ISBLANK(LogTable2023[[#This Row],[Category_i]]), "", LogTable2023[[#This Row],[Category_i]]), LogTable2023[[#This Row],[Category_o]])</f>
        <v>Auto &amp; Transport</v>
      </c>
      <c r="R43" s="10">
        <f>IF( ISBLANK(LogTable2023[[#This Row],[Amount_o]]), IF(ISBLANK(LogTable2023[[#This Row],[Amount_i]]), "", LogTable2023[[#This Row],[Amount_i]]), LogTable2023[[#This Row],[Amount_o]])</f>
        <v>-144.58000000000001</v>
      </c>
      <c r="S43" s="1" t="str">
        <f>IF( ISBLANK(LogTable2023[[#This Row],[Status_o]]), IF(ISBLANK(LogTable2023[[#This Row],[Status_i]]), "", LogTable2023[[#This Row],[Status_i]]), LogTable2023[[#This Row],[Status_o]])</f>
        <v>Posted</v>
      </c>
      <c r="T43" t="s">
        <v>283</v>
      </c>
      <c r="U43" t="str">
        <f>IF( _xlfn.IFNA(MATCH(LogTable2023[[#This Row],[My Category]], Buckets!$D$4:$D$35, 0), FALSE), ".", "E")</f>
        <v>.</v>
      </c>
    </row>
    <row r="44" spans="1:22" hidden="1" x14ac:dyDescent="0.25">
      <c r="A44" s="4">
        <v>45259</v>
      </c>
      <c r="B44" s="5" t="s">
        <v>10</v>
      </c>
      <c r="C44" s="5" t="s">
        <v>11</v>
      </c>
      <c r="D44" s="5" t="s">
        <v>12</v>
      </c>
      <c r="E44" s="5">
        <v>-670.79</v>
      </c>
      <c r="F44" s="5" t="s">
        <v>9</v>
      </c>
      <c r="G44" s="5" t="s">
        <v>195</v>
      </c>
      <c r="H44" s="5"/>
      <c r="I44" s="5"/>
      <c r="J44" s="5"/>
      <c r="K44" s="5"/>
      <c r="L44" s="5"/>
      <c r="M44" s="6"/>
      <c r="N44" s="1">
        <f>IF( ISBLANK(LogTable2023[[#This Row],[Date_o]]), IF(ISBLANK(LogTable2023[[#This Row],[Date_i]]), "", LogTable2023[[#This Row],[Date_i]]), LogTable2023[[#This Row],[Date_o]])</f>
        <v>45259</v>
      </c>
      <c r="O44" t="str">
        <f>IF( ISBLANK(LogTable2023[[#This Row],[Description_o]]), IF(ISBLANK(LogTable2023[[#This Row],[Description_i]]), "", LogTable2023[[#This Row],[Description_i]]), LogTable2023[[#This Row],[Description_o]])</f>
        <v>Google Store</v>
      </c>
      <c r="P44" t="str">
        <f>IF( ISBLANK(LogTable2023[[#This Row],[Original Description_o]]), IF(ISBLANK(LogTable2023[[#This Row],[Original Description_i]]), "", LogTable2023[[#This Row],[Original Description_i]]), LogTable2023[[#This Row],[Original Description_o]])</f>
        <v>PAYPAL *GOOGLE STORE     402-935-7733 CA</v>
      </c>
      <c r="Q44" t="str">
        <f>IF( ISBLANK(LogTable2023[[#This Row],[Category_o]]), IF(ISBLANK(LogTable2023[[#This Row],[Category_i]]), "", LogTable2023[[#This Row],[Category_i]]), LogTable2023[[#This Row],[Category_o]])</f>
        <v>Shopping</v>
      </c>
      <c r="R44" s="10">
        <f>IF( ISBLANK(LogTable2023[[#This Row],[Amount_o]]), IF(ISBLANK(LogTable2023[[#This Row],[Amount_i]]), "", LogTable2023[[#This Row],[Amount_i]]), LogTable2023[[#This Row],[Amount_o]])</f>
        <v>-670.79</v>
      </c>
      <c r="S44" s="1" t="str">
        <f>IF( ISBLANK(LogTable2023[[#This Row],[Status_o]]), IF(ISBLANK(LogTable2023[[#This Row],[Status_i]]), "", LogTable2023[[#This Row],[Status_i]]), LogTable2023[[#This Row],[Status_o]])</f>
        <v>Posted</v>
      </c>
      <c r="T44" t="s">
        <v>295</v>
      </c>
      <c r="U44" t="str">
        <f>IF( _xlfn.IFNA(MATCH(LogTable2023[[#This Row],[My Category]], Buckets!$D$4:$D$35, 0), FALSE), ".", "E")</f>
        <v>.</v>
      </c>
      <c r="V44" t="s">
        <v>355</v>
      </c>
    </row>
    <row r="45" spans="1:22" hidden="1" x14ac:dyDescent="0.25">
      <c r="A45" s="4">
        <v>45259</v>
      </c>
      <c r="B45" s="5" t="s">
        <v>196</v>
      </c>
      <c r="C45" s="5" t="s">
        <v>197</v>
      </c>
      <c r="D45" s="5" t="s">
        <v>198</v>
      </c>
      <c r="E45" s="5">
        <v>5579.1</v>
      </c>
      <c r="F45" s="5" t="s">
        <v>9</v>
      </c>
      <c r="G45" s="5" t="s">
        <v>269</v>
      </c>
      <c r="H45" s="5"/>
      <c r="I45" s="5"/>
      <c r="J45" s="5"/>
      <c r="K45" s="5"/>
      <c r="L45" s="5"/>
      <c r="M45" s="6"/>
      <c r="N45" s="1">
        <f>IF( ISBLANK(LogTable2023[[#This Row],[Date_o]]), IF(ISBLANK(LogTable2023[[#This Row],[Date_i]]), "", LogTable2023[[#This Row],[Date_i]]), LogTable2023[[#This Row],[Date_o]])</f>
        <v>45259</v>
      </c>
      <c r="O45" t="str">
        <f>IF( ISBLANK(LogTable2023[[#This Row],[Description_o]]), IF(ISBLANK(LogTable2023[[#This Row],[Description_i]]), "", LogTable2023[[#This Row],[Description_i]]), LogTable2023[[#This Row],[Description_o]])</f>
        <v>Insperity</v>
      </c>
      <c r="P45" t="str">
        <f>IF( ISBLANK(LogTable2023[[#This Row],[Original Description_o]]), IF(ISBLANK(LogTable2023[[#This Row],[Original Description_i]]), "", LogTable2023[[#This Row],[Original Description_i]]), LogTable2023[[#This Row],[Original Description_o]])</f>
        <v>ASF, DBA Insperi PAYROLL    ***********5626</v>
      </c>
      <c r="Q45" t="str">
        <f>IF( ISBLANK(LogTable2023[[#This Row],[Category_o]]), IF(ISBLANK(LogTable2023[[#This Row],[Category_i]]), "", LogTable2023[[#This Row],[Category_i]]), LogTable2023[[#This Row],[Category_o]])</f>
        <v>Paycheck</v>
      </c>
      <c r="R45" s="10">
        <f>IF( ISBLANK(LogTable2023[[#This Row],[Amount_o]]), IF(ISBLANK(LogTable2023[[#This Row],[Amount_i]]), "", LogTable2023[[#This Row],[Amount_i]]), LogTable2023[[#This Row],[Amount_o]])</f>
        <v>5579.1</v>
      </c>
      <c r="S45" s="1" t="str">
        <f>IF( ISBLANK(LogTable2023[[#This Row],[Status_o]]), IF(ISBLANK(LogTable2023[[#This Row],[Status_i]]), "", LogTable2023[[#This Row],[Status_i]]), LogTable2023[[#This Row],[Status_o]])</f>
        <v>Posted</v>
      </c>
      <c r="T45" t="s">
        <v>305</v>
      </c>
      <c r="U45" t="str">
        <f>IF( _xlfn.IFNA(MATCH(LogTable2023[[#This Row],[My Category]], Buckets!$D$4:$D$35, 0), FALSE), ".", "E")</f>
        <v>.</v>
      </c>
    </row>
    <row r="46" spans="1:22" hidden="1" x14ac:dyDescent="0.25">
      <c r="A46" s="4">
        <v>45258</v>
      </c>
      <c r="B46" s="5" t="s">
        <v>13</v>
      </c>
      <c r="C46" s="5" t="s">
        <v>14</v>
      </c>
      <c r="D46" s="5" t="s">
        <v>15</v>
      </c>
      <c r="E46" s="5">
        <v>-81.489999999999995</v>
      </c>
      <c r="F46" s="5" t="s">
        <v>9</v>
      </c>
      <c r="G46" s="5" t="s">
        <v>195</v>
      </c>
      <c r="H46" s="5"/>
      <c r="I46" s="5"/>
      <c r="J46" s="5"/>
      <c r="K46" s="5"/>
      <c r="L46" s="5"/>
      <c r="M46" s="6"/>
      <c r="N46" s="1">
        <f>IF( ISBLANK(LogTable2023[[#This Row],[Date_o]]), IF(ISBLANK(LogTable2023[[#This Row],[Date_i]]), "", LogTable2023[[#This Row],[Date_i]]), LogTable2023[[#This Row],[Date_o]])</f>
        <v>45258</v>
      </c>
      <c r="O46" t="str">
        <f>IF( ISBLANK(LogTable2023[[#This Row],[Description_o]]), IF(ISBLANK(LogTable2023[[#This Row],[Description_i]]), "", LogTable2023[[#This Row],[Description_i]]), LogTable2023[[#This Row],[Description_o]])</f>
        <v>King Soopers</v>
      </c>
      <c r="P46" t="str">
        <f>IF( ISBLANK(LogTable2023[[#This Row],[Original Description_o]]), IF(ISBLANK(LogTable2023[[#This Row],[Original Description_i]]), "", LogTable2023[[#This Row],[Original Description_i]]), LogTable2023[[#This Row],[Original Description_o]])</f>
        <v>KING SOOPERS #0057       WHEAT RIDGE  CO</v>
      </c>
      <c r="Q46" t="str">
        <f>IF( ISBLANK(LogTable2023[[#This Row],[Category_o]]), IF(ISBLANK(LogTable2023[[#This Row],[Category_i]]), "", LogTable2023[[#This Row],[Category_i]]), LogTable2023[[#This Row],[Category_o]])</f>
        <v>Groceries</v>
      </c>
      <c r="R46" s="10">
        <f>IF( ISBLANK(LogTable2023[[#This Row],[Amount_o]]), IF(ISBLANK(LogTable2023[[#This Row],[Amount_i]]), "", LogTable2023[[#This Row],[Amount_i]]), LogTable2023[[#This Row],[Amount_o]])</f>
        <v>-81.489999999999995</v>
      </c>
      <c r="S46" s="1" t="str">
        <f>IF( ISBLANK(LogTable2023[[#This Row],[Status_o]]), IF(ISBLANK(LogTable2023[[#This Row],[Status_i]]), "", LogTable2023[[#This Row],[Status_i]]), LogTable2023[[#This Row],[Status_o]])</f>
        <v>Posted</v>
      </c>
      <c r="T46" t="s">
        <v>15</v>
      </c>
      <c r="U46" t="str">
        <f>IF( _xlfn.IFNA(MATCH(LogTable2023[[#This Row],[My Category]], Buckets!$D$4:$D$35, 0), FALSE), ".", "E")</f>
        <v>.</v>
      </c>
    </row>
    <row r="47" spans="1:22" hidden="1" x14ac:dyDescent="0.25">
      <c r="A47" s="4">
        <v>45257</v>
      </c>
      <c r="B47" s="5" t="s">
        <v>16</v>
      </c>
      <c r="C47" s="5" t="s">
        <v>17</v>
      </c>
      <c r="D47" s="5" t="s">
        <v>18</v>
      </c>
      <c r="E47" s="5">
        <v>-156.24</v>
      </c>
      <c r="F47" s="5" t="s">
        <v>9</v>
      </c>
      <c r="G47" s="5" t="s">
        <v>195</v>
      </c>
      <c r="H47" s="5"/>
      <c r="I47" s="5"/>
      <c r="J47" s="5"/>
      <c r="K47" s="5"/>
      <c r="L47" s="5"/>
      <c r="M47" s="6"/>
      <c r="N47" s="1">
        <f>IF( ISBLANK(LogTable2023[[#This Row],[Date_o]]), IF(ISBLANK(LogTable2023[[#This Row],[Date_i]]), "", LogTable2023[[#This Row],[Date_i]]), LogTable2023[[#This Row],[Date_o]])</f>
        <v>45257</v>
      </c>
      <c r="O47" t="str">
        <f>IF( ISBLANK(LogTable2023[[#This Row],[Description_o]]), IF(ISBLANK(LogTable2023[[#This Row],[Description_i]]), "", LogTable2023[[#This Row],[Description_i]]), LogTable2023[[#This Row],[Description_o]])</f>
        <v>Weyco Shoes</v>
      </c>
      <c r="P47" t="str">
        <f>IF( ISBLANK(LogTable2023[[#This Row],[Original Description_o]]), IF(ISBLANK(LogTable2023[[#This Row],[Original Description_i]]), "", LogTable2023[[#This Row],[Original Description_i]]), LogTable2023[[#This Row],[Original Description_o]])</f>
        <v>PAYPAL *WEYCO SHOES      402-935-7733 WI</v>
      </c>
      <c r="Q47" t="str">
        <f>IF( ISBLANK(LogTable2023[[#This Row],[Category_o]]), IF(ISBLANK(LogTable2023[[#This Row],[Category_i]]), "", LogTable2023[[#This Row],[Category_i]]), LogTable2023[[#This Row],[Category_o]])</f>
        <v>Clothing</v>
      </c>
      <c r="R47" s="10">
        <f>IF( ISBLANK(LogTable2023[[#This Row],[Amount_o]]), IF(ISBLANK(LogTable2023[[#This Row],[Amount_i]]), "", LogTable2023[[#This Row],[Amount_i]]), LogTable2023[[#This Row],[Amount_o]])</f>
        <v>-156.24</v>
      </c>
      <c r="S47" s="1" t="str">
        <f>IF( ISBLANK(LogTable2023[[#This Row],[Status_o]]), IF(ISBLANK(LogTable2023[[#This Row],[Status_i]]), "", LogTable2023[[#This Row],[Status_i]]), LogTable2023[[#This Row],[Status_o]])</f>
        <v>Posted</v>
      </c>
      <c r="T47" t="s">
        <v>286</v>
      </c>
      <c r="U47" t="str">
        <f>IF( _xlfn.IFNA(MATCH(LogTable2023[[#This Row],[My Category]], Buckets!$D$4:$D$35, 0), FALSE), ".", "E")</f>
        <v>.</v>
      </c>
      <c r="V47" t="s">
        <v>344</v>
      </c>
    </row>
    <row r="48" spans="1:22" hidden="1" x14ac:dyDescent="0.25">
      <c r="A48" s="4">
        <v>45257</v>
      </c>
      <c r="B48" s="5" t="s">
        <v>19</v>
      </c>
      <c r="C48" s="5" t="s">
        <v>20</v>
      </c>
      <c r="D48" s="5" t="s">
        <v>21</v>
      </c>
      <c r="E48" s="5">
        <v>-13.32</v>
      </c>
      <c r="F48" s="5" t="s">
        <v>9</v>
      </c>
      <c r="G48" s="5" t="s">
        <v>195</v>
      </c>
      <c r="H48" s="5"/>
      <c r="I48" s="5"/>
      <c r="J48" s="5"/>
      <c r="K48" s="5"/>
      <c r="L48" s="5"/>
      <c r="M48" s="6"/>
      <c r="N48" s="1">
        <f>IF( ISBLANK(LogTable2023[[#This Row],[Date_o]]), IF(ISBLANK(LogTable2023[[#This Row],[Date_i]]), "", LogTable2023[[#This Row],[Date_i]]), LogTable2023[[#This Row],[Date_o]])</f>
        <v>45257</v>
      </c>
      <c r="O48" t="str">
        <f>IF( ISBLANK(LogTable2023[[#This Row],[Description_o]]), IF(ISBLANK(LogTable2023[[#This Row],[Description_i]]), "", LogTable2023[[#This Row],[Description_i]]), LogTable2023[[#This Row],[Description_o]])</f>
        <v>Mad Greens</v>
      </c>
      <c r="P48" t="str">
        <f>IF( ISBLANK(LogTable2023[[#This Row],[Original Description_o]]), IF(ISBLANK(LogTable2023[[#This Row],[Original Description_i]]), "", LogTable2023[[#This Row],[Original Description_i]]), LogTable2023[[#This Row],[Original Description_o]])</f>
        <v>MAD GREENS MG0115        WESTMINSTER  CO</v>
      </c>
      <c r="Q48" t="str">
        <f>IF( ISBLANK(LogTable2023[[#This Row],[Category_o]]), IF(ISBLANK(LogTable2023[[#This Row],[Category_i]]), "", LogTable2023[[#This Row],[Category_i]]), LogTable2023[[#This Row],[Category_o]])</f>
        <v>Restaurants</v>
      </c>
      <c r="R48" s="10">
        <f>IF( ISBLANK(LogTable2023[[#This Row],[Amount_o]]), IF(ISBLANK(LogTable2023[[#This Row],[Amount_i]]), "", LogTable2023[[#This Row],[Amount_i]]), LogTable2023[[#This Row],[Amount_o]])</f>
        <v>-13.32</v>
      </c>
      <c r="S48" s="1" t="str">
        <f>IF( ISBLANK(LogTable2023[[#This Row],[Status_o]]), IF(ISBLANK(LogTable2023[[#This Row],[Status_i]]), "", LogTable2023[[#This Row],[Status_i]]), LogTable2023[[#This Row],[Status_o]])</f>
        <v>Posted</v>
      </c>
      <c r="T48" t="s">
        <v>348</v>
      </c>
      <c r="U48" t="str">
        <f>IF( _xlfn.IFNA(MATCH(LogTable2023[[#This Row],[My Category]], Buckets!$D$4:$D$35, 0), FALSE), ".", "E")</f>
        <v>.</v>
      </c>
    </row>
    <row r="49" spans="1:22" hidden="1" x14ac:dyDescent="0.25">
      <c r="A49" s="4">
        <v>45257</v>
      </c>
      <c r="B49" s="5" t="s">
        <v>199</v>
      </c>
      <c r="C49" s="5" t="s">
        <v>200</v>
      </c>
      <c r="D49" s="5" t="s">
        <v>73</v>
      </c>
      <c r="E49" s="5">
        <v>100</v>
      </c>
      <c r="F49" s="5" t="s">
        <v>9</v>
      </c>
      <c r="G49" s="5" t="s">
        <v>269</v>
      </c>
      <c r="H49" s="5"/>
      <c r="I49" s="5"/>
      <c r="J49" s="5"/>
      <c r="K49" s="5"/>
      <c r="L49" s="5"/>
      <c r="M49" s="6"/>
      <c r="N49" s="1">
        <f>IF( ISBLANK(LogTable2023[[#This Row],[Date_o]]), IF(ISBLANK(LogTable2023[[#This Row],[Date_i]]), "", LogTable2023[[#This Row],[Date_i]]), LogTable2023[[#This Row],[Date_o]])</f>
        <v>45257</v>
      </c>
      <c r="O49" t="str">
        <f>IF( ISBLANK(LogTable2023[[#This Row],[Description_o]]), IF(ISBLANK(LogTable2023[[#This Row],[Description_i]]), "", LogTable2023[[#This Row],[Description_i]]), LogTable2023[[#This Row],[Description_o]])</f>
        <v>USAA Transfer</v>
      </c>
      <c r="P49" t="str">
        <f>IF( ISBLANK(LogTable2023[[#This Row],[Original Description_o]]), IF(ISBLANK(LogTable2023[[#This Row],[Original Description_i]]), "", LogTable2023[[#This Row],[Original Description_i]]), LogTable2023[[#This Row],[Original Description_o]])</f>
        <v>USAA FUNDS TRANSFER CR</v>
      </c>
      <c r="Q49" t="str">
        <f>IF( ISBLANK(LogTable2023[[#This Row],[Category_o]]), IF(ISBLANK(LogTable2023[[#This Row],[Category_i]]), "", LogTable2023[[#This Row],[Category_i]]), LogTable2023[[#This Row],[Category_o]])</f>
        <v>Transfer</v>
      </c>
      <c r="R49" s="10">
        <f>IF( ISBLANK(LogTable2023[[#This Row],[Amount_o]]), IF(ISBLANK(LogTable2023[[#This Row],[Amount_i]]), "", LogTable2023[[#This Row],[Amount_i]]), LogTable2023[[#This Row],[Amount_o]])</f>
        <v>100</v>
      </c>
      <c r="S49" s="1" t="str">
        <f>IF( ISBLANK(LogTable2023[[#This Row],[Status_o]]), IF(ISBLANK(LogTable2023[[#This Row],[Status_i]]), "", LogTable2023[[#This Row],[Status_i]]), LogTable2023[[#This Row],[Status_o]])</f>
        <v>Posted</v>
      </c>
      <c r="T49" t="s">
        <v>304</v>
      </c>
      <c r="U49" t="str">
        <f>IF( _xlfn.IFNA(MATCH(LogTable2023[[#This Row],[My Category]], Buckets!$D$4:$D$35, 0), FALSE), ".", "E")</f>
        <v>.</v>
      </c>
      <c r="V49" t="s">
        <v>357</v>
      </c>
    </row>
    <row r="50" spans="1:22" hidden="1" x14ac:dyDescent="0.25">
      <c r="A50" s="4">
        <v>45256</v>
      </c>
      <c r="B50" s="5" t="s">
        <v>22</v>
      </c>
      <c r="C50" s="5" t="s">
        <v>23</v>
      </c>
      <c r="D50" s="5" t="s">
        <v>24</v>
      </c>
      <c r="E50" s="5">
        <v>-65.239999999999995</v>
      </c>
      <c r="F50" s="5" t="s">
        <v>9</v>
      </c>
      <c r="G50" s="5" t="s">
        <v>195</v>
      </c>
      <c r="H50" s="5"/>
      <c r="I50" s="5"/>
      <c r="J50" s="5"/>
      <c r="K50" s="5"/>
      <c r="L50" s="5"/>
      <c r="M50" s="6"/>
      <c r="N50" s="1">
        <f>IF( ISBLANK(LogTable2023[[#This Row],[Date_o]]), IF(ISBLANK(LogTable2023[[#This Row],[Date_i]]), "", LogTable2023[[#This Row],[Date_i]]), LogTable2023[[#This Row],[Date_o]])</f>
        <v>45256</v>
      </c>
      <c r="O50" t="str">
        <f>IF( ISBLANK(LogTable2023[[#This Row],[Description_o]]), IF(ISBLANK(LogTable2023[[#This Row],[Description_i]]), "", LogTable2023[[#This Row],[Description_i]]), LogTable2023[[#This Row],[Description_o]])</f>
        <v>Best Buy</v>
      </c>
      <c r="P50" t="str">
        <f>IF( ISBLANK(LogTable2023[[#This Row],[Original Description_o]]), IF(ISBLANK(LogTable2023[[#This Row],[Original Description_i]]), "", LogTable2023[[#This Row],[Original Description_i]]), LogTable2023[[#This Row],[Original Description_o]])</f>
        <v>PAYPAL *BESTBUY COM      402-935-7733 MN</v>
      </c>
      <c r="Q50" t="str">
        <f>IF( ISBLANK(LogTable2023[[#This Row],[Category_o]]), IF(ISBLANK(LogTable2023[[#This Row],[Category_i]]), "", LogTable2023[[#This Row],[Category_i]]), LogTable2023[[#This Row],[Category_o]])</f>
        <v>Electronics &amp; Software</v>
      </c>
      <c r="R50" s="10">
        <f>IF( ISBLANK(LogTable2023[[#This Row],[Amount_o]]), IF(ISBLANK(LogTable2023[[#This Row],[Amount_i]]), "", LogTable2023[[#This Row],[Amount_i]]), LogTable2023[[#This Row],[Amount_o]])</f>
        <v>-65.239999999999995</v>
      </c>
      <c r="S50" s="1" t="str">
        <f>IF( ISBLANK(LogTable2023[[#This Row],[Status_o]]), IF(ISBLANK(LogTable2023[[#This Row],[Status_i]]), "", LogTable2023[[#This Row],[Status_i]]), LogTable2023[[#This Row],[Status_o]])</f>
        <v>Posted</v>
      </c>
      <c r="T50" t="s">
        <v>295</v>
      </c>
      <c r="U50" t="str">
        <f>IF( _xlfn.IFNA(MATCH(LogTable2023[[#This Row],[My Category]], Buckets!$D$4:$D$35, 0), FALSE), ".", "E")</f>
        <v>.</v>
      </c>
      <c r="V50" t="s">
        <v>345</v>
      </c>
    </row>
    <row r="51" spans="1:22" hidden="1" x14ac:dyDescent="0.25">
      <c r="A51" s="4">
        <v>45254</v>
      </c>
      <c r="B51" s="5" t="s">
        <v>201</v>
      </c>
      <c r="C51" s="5" t="s">
        <v>202</v>
      </c>
      <c r="D51" s="5" t="s">
        <v>203</v>
      </c>
      <c r="E51" s="5">
        <v>7.0000000000000007E-2</v>
      </c>
      <c r="F51" s="5" t="s">
        <v>9</v>
      </c>
      <c r="G51" s="5" t="s">
        <v>269</v>
      </c>
      <c r="H51" s="5"/>
      <c r="I51" s="5"/>
      <c r="J51" s="5"/>
      <c r="K51" s="5"/>
      <c r="L51" s="5"/>
      <c r="M51" s="6"/>
      <c r="N51" s="1">
        <f>IF( ISBLANK(LogTable2023[[#This Row],[Date_o]]), IF(ISBLANK(LogTable2023[[#This Row],[Date_i]]), "", LogTable2023[[#This Row],[Date_i]]), LogTable2023[[#This Row],[Date_o]])</f>
        <v>45254</v>
      </c>
      <c r="O51" t="str">
        <f>IF( ISBLANK(LogTable2023[[#This Row],[Description_o]]), IF(ISBLANK(LogTable2023[[#This Row],[Description_i]]), "", LogTable2023[[#This Row],[Description_i]]), LogTable2023[[#This Row],[Description_o]])</f>
        <v>Interest Paid</v>
      </c>
      <c r="P51" t="str">
        <f>IF( ISBLANK(LogTable2023[[#This Row],[Original Description_o]]), IF(ISBLANK(LogTable2023[[#This Row],[Original Description_i]]), "", LogTable2023[[#This Row],[Original Description_i]]), LogTable2023[[#This Row],[Original Description_o]])</f>
        <v>INTEREST PAID</v>
      </c>
      <c r="Q51" t="str">
        <f>IF( ISBLANK(LogTable2023[[#This Row],[Category_o]]), IF(ISBLANK(LogTable2023[[#This Row],[Category_i]]), "", LogTable2023[[#This Row],[Category_i]]), LogTable2023[[#This Row],[Category_o]])</f>
        <v>Interest Income</v>
      </c>
      <c r="R51" s="10">
        <f>IF( ISBLANK(LogTable2023[[#This Row],[Amount_o]]), IF(ISBLANK(LogTable2023[[#This Row],[Amount_i]]), "", LogTable2023[[#This Row],[Amount_i]]), LogTable2023[[#This Row],[Amount_o]])</f>
        <v>7.0000000000000007E-2</v>
      </c>
      <c r="S51" s="1" t="str">
        <f>IF( ISBLANK(LogTable2023[[#This Row],[Status_o]]), IF(ISBLANK(LogTable2023[[#This Row],[Status_i]]), "", LogTable2023[[#This Row],[Status_i]]), LogTable2023[[#This Row],[Status_o]])</f>
        <v>Posted</v>
      </c>
      <c r="T51" t="s">
        <v>306</v>
      </c>
      <c r="U51" t="str">
        <f>IF( _xlfn.IFNA(MATCH(LogTable2023[[#This Row],[My Category]], Buckets!$D$4:$D$35, 0), FALSE), ".", "E")</f>
        <v>.</v>
      </c>
    </row>
    <row r="52" spans="1:22" hidden="1" x14ac:dyDescent="0.25">
      <c r="A52" s="4">
        <v>45252</v>
      </c>
      <c r="B52" s="5" t="s">
        <v>25</v>
      </c>
      <c r="C52" s="5" t="s">
        <v>26</v>
      </c>
      <c r="D52" s="5" t="s">
        <v>27</v>
      </c>
      <c r="E52" s="5">
        <v>-12.67</v>
      </c>
      <c r="F52" s="5" t="s">
        <v>9</v>
      </c>
      <c r="G52" s="5" t="s">
        <v>195</v>
      </c>
      <c r="H52" s="5"/>
      <c r="I52" s="5"/>
      <c r="J52" s="5"/>
      <c r="K52" s="5"/>
      <c r="L52" s="5"/>
      <c r="M52" s="6"/>
      <c r="N52" s="1">
        <f>IF( ISBLANK(LogTable2023[[#This Row],[Date_o]]), IF(ISBLANK(LogTable2023[[#This Row],[Date_i]]), "", LogTable2023[[#This Row],[Date_i]]), LogTable2023[[#This Row],[Date_o]])</f>
        <v>45252</v>
      </c>
      <c r="O52" t="str">
        <f>IF( ISBLANK(LogTable2023[[#This Row],[Description_o]]), IF(ISBLANK(LogTable2023[[#This Row],[Description_i]]), "", LogTable2023[[#This Row],[Description_i]]), LogTable2023[[#This Row],[Description_o]])</f>
        <v>Qdoba</v>
      </c>
      <c r="P52" t="str">
        <f>IF( ISBLANK(LogTable2023[[#This Row],[Original Description_o]]), IF(ISBLANK(LogTable2023[[#This Row],[Original Description_i]]), "", LogTable2023[[#This Row],[Original Description_i]]), LogTable2023[[#This Row],[Original Description_o]])</f>
        <v>QDOBA 2063               WESTMINSTER  CA</v>
      </c>
      <c r="Q52" t="str">
        <f>IF( ISBLANK(LogTable2023[[#This Row],[Category_o]]), IF(ISBLANK(LogTable2023[[#This Row],[Category_i]]), "", LogTable2023[[#This Row],[Category_i]]), LogTable2023[[#This Row],[Category_o]])</f>
        <v>Fast Food</v>
      </c>
      <c r="R52" s="10">
        <f>IF( ISBLANK(LogTable2023[[#This Row],[Amount_o]]), IF(ISBLANK(LogTable2023[[#This Row],[Amount_i]]), "", LogTable2023[[#This Row],[Amount_i]]), LogTable2023[[#This Row],[Amount_o]])</f>
        <v>-12.67</v>
      </c>
      <c r="S52" s="1" t="str">
        <f>IF( ISBLANK(LogTable2023[[#This Row],[Status_o]]), IF(ISBLANK(LogTable2023[[#This Row],[Status_i]]), "", LogTable2023[[#This Row],[Status_i]]), LogTable2023[[#This Row],[Status_o]])</f>
        <v>Posted</v>
      </c>
      <c r="T52" t="s">
        <v>348</v>
      </c>
      <c r="U52" t="str">
        <f>IF( _xlfn.IFNA(MATCH(LogTable2023[[#This Row],[My Category]], Buckets!$D$4:$D$35, 0), FALSE), ".", "E")</f>
        <v>.</v>
      </c>
    </row>
    <row r="53" spans="1:22" hidden="1" x14ac:dyDescent="0.25">
      <c r="A53" s="4">
        <v>45252</v>
      </c>
      <c r="B53" s="5" t="s">
        <v>28</v>
      </c>
      <c r="C53" s="5" t="s">
        <v>29</v>
      </c>
      <c r="D53" s="5" t="s">
        <v>21</v>
      </c>
      <c r="E53" s="5">
        <v>-30.63</v>
      </c>
      <c r="F53" s="5" t="s">
        <v>9</v>
      </c>
      <c r="G53" s="5" t="s">
        <v>195</v>
      </c>
      <c r="H53" s="5"/>
      <c r="I53" s="5"/>
      <c r="J53" s="5"/>
      <c r="K53" s="5"/>
      <c r="L53" s="5"/>
      <c r="M53" s="6"/>
      <c r="N53" s="1">
        <f>IF( ISBLANK(LogTable2023[[#This Row],[Date_o]]), IF(ISBLANK(LogTable2023[[#This Row],[Date_i]]), "", LogTable2023[[#This Row],[Date_i]]), LogTable2023[[#This Row],[Date_o]])</f>
        <v>45252</v>
      </c>
      <c r="O53" t="str">
        <f>IF( ISBLANK(LogTable2023[[#This Row],[Description_o]]), IF(ISBLANK(LogTable2023[[#This Row],[Description_i]]), "", LogTable2023[[#This Row],[Description_i]]), LogTable2023[[#This Row],[Description_o]])</f>
        <v>It's Brothers Bar Gril</v>
      </c>
      <c r="P53" t="str">
        <f>IF( ISBLANK(LogTable2023[[#This Row],[Original Description_o]]), IF(ISBLANK(LogTable2023[[#This Row],[Original Description_i]]), "", LogTable2023[[#This Row],[Original Description_i]]), LogTable2023[[#This Row],[Original Description_o]])</f>
        <v>IT'S BROTHERS BAR GRIL   DENVER       CO</v>
      </c>
      <c r="Q53" t="str">
        <f>IF( ISBLANK(LogTable2023[[#This Row],[Category_o]]), IF(ISBLANK(LogTable2023[[#This Row],[Category_i]]), "", LogTable2023[[#This Row],[Category_i]]), LogTable2023[[#This Row],[Category_o]])</f>
        <v>Restaurants</v>
      </c>
      <c r="R53" s="10">
        <f>IF( ISBLANK(LogTable2023[[#This Row],[Amount_o]]), IF(ISBLANK(LogTable2023[[#This Row],[Amount_i]]), "", LogTable2023[[#This Row],[Amount_i]]), LogTable2023[[#This Row],[Amount_o]])</f>
        <v>-30.63</v>
      </c>
      <c r="S53" s="1" t="str">
        <f>IF( ISBLANK(LogTable2023[[#This Row],[Status_o]]), IF(ISBLANK(LogTable2023[[#This Row],[Status_i]]), "", LogTable2023[[#This Row],[Status_i]]), LogTable2023[[#This Row],[Status_o]])</f>
        <v>Posted</v>
      </c>
      <c r="T53" t="s">
        <v>287</v>
      </c>
      <c r="U53" t="str">
        <f>IF( _xlfn.IFNA(MATCH(LogTable2023[[#This Row],[My Category]], Buckets!$D$4:$D$35, 0), FALSE), ".", "E")</f>
        <v>.</v>
      </c>
    </row>
    <row r="54" spans="1:22" hidden="1" x14ac:dyDescent="0.25">
      <c r="A54" s="4">
        <v>45252</v>
      </c>
      <c r="B54" s="5" t="s">
        <v>30</v>
      </c>
      <c r="C54" s="5" t="s">
        <v>31</v>
      </c>
      <c r="D54" s="5" t="s">
        <v>32</v>
      </c>
      <c r="E54" s="5">
        <v>-15</v>
      </c>
      <c r="F54" s="5" t="s">
        <v>9</v>
      </c>
      <c r="G54" s="5" t="s">
        <v>195</v>
      </c>
      <c r="H54" s="5"/>
      <c r="I54" s="5"/>
      <c r="J54" s="5"/>
      <c r="K54" s="5"/>
      <c r="L54" s="5"/>
      <c r="M54" s="6"/>
      <c r="N54" s="1">
        <f>IF( ISBLANK(LogTable2023[[#This Row],[Date_o]]), IF(ISBLANK(LogTable2023[[#This Row],[Date_i]]), "", LogTable2023[[#This Row],[Date_i]]), LogTable2023[[#This Row],[Date_o]])</f>
        <v>45252</v>
      </c>
      <c r="O54" t="str">
        <f>IF( ISBLANK(LogTable2023[[#This Row],[Description_o]]), IF(ISBLANK(LogTable2023[[#This Row],[Description_i]]), "", LogTable2023[[#This Row],[Description_i]]), LogTable2023[[#This Row],[Description_o]])</f>
        <v>Boulderswing</v>
      </c>
      <c r="P54" t="str">
        <f>IF( ISBLANK(LogTable2023[[#This Row],[Original Description_o]]), IF(ISBLANK(LogTable2023[[#This Row],[Original Description_i]]), "", LogTable2023[[#This Row],[Original Description_i]]), LogTable2023[[#This Row],[Original Description_o]])</f>
        <v>BOULDERSWING             BOULDERSWINGDCO</v>
      </c>
      <c r="Q54" t="str">
        <f>IF( ISBLANK(LogTable2023[[#This Row],[Category_o]]), IF(ISBLANK(LogTable2023[[#This Row],[Category_i]]), "", LogTable2023[[#This Row],[Category_i]]), LogTable2023[[#This Row],[Category_o]])</f>
        <v>Entertainment</v>
      </c>
      <c r="R54" s="10">
        <f>IF( ISBLANK(LogTable2023[[#This Row],[Amount_o]]), IF(ISBLANK(LogTable2023[[#This Row],[Amount_i]]), "", LogTable2023[[#This Row],[Amount_i]]), LogTable2023[[#This Row],[Amount_o]])</f>
        <v>-15</v>
      </c>
      <c r="S54" s="1" t="str">
        <f>IF( ISBLANK(LogTable2023[[#This Row],[Status_o]]), IF(ISBLANK(LogTable2023[[#This Row],[Status_i]]), "", LogTable2023[[#This Row],[Status_i]]), LogTable2023[[#This Row],[Status_o]])</f>
        <v>Posted</v>
      </c>
      <c r="T54" t="s">
        <v>285</v>
      </c>
      <c r="U54" t="str">
        <f>IF( _xlfn.IFNA(MATCH(LogTable2023[[#This Row],[My Category]], Buckets!$D$4:$D$35, 0), FALSE), ".", "E")</f>
        <v>.</v>
      </c>
      <c r="V54" t="s">
        <v>434</v>
      </c>
    </row>
    <row r="55" spans="1:22" hidden="1" x14ac:dyDescent="0.25">
      <c r="A55" s="4">
        <v>45252</v>
      </c>
      <c r="B55" s="5" t="s">
        <v>33</v>
      </c>
      <c r="C55" s="5" t="s">
        <v>34</v>
      </c>
      <c r="D55" s="5" t="s">
        <v>35</v>
      </c>
      <c r="E55" s="5">
        <v>-46.08</v>
      </c>
      <c r="F55" s="5" t="s">
        <v>9</v>
      </c>
      <c r="G55" s="5" t="s">
        <v>195</v>
      </c>
      <c r="H55" s="5"/>
      <c r="I55" s="5"/>
      <c r="J55" s="5"/>
      <c r="K55" s="5"/>
      <c r="L55" s="5"/>
      <c r="M55" s="6"/>
      <c r="N55" s="1">
        <f>IF( ISBLANK(LogTable2023[[#This Row],[Date_o]]), IF(ISBLANK(LogTable2023[[#This Row],[Date_i]]), "", LogTable2023[[#This Row],[Date_i]]), LogTable2023[[#This Row],[Date_o]])</f>
        <v>45252</v>
      </c>
      <c r="O55" t="str">
        <f>IF( ISBLANK(LogTable2023[[#This Row],[Description_o]]), IF(ISBLANK(LogTable2023[[#This Row],[Description_i]]), "", LogTable2023[[#This Row],[Description_i]]), LogTable2023[[#This Row],[Description_o]])</f>
        <v>Bar Louie</v>
      </c>
      <c r="P55" t="str">
        <f>IF( ISBLANK(LogTable2023[[#This Row],[Original Description_o]]), IF(ISBLANK(LogTable2023[[#This Row],[Original Description_i]]), "", LogTable2023[[#This Row],[Original Description_i]]), LogTable2023[[#This Row],[Original Description_o]])</f>
        <v>TST* BAR LOUIE - DENVER  DENVER       CO</v>
      </c>
      <c r="Q55" t="str">
        <f>IF( ISBLANK(LogTable2023[[#This Row],[Category_o]]), IF(ISBLANK(LogTable2023[[#This Row],[Category_i]]), "", LogTable2023[[#This Row],[Category_i]]), LogTable2023[[#This Row],[Category_o]])</f>
        <v>Alcohol &amp; Bars</v>
      </c>
      <c r="R55" s="10">
        <f>IF( ISBLANK(LogTable2023[[#This Row],[Amount_o]]), IF(ISBLANK(LogTable2023[[#This Row],[Amount_i]]), "", LogTable2023[[#This Row],[Amount_i]]), LogTable2023[[#This Row],[Amount_o]])</f>
        <v>-46.08</v>
      </c>
      <c r="S55" s="1" t="str">
        <f>IF( ISBLANK(LogTable2023[[#This Row],[Status_o]]), IF(ISBLANK(LogTable2023[[#This Row],[Status_i]]), "", LogTable2023[[#This Row],[Status_i]]), LogTable2023[[#This Row],[Status_o]])</f>
        <v>Posted</v>
      </c>
      <c r="T55" t="s">
        <v>287</v>
      </c>
      <c r="U55" t="str">
        <f>IF( _xlfn.IFNA(MATCH(LogTable2023[[#This Row],[My Category]], Buckets!$D$4:$D$35, 0), FALSE), ".", "E")</f>
        <v>.</v>
      </c>
      <c r="V55" t="s">
        <v>336</v>
      </c>
    </row>
    <row r="56" spans="1:22" hidden="1" x14ac:dyDescent="0.25">
      <c r="A56" s="4">
        <v>45251</v>
      </c>
      <c r="B56" s="5" t="s">
        <v>36</v>
      </c>
      <c r="C56" s="5" t="s">
        <v>37</v>
      </c>
      <c r="D56" s="5" t="s">
        <v>21</v>
      </c>
      <c r="E56" s="5">
        <v>-13.66</v>
      </c>
      <c r="F56" s="5" t="s">
        <v>9</v>
      </c>
      <c r="G56" s="5" t="s">
        <v>195</v>
      </c>
      <c r="H56" s="5"/>
      <c r="I56" s="5"/>
      <c r="J56" s="5"/>
      <c r="K56" s="5"/>
      <c r="L56" s="5"/>
      <c r="M56" s="6"/>
      <c r="N56" s="1">
        <f>IF( ISBLANK(LogTable2023[[#This Row],[Date_o]]), IF(ISBLANK(LogTable2023[[#This Row],[Date_i]]), "", LogTable2023[[#This Row],[Date_i]]), LogTable2023[[#This Row],[Date_o]])</f>
        <v>45251</v>
      </c>
      <c r="O56" t="str">
        <f>IF( ISBLANK(LogTable2023[[#This Row],[Description_o]]), IF(ISBLANK(LogTable2023[[#This Row],[Description_i]]), "", LogTable2023[[#This Row],[Description_i]]), LogTable2023[[#This Row],[Description_o]])</f>
        <v>Call Your Mother</v>
      </c>
      <c r="P56" t="str">
        <f>IF( ISBLANK(LogTable2023[[#This Row],[Original Description_o]]), IF(ISBLANK(LogTable2023[[#This Row],[Original Description_i]]), "", LogTable2023[[#This Row],[Original Description_i]]), LogTable2023[[#This Row],[Original Description_o]])</f>
        <v>TST* CALL YOUR MOTHER - TDenver       CO</v>
      </c>
      <c r="Q56" t="str">
        <f>IF( ISBLANK(LogTable2023[[#This Row],[Category_o]]), IF(ISBLANK(LogTable2023[[#This Row],[Category_i]]), "", LogTable2023[[#This Row],[Category_i]]), LogTable2023[[#This Row],[Category_o]])</f>
        <v>Restaurants</v>
      </c>
      <c r="R56" s="10">
        <f>IF( ISBLANK(LogTable2023[[#This Row],[Amount_o]]), IF(ISBLANK(LogTable2023[[#This Row],[Amount_i]]), "", LogTable2023[[#This Row],[Amount_i]]), LogTable2023[[#This Row],[Amount_o]])</f>
        <v>-13.66</v>
      </c>
      <c r="S56" s="1" t="str">
        <f>IF( ISBLANK(LogTable2023[[#This Row],[Status_o]]), IF(ISBLANK(LogTable2023[[#This Row],[Status_i]]), "", LogTable2023[[#This Row],[Status_i]]), LogTable2023[[#This Row],[Status_o]])</f>
        <v>Posted</v>
      </c>
      <c r="T56" t="s">
        <v>348</v>
      </c>
      <c r="U56" t="str">
        <f>IF( _xlfn.IFNA(MATCH(LogTable2023[[#This Row],[My Category]], Buckets!$D$4:$D$35, 0), FALSE), ".", "E")</f>
        <v>.</v>
      </c>
    </row>
    <row r="57" spans="1:22" hidden="1" x14ac:dyDescent="0.25">
      <c r="A57" s="4">
        <v>45250</v>
      </c>
      <c r="B57" s="5" t="s">
        <v>13</v>
      </c>
      <c r="C57" s="5" t="s">
        <v>38</v>
      </c>
      <c r="D57" s="5" t="s">
        <v>39</v>
      </c>
      <c r="E57" s="5">
        <v>-29.13</v>
      </c>
      <c r="F57" s="5" t="s">
        <v>9</v>
      </c>
      <c r="G57" s="5" t="s">
        <v>195</v>
      </c>
      <c r="H57" s="5"/>
      <c r="I57" s="5"/>
      <c r="J57" s="5"/>
      <c r="K57" s="5"/>
      <c r="L57" s="5"/>
      <c r="M57" s="6"/>
      <c r="N57" s="1">
        <f>IF( ISBLANK(LogTable2023[[#This Row],[Date_o]]), IF(ISBLANK(LogTable2023[[#This Row],[Date_i]]), "", LogTable2023[[#This Row],[Date_i]]), LogTable2023[[#This Row],[Date_o]])</f>
        <v>45250</v>
      </c>
      <c r="O57" t="str">
        <f>IF( ISBLANK(LogTable2023[[#This Row],[Description_o]]), IF(ISBLANK(LogTable2023[[#This Row],[Description_i]]), "", LogTable2023[[#This Row],[Description_i]]), LogTable2023[[#This Row],[Description_o]])</f>
        <v>King Soopers</v>
      </c>
      <c r="P57" t="str">
        <f>IF( ISBLANK(LogTable2023[[#This Row],[Original Description_o]]), IF(ISBLANK(LogTable2023[[#This Row],[Original Description_i]]), "", LogTable2023[[#This Row],[Original Description_i]]), LogTable2023[[#This Row],[Original Description_o]])</f>
        <v>KING SOOPERS #0657 FUEL QWHEAT RIDGE  CO</v>
      </c>
      <c r="Q57" t="str">
        <f>IF( ISBLANK(LogTable2023[[#This Row],[Category_o]]), IF(ISBLANK(LogTable2023[[#This Row],[Category_i]]), "", LogTable2023[[#This Row],[Category_i]]), LogTable2023[[#This Row],[Category_o]])</f>
        <v>Gas</v>
      </c>
      <c r="R57" s="10">
        <f>IF( ISBLANK(LogTable2023[[#This Row],[Amount_o]]), IF(ISBLANK(LogTable2023[[#This Row],[Amount_i]]), "", LogTable2023[[#This Row],[Amount_i]]), LogTable2023[[#This Row],[Amount_o]])</f>
        <v>-29.13</v>
      </c>
      <c r="S57" s="1" t="str">
        <f>IF( ISBLANK(LogTable2023[[#This Row],[Status_o]]), IF(ISBLANK(LogTable2023[[#This Row],[Status_i]]), "", LogTable2023[[#This Row],[Status_i]]), LogTable2023[[#This Row],[Status_o]])</f>
        <v>Posted</v>
      </c>
      <c r="T57" t="s">
        <v>283</v>
      </c>
      <c r="U57" t="str">
        <f>IF( _xlfn.IFNA(MATCH(LogTable2023[[#This Row],[My Category]], Buckets!$D$4:$D$35, 0), FALSE), ".", "E")</f>
        <v>.</v>
      </c>
    </row>
    <row r="58" spans="1:22" hidden="1" x14ac:dyDescent="0.25">
      <c r="A58" s="4">
        <v>45250</v>
      </c>
      <c r="B58" s="5" t="s">
        <v>13</v>
      </c>
      <c r="C58" s="5" t="s">
        <v>14</v>
      </c>
      <c r="D58" s="5" t="s">
        <v>15</v>
      </c>
      <c r="E58" s="5">
        <v>-46.3</v>
      </c>
      <c r="F58" s="5" t="s">
        <v>9</v>
      </c>
      <c r="G58" s="5" t="s">
        <v>195</v>
      </c>
      <c r="H58" s="5"/>
      <c r="I58" s="5"/>
      <c r="J58" s="5"/>
      <c r="K58" s="5"/>
      <c r="L58" s="5"/>
      <c r="M58" s="6"/>
      <c r="N58" s="1">
        <f>IF( ISBLANK(LogTable2023[[#This Row],[Date_o]]), IF(ISBLANK(LogTable2023[[#This Row],[Date_i]]), "", LogTable2023[[#This Row],[Date_i]]), LogTable2023[[#This Row],[Date_o]])</f>
        <v>45250</v>
      </c>
      <c r="O58" t="str">
        <f>IF( ISBLANK(LogTable2023[[#This Row],[Description_o]]), IF(ISBLANK(LogTable2023[[#This Row],[Description_i]]), "", LogTable2023[[#This Row],[Description_i]]), LogTable2023[[#This Row],[Description_o]])</f>
        <v>King Soopers</v>
      </c>
      <c r="P58" t="str">
        <f>IF( ISBLANK(LogTable2023[[#This Row],[Original Description_o]]), IF(ISBLANK(LogTable2023[[#This Row],[Original Description_i]]), "", LogTable2023[[#This Row],[Original Description_i]]), LogTable2023[[#This Row],[Original Description_o]])</f>
        <v>KING SOOPERS #0057       WHEAT RIDGE  CO</v>
      </c>
      <c r="Q58" t="str">
        <f>IF( ISBLANK(LogTable2023[[#This Row],[Category_o]]), IF(ISBLANK(LogTable2023[[#This Row],[Category_i]]), "", LogTable2023[[#This Row],[Category_i]]), LogTable2023[[#This Row],[Category_o]])</f>
        <v>Groceries</v>
      </c>
      <c r="R58" s="10">
        <f>IF( ISBLANK(LogTable2023[[#This Row],[Amount_o]]), IF(ISBLANK(LogTable2023[[#This Row],[Amount_i]]), "", LogTable2023[[#This Row],[Amount_i]]), LogTable2023[[#This Row],[Amount_o]])</f>
        <v>-46.3</v>
      </c>
      <c r="S58" s="1" t="str">
        <f>IF( ISBLANK(LogTable2023[[#This Row],[Status_o]]), IF(ISBLANK(LogTable2023[[#This Row],[Status_i]]), "", LogTable2023[[#This Row],[Status_i]]), LogTable2023[[#This Row],[Status_o]])</f>
        <v>Posted</v>
      </c>
      <c r="T58" t="s">
        <v>15</v>
      </c>
      <c r="U58" t="str">
        <f>IF( _xlfn.IFNA(MATCH(LogTable2023[[#This Row],[My Category]], Buckets!$D$4:$D$35, 0), FALSE), ".", "E")</f>
        <v>.</v>
      </c>
    </row>
    <row r="59" spans="1:22" hidden="1" x14ac:dyDescent="0.25">
      <c r="A59" s="4">
        <v>45250</v>
      </c>
      <c r="B59" s="5" t="s">
        <v>40</v>
      </c>
      <c r="C59" s="5" t="s">
        <v>41</v>
      </c>
      <c r="D59" s="5" t="s">
        <v>12</v>
      </c>
      <c r="E59" s="5">
        <v>-70.459999999999994</v>
      </c>
      <c r="F59" s="5" t="s">
        <v>9</v>
      </c>
      <c r="G59" s="5" t="s">
        <v>195</v>
      </c>
      <c r="H59" s="5"/>
      <c r="I59" s="5"/>
      <c r="J59" s="5"/>
      <c r="K59" s="5"/>
      <c r="L59" s="5"/>
      <c r="M59" s="6"/>
      <c r="N59" s="1">
        <f>IF( ISBLANK(LogTable2023[[#This Row],[Date_o]]), IF(ISBLANK(LogTable2023[[#This Row],[Date_i]]), "", LogTable2023[[#This Row],[Date_i]]), LogTable2023[[#This Row],[Date_o]])</f>
        <v>45250</v>
      </c>
      <c r="O59" t="str">
        <f>IF( ISBLANK(LogTable2023[[#This Row],[Description_o]]), IF(ISBLANK(LogTable2023[[#This Row],[Description_i]]), "", LogTable2023[[#This Row],[Description_i]]), LogTable2023[[#This Row],[Description_o]])</f>
        <v>Grandmaster Games</v>
      </c>
      <c r="P59" t="str">
        <f>IF( ISBLANK(LogTable2023[[#This Row],[Original Description_o]]), IF(ISBLANK(LogTable2023[[#This Row],[Original Description_i]]), "", LogTable2023[[#This Row],[Original Description_i]]), LogTable2023[[#This Row],[Original Description_o]])</f>
        <v>GRANDMASTER GAMES        BOULDER      CO</v>
      </c>
      <c r="Q59" t="str">
        <f>IF( ISBLANK(LogTable2023[[#This Row],[Category_o]]), IF(ISBLANK(LogTable2023[[#This Row],[Category_i]]), "", LogTable2023[[#This Row],[Category_i]]), LogTable2023[[#This Row],[Category_o]])</f>
        <v>Shopping</v>
      </c>
      <c r="R59" s="10">
        <f>IF( ISBLANK(LogTable2023[[#This Row],[Amount_o]]), IF(ISBLANK(LogTable2023[[#This Row],[Amount_i]]), "", LogTable2023[[#This Row],[Amount_i]]), LogTable2023[[#This Row],[Amount_o]])</f>
        <v>-70.459999999999994</v>
      </c>
      <c r="S59" s="1" t="str">
        <f>IF( ISBLANK(LogTable2023[[#This Row],[Status_o]]), IF(ISBLANK(LogTable2023[[#This Row],[Status_i]]), "", LogTable2023[[#This Row],[Status_i]]), LogTable2023[[#This Row],[Status_o]])</f>
        <v>Posted</v>
      </c>
      <c r="T59" t="s">
        <v>304</v>
      </c>
      <c r="U59" t="str">
        <f>IF( _xlfn.IFNA(MATCH(LogTable2023[[#This Row],[My Category]], Buckets!$D$4:$D$35, 0), FALSE), ".", "E")</f>
        <v>.</v>
      </c>
      <c r="V59" t="s">
        <v>356</v>
      </c>
    </row>
    <row r="60" spans="1:22" hidden="1" x14ac:dyDescent="0.25">
      <c r="A60" s="4">
        <v>45250</v>
      </c>
      <c r="B60" s="5" t="s">
        <v>42</v>
      </c>
      <c r="C60" s="5" t="s">
        <v>43</v>
      </c>
      <c r="D60" s="5" t="s">
        <v>44</v>
      </c>
      <c r="E60" s="5">
        <v>-30</v>
      </c>
      <c r="F60" s="5" t="s">
        <v>9</v>
      </c>
      <c r="G60" s="5" t="s">
        <v>195</v>
      </c>
      <c r="H60" s="5"/>
      <c r="I60" s="5"/>
      <c r="J60" s="5"/>
      <c r="K60" s="5"/>
      <c r="L60" s="5"/>
      <c r="M60" s="6"/>
      <c r="N60" s="1">
        <f>IF( ISBLANK(LogTable2023[[#This Row],[Date_o]]), IF(ISBLANK(LogTable2023[[#This Row],[Date_i]]), "", LogTable2023[[#This Row],[Date_i]]), LogTable2023[[#This Row],[Date_o]])</f>
        <v>45250</v>
      </c>
      <c r="O60" t="str">
        <f>IF( ISBLANK(LogTable2023[[#This Row],[Description_o]]), IF(ISBLANK(LogTable2023[[#This Row],[Description_i]]), "", LogTable2023[[#This Row],[Description_i]]), LogTable2023[[#This Row],[Description_o]])</f>
        <v>Great Clips</v>
      </c>
      <c r="P60" t="str">
        <f>IF( ISBLANK(LogTable2023[[#This Row],[Original Description_o]]), IF(ISBLANK(LogTable2023[[#This Row],[Original Description_i]]), "", LogTable2023[[#This Row],[Original Description_i]]), LogTable2023[[#This Row],[Original Description_o]])</f>
        <v>9480 GREAT CLIPS AT BROOMBROOMFIELD   CO</v>
      </c>
      <c r="Q60" t="str">
        <f>IF( ISBLANK(LogTable2023[[#This Row],[Category_o]]), IF(ISBLANK(LogTable2023[[#This Row],[Category_i]]), "", LogTable2023[[#This Row],[Category_i]]), LogTable2023[[#This Row],[Category_o]])</f>
        <v>Hair</v>
      </c>
      <c r="R60" s="10">
        <f>IF( ISBLANK(LogTable2023[[#This Row],[Amount_o]]), IF(ISBLANK(LogTable2023[[#This Row],[Amount_i]]), "", LogTable2023[[#This Row],[Amount_i]]), LogTable2023[[#This Row],[Amount_o]])</f>
        <v>-30</v>
      </c>
      <c r="S60" s="1" t="str">
        <f>IF( ISBLANK(LogTable2023[[#This Row],[Status_o]]), IF(ISBLANK(LogTable2023[[#This Row],[Status_i]]), "", LogTable2023[[#This Row],[Status_i]]), LogTable2023[[#This Row],[Status_o]])</f>
        <v>Posted</v>
      </c>
      <c r="T60" t="s">
        <v>286</v>
      </c>
      <c r="U60" t="str">
        <f>IF( _xlfn.IFNA(MATCH(LogTable2023[[#This Row],[My Category]], Buckets!$D$4:$D$35, 0), FALSE), ".", "E")</f>
        <v>.</v>
      </c>
    </row>
    <row r="61" spans="1:22" hidden="1" x14ac:dyDescent="0.25">
      <c r="A61" s="4">
        <v>45248</v>
      </c>
      <c r="B61" s="5" t="s">
        <v>45</v>
      </c>
      <c r="C61" s="5" t="s">
        <v>46</v>
      </c>
      <c r="D61" s="5" t="s">
        <v>47</v>
      </c>
      <c r="E61" s="5">
        <v>-40.24</v>
      </c>
      <c r="F61" s="5" t="s">
        <v>9</v>
      </c>
      <c r="G61" s="5" t="s">
        <v>195</v>
      </c>
      <c r="H61" s="5"/>
      <c r="I61" s="5"/>
      <c r="J61" s="5"/>
      <c r="K61" s="5"/>
      <c r="L61" s="5"/>
      <c r="M61" s="6"/>
      <c r="N61" s="1">
        <f>IF( ISBLANK(LogTable2023[[#This Row],[Date_o]]), IF(ISBLANK(LogTable2023[[#This Row],[Date_i]]), "", LogTable2023[[#This Row],[Date_i]]), LogTable2023[[#This Row],[Date_o]])</f>
        <v>45248</v>
      </c>
      <c r="O61" t="str">
        <f>IF( ISBLANK(LogTable2023[[#This Row],[Description_o]]), IF(ISBLANK(LogTable2023[[#This Row],[Description_i]]), "", LogTable2023[[#This Row],[Description_i]]), LogTable2023[[#This Row],[Description_o]])</f>
        <v>Lucy's Burger Bar</v>
      </c>
      <c r="P61" t="str">
        <f>IF( ISBLANK(LogTable2023[[#This Row],[Original Description_o]]), IF(ISBLANK(LogTable2023[[#This Row],[Original Description_i]]), "", LogTable2023[[#This Row],[Original Description_i]]), LogTable2023[[#This Row],[Original Description_o]])</f>
        <v>TST* LUCY'S BURGER BAR   612-202-3545 CO</v>
      </c>
      <c r="Q61" t="str">
        <f>IF( ISBLANK(LogTable2023[[#This Row],[Category_o]]), IF(ISBLANK(LogTable2023[[#This Row],[Category_i]]), "", LogTable2023[[#This Row],[Category_i]]), LogTable2023[[#This Row],[Category_o]])</f>
        <v>Food &amp; Dining</v>
      </c>
      <c r="R61" s="10">
        <f>IF( ISBLANK(LogTable2023[[#This Row],[Amount_o]]), IF(ISBLANK(LogTable2023[[#This Row],[Amount_i]]), "", LogTable2023[[#This Row],[Amount_i]]), LogTable2023[[#This Row],[Amount_o]])</f>
        <v>-40.24</v>
      </c>
      <c r="S61" s="1" t="str">
        <f>IF( ISBLANK(LogTable2023[[#This Row],[Status_o]]), IF(ISBLANK(LogTable2023[[#This Row],[Status_i]]), "", LogTable2023[[#This Row],[Status_i]]), LogTable2023[[#This Row],[Status_o]])</f>
        <v>Posted</v>
      </c>
      <c r="T61" t="s">
        <v>348</v>
      </c>
      <c r="U61" t="str">
        <f>IF( _xlfn.IFNA(MATCH(LogTable2023[[#This Row],[My Category]], Buckets!$D$4:$D$35, 0), FALSE), ".", "E")</f>
        <v>.</v>
      </c>
    </row>
    <row r="62" spans="1:22" hidden="1" x14ac:dyDescent="0.25">
      <c r="A62" s="4">
        <v>45248</v>
      </c>
      <c r="B62" s="5" t="s">
        <v>48</v>
      </c>
      <c r="C62" s="5" t="s">
        <v>49</v>
      </c>
      <c r="D62" s="5" t="s">
        <v>47</v>
      </c>
      <c r="E62" s="5">
        <v>-31.05</v>
      </c>
      <c r="F62" s="5" t="s">
        <v>9</v>
      </c>
      <c r="G62" s="5" t="s">
        <v>195</v>
      </c>
      <c r="H62" s="5"/>
      <c r="I62" s="5"/>
      <c r="J62" s="5"/>
      <c r="K62" s="5"/>
      <c r="L62" s="5"/>
      <c r="M62" s="6"/>
      <c r="N62" s="1">
        <f>IF( ISBLANK(LogTable2023[[#This Row],[Date_o]]), IF(ISBLANK(LogTable2023[[#This Row],[Date_i]]), "", LogTable2023[[#This Row],[Date_i]]), LogTable2023[[#This Row],[Date_o]])</f>
        <v>45248</v>
      </c>
      <c r="O62" t="str">
        <f>IF( ISBLANK(LogTable2023[[#This Row],[Description_o]]), IF(ISBLANK(LogTable2023[[#This Row],[Description_i]]), "", LogTable2023[[#This Row],[Description_i]]), LogTable2023[[#This Row],[Description_o]])</f>
        <v>Cosmos Pizza Federal</v>
      </c>
      <c r="P62" t="str">
        <f>IF( ISBLANK(LogTable2023[[#This Row],[Original Description_o]]), IF(ISBLANK(LogTable2023[[#This Row],[Original Description_i]]), "", LogTable2023[[#This Row],[Original Description_i]]), LogTable2023[[#This Row],[Original Description_o]])</f>
        <v>COSMOS PIZZA - FEDERAL   DENVER       CO</v>
      </c>
      <c r="Q62" t="str">
        <f>IF( ISBLANK(LogTable2023[[#This Row],[Category_o]]), IF(ISBLANK(LogTable2023[[#This Row],[Category_i]]), "", LogTable2023[[#This Row],[Category_i]]), LogTable2023[[#This Row],[Category_o]])</f>
        <v>Food &amp; Dining</v>
      </c>
      <c r="R62" s="10">
        <f>IF( ISBLANK(LogTable2023[[#This Row],[Amount_o]]), IF(ISBLANK(LogTable2023[[#This Row],[Amount_i]]), "", LogTable2023[[#This Row],[Amount_i]]), LogTable2023[[#This Row],[Amount_o]])</f>
        <v>-31.05</v>
      </c>
      <c r="S62" s="1" t="str">
        <f>IF( ISBLANK(LogTable2023[[#This Row],[Status_o]]), IF(ISBLANK(LogTable2023[[#This Row],[Status_i]]), "", LogTable2023[[#This Row],[Status_i]]), LogTable2023[[#This Row],[Status_o]])</f>
        <v>Posted</v>
      </c>
      <c r="T62" t="s">
        <v>348</v>
      </c>
      <c r="U62" t="str">
        <f>IF( _xlfn.IFNA(MATCH(LogTable2023[[#This Row],[My Category]], Buckets!$D$4:$D$35, 0), FALSE), ".", "E")</f>
        <v>.</v>
      </c>
    </row>
    <row r="63" spans="1:22" hidden="1" x14ac:dyDescent="0.25">
      <c r="A63" s="4">
        <v>45246</v>
      </c>
      <c r="B63" s="5" t="s">
        <v>50</v>
      </c>
      <c r="C63" s="5" t="s">
        <v>51</v>
      </c>
      <c r="D63" s="5" t="s">
        <v>32</v>
      </c>
      <c r="E63" s="5">
        <v>-2</v>
      </c>
      <c r="F63" s="5" t="s">
        <v>9</v>
      </c>
      <c r="G63" s="5" t="s">
        <v>195</v>
      </c>
      <c r="H63" s="5"/>
      <c r="I63" s="5"/>
      <c r="J63" s="5"/>
      <c r="K63" s="5"/>
      <c r="L63" s="5"/>
      <c r="M63" s="6"/>
      <c r="N63" s="1">
        <f>IF( ISBLANK(LogTable2023[[#This Row],[Date_o]]), IF(ISBLANK(LogTable2023[[#This Row],[Date_i]]), "", LogTable2023[[#This Row],[Date_i]]), LogTable2023[[#This Row],[Date_o]])</f>
        <v>45246</v>
      </c>
      <c r="O63" t="str">
        <f>IF( ISBLANK(LogTable2023[[#This Row],[Description_o]]), IF(ISBLANK(LogTable2023[[#This Row],[Description_i]]), "", LogTable2023[[#This Row],[Description_i]]), LogTable2023[[#This Row],[Description_o]])</f>
        <v>Membership</v>
      </c>
      <c r="P63" t="str">
        <f>IF( ISBLANK(LogTable2023[[#This Row],[Original Description_o]]), IF(ISBLANK(LogTable2023[[#This Row],[Original Description_i]]), "", LogTable2023[[#This Row],[Original Description_i]]), LogTable2023[[#This Row],[Original Description_o]])</f>
        <v>PAYPAL * MEMBERSHIP      402-935-7733 CA</v>
      </c>
      <c r="Q63" t="str">
        <f>IF( ISBLANK(LogTable2023[[#This Row],[Category_o]]), IF(ISBLANK(LogTable2023[[#This Row],[Category_i]]), "", LogTable2023[[#This Row],[Category_i]]), LogTable2023[[#This Row],[Category_o]])</f>
        <v>Entertainment</v>
      </c>
      <c r="R63" s="10">
        <f>IF( ISBLANK(LogTable2023[[#This Row],[Amount_o]]), IF(ISBLANK(LogTable2023[[#This Row],[Amount_i]]), "", LogTable2023[[#This Row],[Amount_i]]), LogTable2023[[#This Row],[Amount_o]])</f>
        <v>-2</v>
      </c>
      <c r="S63" s="1" t="str">
        <f>IF( ISBLANK(LogTable2023[[#This Row],[Status_o]]), IF(ISBLANK(LogTable2023[[#This Row],[Status_i]]), "", LogTable2023[[#This Row],[Status_i]]), LogTable2023[[#This Row],[Status_o]])</f>
        <v>Posted</v>
      </c>
      <c r="T63" t="s">
        <v>288</v>
      </c>
      <c r="U63" t="str">
        <f>IF( _xlfn.IFNA(MATCH(LogTable2023[[#This Row],[My Category]], Buckets!$D$4:$D$35, 0), FALSE), ".", "E")</f>
        <v>.</v>
      </c>
    </row>
    <row r="64" spans="1:22" hidden="1" x14ac:dyDescent="0.25">
      <c r="A64" s="4">
        <v>45244</v>
      </c>
      <c r="B64" s="5" t="s">
        <v>196</v>
      </c>
      <c r="C64" s="5" t="s">
        <v>197</v>
      </c>
      <c r="D64" s="5" t="s">
        <v>198</v>
      </c>
      <c r="E64" s="5">
        <v>708.17</v>
      </c>
      <c r="F64" s="5" t="s">
        <v>9</v>
      </c>
      <c r="G64" s="5" t="s">
        <v>269</v>
      </c>
      <c r="H64" s="5"/>
      <c r="I64" s="5"/>
      <c r="J64" s="5"/>
      <c r="K64" s="5"/>
      <c r="L64" s="5"/>
      <c r="M64" s="6"/>
      <c r="N64" s="1">
        <f>IF( ISBLANK(LogTable2023[[#This Row],[Date_o]]), IF(ISBLANK(LogTable2023[[#This Row],[Date_i]]), "", LogTable2023[[#This Row],[Date_i]]), LogTable2023[[#This Row],[Date_o]])</f>
        <v>45244</v>
      </c>
      <c r="O64" t="str">
        <f>IF( ISBLANK(LogTable2023[[#This Row],[Description_o]]), IF(ISBLANK(LogTable2023[[#This Row],[Description_i]]), "", LogTable2023[[#This Row],[Description_i]]), LogTable2023[[#This Row],[Description_o]])</f>
        <v>Insperity</v>
      </c>
      <c r="P64" t="str">
        <f>IF( ISBLANK(LogTable2023[[#This Row],[Original Description_o]]), IF(ISBLANK(LogTable2023[[#This Row],[Original Description_i]]), "", LogTable2023[[#This Row],[Original Description_i]]), LogTable2023[[#This Row],[Original Description_o]])</f>
        <v>ASF, DBA Insperi PAYROLL    ***********5626</v>
      </c>
      <c r="Q64" t="str">
        <f>IF( ISBLANK(LogTable2023[[#This Row],[Category_o]]), IF(ISBLANK(LogTable2023[[#This Row],[Category_i]]), "", LogTable2023[[#This Row],[Category_i]]), LogTable2023[[#This Row],[Category_o]])</f>
        <v>Paycheck</v>
      </c>
      <c r="R64" s="10">
        <f>IF( ISBLANK(LogTable2023[[#This Row],[Amount_o]]), IF(ISBLANK(LogTable2023[[#This Row],[Amount_i]]), "", LogTable2023[[#This Row],[Amount_i]]), LogTable2023[[#This Row],[Amount_o]])</f>
        <v>708.17</v>
      </c>
      <c r="S64" s="1" t="str">
        <f>IF( ISBLANK(LogTable2023[[#This Row],[Status_o]]), IF(ISBLANK(LogTable2023[[#This Row],[Status_i]]), "", LogTable2023[[#This Row],[Status_i]]), LogTable2023[[#This Row],[Status_o]])</f>
        <v>Posted</v>
      </c>
      <c r="T64" t="s">
        <v>305</v>
      </c>
      <c r="U64" t="str">
        <f>IF( _xlfn.IFNA(MATCH(LogTable2023[[#This Row],[My Category]], Buckets!$D$4:$D$35, 0), FALSE), ".", "E")</f>
        <v>.</v>
      </c>
      <c r="V64" t="s">
        <v>354</v>
      </c>
    </row>
    <row r="65" spans="1:22" hidden="1" x14ac:dyDescent="0.25">
      <c r="A65" s="4">
        <v>45243</v>
      </c>
      <c r="B65" s="5" t="s">
        <v>204</v>
      </c>
      <c r="C65" s="5" t="s">
        <v>205</v>
      </c>
      <c r="D65" s="5" t="s">
        <v>206</v>
      </c>
      <c r="E65" s="5">
        <v>-163.71</v>
      </c>
      <c r="F65" s="5" t="s">
        <v>9</v>
      </c>
      <c r="G65" s="5" t="s">
        <v>269</v>
      </c>
      <c r="H65" s="5"/>
      <c r="I65" s="5"/>
      <c r="J65" s="5"/>
      <c r="K65" s="5"/>
      <c r="L65" s="5"/>
      <c r="M65" s="6"/>
      <c r="N65" s="1">
        <f>IF( ISBLANK(LogTable2023[[#This Row],[Date_o]]), IF(ISBLANK(LogTable2023[[#This Row],[Date_i]]), "", LogTable2023[[#This Row],[Date_i]]), LogTable2023[[#This Row],[Date_o]])</f>
        <v>45243</v>
      </c>
      <c r="O65" t="str">
        <f>IF( ISBLANK(LogTable2023[[#This Row],[Description_o]]), IF(ISBLANK(LogTable2023[[#This Row],[Description_i]]), "", LogTable2023[[#This Row],[Description_i]]), LogTable2023[[#This Row],[Description_o]])</f>
        <v>USAA Property and Casualty Insurance</v>
      </c>
      <c r="P65" t="str">
        <f>IF( ISBLANK(LogTable2023[[#This Row],[Original Description_o]]), IF(ISBLANK(LogTable2023[[#This Row],[Original Description_i]]), "", LogTable2023[[#This Row],[Original Description_i]]), LogTable2023[[#This Row],[Original Description_o]])</f>
        <v>USAA P&amp;C         AUTOPAY    ***********4530</v>
      </c>
      <c r="Q65" t="str">
        <f>IF( ISBLANK(LogTable2023[[#This Row],[Category_o]]), IF(ISBLANK(LogTable2023[[#This Row],[Category_i]]), "", LogTable2023[[#This Row],[Category_i]]), LogTable2023[[#This Row],[Category_o]])</f>
        <v>Financial</v>
      </c>
      <c r="R65" s="10">
        <f>IF( ISBLANK(LogTable2023[[#This Row],[Amount_o]]), IF(ISBLANK(LogTable2023[[#This Row],[Amount_i]]), "", LogTable2023[[#This Row],[Amount_i]]), LogTable2023[[#This Row],[Amount_o]])</f>
        <v>-163.71</v>
      </c>
      <c r="S65" s="1" t="str">
        <f>IF( ISBLANK(LogTable2023[[#This Row],[Status_o]]), IF(ISBLANK(LogTable2023[[#This Row],[Status_i]]), "", LogTable2023[[#This Row],[Status_i]]), LogTable2023[[#This Row],[Status_o]])</f>
        <v>Posted</v>
      </c>
      <c r="T65" t="s">
        <v>282</v>
      </c>
      <c r="U65" t="str">
        <f>IF( _xlfn.IFNA(MATCH(LogTable2023[[#This Row],[My Category]], Buckets!$D$4:$D$35, 0), FALSE), ".", "E")</f>
        <v>.</v>
      </c>
    </row>
    <row r="66" spans="1:22" hidden="1" x14ac:dyDescent="0.25">
      <c r="A66" s="4">
        <v>45242</v>
      </c>
      <c r="B66" s="5" t="s">
        <v>52</v>
      </c>
      <c r="C66" s="5" t="s">
        <v>53</v>
      </c>
      <c r="D66" s="5" t="s">
        <v>54</v>
      </c>
      <c r="E66" s="5">
        <v>-19.760000000000002</v>
      </c>
      <c r="F66" s="5" t="s">
        <v>9</v>
      </c>
      <c r="G66" s="5" t="s">
        <v>195</v>
      </c>
      <c r="H66" s="5"/>
      <c r="I66" s="5"/>
      <c r="J66" s="5"/>
      <c r="K66" s="5"/>
      <c r="L66" s="5"/>
      <c r="M66" s="6"/>
      <c r="N66" s="1">
        <f>IF( ISBLANK(LogTable2023[[#This Row],[Date_o]]), IF(ISBLANK(LogTable2023[[#This Row],[Date_i]]), "", LogTable2023[[#This Row],[Date_i]]), LogTable2023[[#This Row],[Date_o]])</f>
        <v>45242</v>
      </c>
      <c r="O66" t="str">
        <f>IF( ISBLANK(LogTable2023[[#This Row],[Description_o]]), IF(ISBLANK(LogTable2023[[#This Row],[Description_i]]), "", LogTable2023[[#This Row],[Description_i]]), LogTable2023[[#This Row],[Description_o]])</f>
        <v>CVS</v>
      </c>
      <c r="P66" t="str">
        <f>IF( ISBLANK(LogTable2023[[#This Row],[Original Description_o]]), IF(ISBLANK(LogTable2023[[#This Row],[Original Description_i]]), "", LogTable2023[[#This Row],[Original Description_i]]), LogTable2023[[#This Row],[Original Description_o]])</f>
        <v>CVS/PHARMACY #10784      DENVER       CO</v>
      </c>
      <c r="Q66" t="str">
        <f>IF( ISBLANK(LogTable2023[[#This Row],[Category_o]]), IF(ISBLANK(LogTable2023[[#This Row],[Category_i]]), "", LogTable2023[[#This Row],[Category_i]]), LogTable2023[[#This Row],[Category_o]])</f>
        <v>Pharmacy</v>
      </c>
      <c r="R66" s="10">
        <f>IF( ISBLANK(LogTable2023[[#This Row],[Amount_o]]), IF(ISBLANK(LogTable2023[[#This Row],[Amount_i]]), "", LogTable2023[[#This Row],[Amount_i]]), LogTable2023[[#This Row],[Amount_o]])</f>
        <v>-19.760000000000002</v>
      </c>
      <c r="S66" s="1" t="str">
        <f>IF( ISBLANK(LogTable2023[[#This Row],[Status_o]]), IF(ISBLANK(LogTable2023[[#This Row],[Status_i]]), "", LogTable2023[[#This Row],[Status_i]]), LogTable2023[[#This Row],[Status_o]])</f>
        <v>Posted</v>
      </c>
      <c r="T66" t="s">
        <v>295</v>
      </c>
      <c r="U66" t="str">
        <f>IF( _xlfn.IFNA(MATCH(LogTable2023[[#This Row],[My Category]], Buckets!$D$4:$D$35, 0), FALSE), ".", "E")</f>
        <v>.</v>
      </c>
    </row>
    <row r="67" spans="1:22" hidden="1" x14ac:dyDescent="0.25">
      <c r="A67" s="4">
        <v>45240</v>
      </c>
      <c r="B67" s="5" t="s">
        <v>207</v>
      </c>
      <c r="C67" s="5" t="s">
        <v>208</v>
      </c>
      <c r="D67" s="5" t="s">
        <v>209</v>
      </c>
      <c r="E67" s="5">
        <v>-11.9</v>
      </c>
      <c r="F67" s="5" t="s">
        <v>9</v>
      </c>
      <c r="G67" s="5" t="s">
        <v>269</v>
      </c>
      <c r="H67" s="5"/>
      <c r="I67" s="5"/>
      <c r="J67" s="5"/>
      <c r="K67" s="5"/>
      <c r="L67" s="5"/>
      <c r="M67" s="6"/>
      <c r="N67" s="1">
        <f>IF( ISBLANK(LogTable2023[[#This Row],[Date_o]]), IF(ISBLANK(LogTable2023[[#This Row],[Date_i]]), "", LogTable2023[[#This Row],[Date_i]]), LogTable2023[[#This Row],[Date_o]])</f>
        <v>45240</v>
      </c>
      <c r="O67" t="str">
        <f>IF( ISBLANK(LogTable2023[[#This Row],[Description_o]]), IF(ISBLANK(LogTable2023[[#This Row],[Description_i]]), "", LogTable2023[[#This Row],[Description_i]]), LogTable2023[[#This Row],[Description_o]])</f>
        <v>Spotify</v>
      </c>
      <c r="P67" t="str">
        <f>IF( ISBLANK(LogTable2023[[#This Row],[Original Description_o]]), IF(ISBLANK(LogTable2023[[#This Row],[Original Description_i]]), "", LogTable2023[[#This Row],[Original Description_i]]), LogTable2023[[#This Row],[Original Description_o]])</f>
        <v>PAYPAL           INST XFER  ***********USAI</v>
      </c>
      <c r="Q67" t="str">
        <f>IF( ISBLANK(LogTable2023[[#This Row],[Category_o]]), IF(ISBLANK(LogTable2023[[#This Row],[Category_i]]), "", LogTable2023[[#This Row],[Category_i]]), LogTable2023[[#This Row],[Category_o]])</f>
        <v>Music</v>
      </c>
      <c r="R67" s="10">
        <f>IF( ISBLANK(LogTable2023[[#This Row],[Amount_o]]), IF(ISBLANK(LogTable2023[[#This Row],[Amount_i]]), "", LogTable2023[[#This Row],[Amount_i]]), LogTable2023[[#This Row],[Amount_o]])</f>
        <v>-11.9</v>
      </c>
      <c r="S67" s="1" t="str">
        <f>IF( ISBLANK(LogTable2023[[#This Row],[Status_o]]), IF(ISBLANK(LogTable2023[[#This Row],[Status_i]]), "", LogTable2023[[#This Row],[Status_i]]), LogTable2023[[#This Row],[Status_o]])</f>
        <v>Posted</v>
      </c>
      <c r="T67" t="s">
        <v>288</v>
      </c>
      <c r="U67" t="str">
        <f>IF( _xlfn.IFNA(MATCH(LogTable2023[[#This Row],[My Category]], Buckets!$D$4:$D$35, 0), FALSE), ".", "E")</f>
        <v>.</v>
      </c>
      <c r="V67" t="s">
        <v>207</v>
      </c>
    </row>
    <row r="68" spans="1:22" hidden="1" x14ac:dyDescent="0.25">
      <c r="A68" s="4">
        <v>45239</v>
      </c>
      <c r="B68" s="5" t="s">
        <v>55</v>
      </c>
      <c r="C68" s="5" t="s">
        <v>56</v>
      </c>
      <c r="D68" s="5" t="s">
        <v>27</v>
      </c>
      <c r="E68" s="5">
        <v>-23.74</v>
      </c>
      <c r="F68" s="5" t="s">
        <v>9</v>
      </c>
      <c r="G68" s="5" t="s">
        <v>195</v>
      </c>
      <c r="H68" s="5"/>
      <c r="I68" s="5"/>
      <c r="J68" s="5"/>
      <c r="K68" s="5"/>
      <c r="L68" s="5"/>
      <c r="M68" s="6"/>
      <c r="N68" s="1">
        <f>IF( ISBLANK(LogTable2023[[#This Row],[Date_o]]), IF(ISBLANK(LogTable2023[[#This Row],[Date_i]]), "", LogTable2023[[#This Row],[Date_i]]), LogTable2023[[#This Row],[Date_o]])</f>
        <v>45239</v>
      </c>
      <c r="O68" t="str">
        <f>IF( ISBLANK(LogTable2023[[#This Row],[Description_o]]), IF(ISBLANK(LogTable2023[[#This Row],[Description_i]]), "", LogTable2023[[#This Row],[Description_i]]), LogTable2023[[#This Row],[Description_o]])</f>
        <v>The Pasty Republic</v>
      </c>
      <c r="P68" t="str">
        <f>IF( ISBLANK(LogTable2023[[#This Row],[Original Description_o]]), IF(ISBLANK(LogTable2023[[#This Row],[Original Description_i]]), "", LogTable2023[[#This Row],[Original Description_i]]), LogTable2023[[#This Row],[Original Description_o]])</f>
        <v>SQ *THE PASTY REPUBLIC   Denver       CO</v>
      </c>
      <c r="Q68" t="str">
        <f>IF( ISBLANK(LogTable2023[[#This Row],[Category_o]]), IF(ISBLANK(LogTable2023[[#This Row],[Category_i]]), "", LogTable2023[[#This Row],[Category_i]]), LogTable2023[[#This Row],[Category_o]])</f>
        <v>Fast Food</v>
      </c>
      <c r="R68" s="10">
        <f>IF( ISBLANK(LogTable2023[[#This Row],[Amount_o]]), IF(ISBLANK(LogTable2023[[#This Row],[Amount_i]]), "", LogTable2023[[#This Row],[Amount_i]]), LogTable2023[[#This Row],[Amount_o]])</f>
        <v>-23.74</v>
      </c>
      <c r="S68" s="1" t="str">
        <f>IF( ISBLANK(LogTable2023[[#This Row],[Status_o]]), IF(ISBLANK(LogTable2023[[#This Row],[Status_i]]), "", LogTable2023[[#This Row],[Status_i]]), LogTable2023[[#This Row],[Status_o]])</f>
        <v>Posted</v>
      </c>
      <c r="T68" t="s">
        <v>348</v>
      </c>
      <c r="U68" t="str">
        <f>IF( _xlfn.IFNA(MATCH(LogTable2023[[#This Row],[My Category]], Buckets!$D$4:$D$35, 0), FALSE), ".", "E")</f>
        <v>.</v>
      </c>
    </row>
    <row r="69" spans="1:22" hidden="1" x14ac:dyDescent="0.25">
      <c r="A69" s="4">
        <v>45239</v>
      </c>
      <c r="B69" s="5" t="s">
        <v>13</v>
      </c>
      <c r="C69" s="5" t="s">
        <v>14</v>
      </c>
      <c r="D69" s="5" t="s">
        <v>15</v>
      </c>
      <c r="E69" s="5">
        <v>-28.76</v>
      </c>
      <c r="F69" s="5" t="s">
        <v>9</v>
      </c>
      <c r="G69" s="5" t="s">
        <v>195</v>
      </c>
      <c r="H69" s="5"/>
      <c r="I69" s="5"/>
      <c r="J69" s="5"/>
      <c r="K69" s="5"/>
      <c r="L69" s="5"/>
      <c r="M69" s="6"/>
      <c r="N69" s="1">
        <f>IF( ISBLANK(LogTable2023[[#This Row],[Date_o]]), IF(ISBLANK(LogTable2023[[#This Row],[Date_i]]), "", LogTable2023[[#This Row],[Date_i]]), LogTable2023[[#This Row],[Date_o]])</f>
        <v>45239</v>
      </c>
      <c r="O69" t="str">
        <f>IF( ISBLANK(LogTable2023[[#This Row],[Description_o]]), IF(ISBLANK(LogTable2023[[#This Row],[Description_i]]), "", LogTable2023[[#This Row],[Description_i]]), LogTable2023[[#This Row],[Description_o]])</f>
        <v>King Soopers</v>
      </c>
      <c r="P69" t="str">
        <f>IF( ISBLANK(LogTable2023[[#This Row],[Original Description_o]]), IF(ISBLANK(LogTable2023[[#This Row],[Original Description_i]]), "", LogTable2023[[#This Row],[Original Description_i]]), LogTable2023[[#This Row],[Original Description_o]])</f>
        <v>KING SOOPERS #0057       WHEAT RIDGE  CO</v>
      </c>
      <c r="Q69" t="str">
        <f>IF( ISBLANK(LogTable2023[[#This Row],[Category_o]]), IF(ISBLANK(LogTable2023[[#This Row],[Category_i]]), "", LogTable2023[[#This Row],[Category_i]]), LogTable2023[[#This Row],[Category_o]])</f>
        <v>Groceries</v>
      </c>
      <c r="R69" s="10">
        <f>IF( ISBLANK(LogTable2023[[#This Row],[Amount_o]]), IF(ISBLANK(LogTable2023[[#This Row],[Amount_i]]), "", LogTable2023[[#This Row],[Amount_i]]), LogTable2023[[#This Row],[Amount_o]])</f>
        <v>-28.76</v>
      </c>
      <c r="S69" s="1" t="str">
        <f>IF( ISBLANK(LogTable2023[[#This Row],[Status_o]]), IF(ISBLANK(LogTable2023[[#This Row],[Status_i]]), "", LogTable2023[[#This Row],[Status_i]]), LogTable2023[[#This Row],[Status_o]])</f>
        <v>Posted</v>
      </c>
      <c r="T69" t="s">
        <v>15</v>
      </c>
      <c r="U69" t="str">
        <f>IF( _xlfn.IFNA(MATCH(LogTable2023[[#This Row],[My Category]], Buckets!$D$4:$D$35, 0), FALSE), ".", "E")</f>
        <v>.</v>
      </c>
    </row>
    <row r="70" spans="1:22" hidden="1" x14ac:dyDescent="0.25">
      <c r="A70" s="4">
        <v>45239</v>
      </c>
      <c r="B70" s="5" t="s">
        <v>210</v>
      </c>
      <c r="C70" s="5" t="s">
        <v>211</v>
      </c>
      <c r="D70" s="5" t="s">
        <v>212</v>
      </c>
      <c r="E70" s="5">
        <v>1233</v>
      </c>
      <c r="F70" s="5" t="s">
        <v>9</v>
      </c>
      <c r="G70" s="5" t="s">
        <v>269</v>
      </c>
      <c r="H70" s="5"/>
      <c r="I70" s="5"/>
      <c r="J70" s="5"/>
      <c r="K70" s="5"/>
      <c r="L70" s="5"/>
      <c r="M70" s="6"/>
      <c r="N70" s="1">
        <f>IF( ISBLANK(LogTable2023[[#This Row],[Date_o]]), IF(ISBLANK(LogTable2023[[#This Row],[Date_i]]), "", LogTable2023[[#This Row],[Date_i]]), LogTable2023[[#This Row],[Date_o]])</f>
        <v>45239</v>
      </c>
      <c r="O70" t="str">
        <f>IF( ISBLANK(LogTable2023[[#This Row],[Description_o]]), IF(ISBLANK(LogTable2023[[#This Row],[Description_i]]), "", LogTable2023[[#This Row],[Description_i]]), LogTable2023[[#This Row],[Description_o]])</f>
        <v>Mobile Deposit</v>
      </c>
      <c r="P70" t="str">
        <f>IF( ISBLANK(LogTable2023[[#This Row],[Original Description_o]]), IF(ISBLANK(LogTable2023[[#This Row],[Original Description_i]]), "", LogTable2023[[#This Row],[Original Description_i]]), LogTable2023[[#This Row],[Original Description_o]])</f>
        <v>DEPOSIT@MOBILE</v>
      </c>
      <c r="Q70" t="str">
        <f>IF( ISBLANK(LogTable2023[[#This Row],[Category_o]]), IF(ISBLANK(LogTable2023[[#This Row],[Category_i]]), "", LogTable2023[[#This Row],[Category_i]]), LogTable2023[[#This Row],[Category_o]])</f>
        <v>Income</v>
      </c>
      <c r="R70" s="10">
        <f>IF( ISBLANK(LogTable2023[[#This Row],[Amount_o]]), IF(ISBLANK(LogTable2023[[#This Row],[Amount_i]]), "", LogTable2023[[#This Row],[Amount_i]]), LogTable2023[[#This Row],[Amount_o]])</f>
        <v>1233</v>
      </c>
      <c r="S70" s="1" t="str">
        <f>IF( ISBLANK(LogTable2023[[#This Row],[Status_o]]), IF(ISBLANK(LogTable2023[[#This Row],[Status_i]]), "", LogTable2023[[#This Row],[Status_i]]), LogTable2023[[#This Row],[Status_o]])</f>
        <v>Posted</v>
      </c>
      <c r="T70" t="s">
        <v>293</v>
      </c>
      <c r="U70" t="str">
        <f>IF( _xlfn.IFNA(MATCH(LogTable2023[[#This Row],[My Category]], Buckets!$D$4:$D$35, 0), FALSE), ".", "E")</f>
        <v>.</v>
      </c>
      <c r="V70" t="s">
        <v>362</v>
      </c>
    </row>
    <row r="71" spans="1:22" hidden="1" x14ac:dyDescent="0.25">
      <c r="A71" s="4">
        <v>45239</v>
      </c>
      <c r="B71" s="5" t="s">
        <v>213</v>
      </c>
      <c r="C71" s="5" t="s">
        <v>214</v>
      </c>
      <c r="D71" s="5" t="s">
        <v>215</v>
      </c>
      <c r="E71" s="5">
        <v>56.69</v>
      </c>
      <c r="F71" s="5" t="s">
        <v>9</v>
      </c>
      <c r="G71" s="5" t="s">
        <v>269</v>
      </c>
      <c r="H71" s="5"/>
      <c r="I71" s="5"/>
      <c r="J71" s="5"/>
      <c r="K71" s="5"/>
      <c r="L71" s="5"/>
      <c r="M71" s="6"/>
      <c r="N71" s="1">
        <f>IF( ISBLANK(LogTable2023[[#This Row],[Date_o]]), IF(ISBLANK(LogTable2023[[#This Row],[Date_i]]), "", LogTable2023[[#This Row],[Date_i]]), LogTable2023[[#This Row],[Date_o]])</f>
        <v>45239</v>
      </c>
      <c r="O71" t="str">
        <f>IF( ISBLANK(LogTable2023[[#This Row],[Description_o]]), IF(ISBLANK(LogTable2023[[#This Row],[Description_i]]), "", LogTable2023[[#This Row],[Description_i]]), LogTable2023[[#This Row],[Description_o]])</f>
        <v>Comcast</v>
      </c>
      <c r="P71" t="str">
        <f>IF( ISBLANK(LogTable2023[[#This Row],[Original Description_o]]), IF(ISBLANK(LogTable2023[[#This Row],[Original Description_i]]), "", LogTable2023[[#This Row],[Original Description_i]]), LogTable2023[[#This Row],[Original Description_o]])</f>
        <v>COMCAST          CABLE      ***********3283</v>
      </c>
      <c r="Q71" t="str">
        <f>IF( ISBLANK(LogTable2023[[#This Row],[Category_o]]), IF(ISBLANK(LogTable2023[[#This Row],[Category_i]]), "", LogTable2023[[#This Row],[Category_i]]), LogTable2023[[#This Row],[Category_o]])</f>
        <v>Utilities</v>
      </c>
      <c r="R71" s="10">
        <f>IF( ISBLANK(LogTable2023[[#This Row],[Amount_o]]), IF(ISBLANK(LogTable2023[[#This Row],[Amount_i]]), "", LogTable2023[[#This Row],[Amount_i]]), LogTable2023[[#This Row],[Amount_o]])</f>
        <v>56.69</v>
      </c>
      <c r="S71" s="1" t="str">
        <f>IF( ISBLANK(LogTable2023[[#This Row],[Status_o]]), IF(ISBLANK(LogTable2023[[#This Row],[Status_i]]), "", LogTable2023[[#This Row],[Status_i]]), LogTable2023[[#This Row],[Status_o]])</f>
        <v>Posted</v>
      </c>
      <c r="T71" t="s">
        <v>294</v>
      </c>
      <c r="U71" t="str">
        <f>IF( _xlfn.IFNA(MATCH(LogTable2023[[#This Row],[My Category]], Buckets!$D$4:$D$35, 0), FALSE), ".", "E")</f>
        <v>.</v>
      </c>
    </row>
    <row r="72" spans="1:22" hidden="1" x14ac:dyDescent="0.25">
      <c r="A72" s="4">
        <v>45238</v>
      </c>
      <c r="B72" s="5" t="s">
        <v>57</v>
      </c>
      <c r="C72" s="5" t="s">
        <v>58</v>
      </c>
      <c r="D72" s="5" t="s">
        <v>47</v>
      </c>
      <c r="E72" s="5">
        <v>-16.170000000000002</v>
      </c>
      <c r="F72" s="5" t="s">
        <v>9</v>
      </c>
      <c r="G72" s="5" t="s">
        <v>195</v>
      </c>
      <c r="H72" s="5"/>
      <c r="I72" s="5"/>
      <c r="J72" s="5"/>
      <c r="K72" s="5"/>
      <c r="L72" s="5"/>
      <c r="M72" s="6"/>
      <c r="N72" s="1">
        <f>IF( ISBLANK(LogTable2023[[#This Row],[Date_o]]), IF(ISBLANK(LogTable2023[[#This Row],[Date_i]]), "", LogTable2023[[#This Row],[Date_i]]), LogTable2023[[#This Row],[Date_o]])</f>
        <v>45238</v>
      </c>
      <c r="O72" t="str">
        <f>IF( ISBLANK(LogTable2023[[#This Row],[Description_o]]), IF(ISBLANK(LogTable2023[[#This Row],[Description_i]]), "", LogTable2023[[#This Row],[Description_i]]), LogTable2023[[#This Row],[Description_o]])</f>
        <v>Mugi Ramen and Poke</v>
      </c>
      <c r="P72" t="str">
        <f>IF( ISBLANK(LogTable2023[[#This Row],[Original Description_o]]), IF(ISBLANK(LogTable2023[[#This Row],[Original Description_i]]), "", LogTable2023[[#This Row],[Original Description_i]]), LogTable2023[[#This Row],[Original Description_o]])</f>
        <v>MUGI RAMEN AND POKE      WESTMINSTER  CO</v>
      </c>
      <c r="Q72" t="str">
        <f>IF( ISBLANK(LogTable2023[[#This Row],[Category_o]]), IF(ISBLANK(LogTable2023[[#This Row],[Category_i]]), "", LogTable2023[[#This Row],[Category_i]]), LogTable2023[[#This Row],[Category_o]])</f>
        <v>Food &amp; Dining</v>
      </c>
      <c r="R72" s="10">
        <f>IF( ISBLANK(LogTable2023[[#This Row],[Amount_o]]), IF(ISBLANK(LogTable2023[[#This Row],[Amount_i]]), "", LogTable2023[[#This Row],[Amount_i]]), LogTable2023[[#This Row],[Amount_o]])</f>
        <v>-16.170000000000002</v>
      </c>
      <c r="S72" s="1" t="str">
        <f>IF( ISBLANK(LogTable2023[[#This Row],[Status_o]]), IF(ISBLANK(LogTable2023[[#This Row],[Status_i]]), "", LogTable2023[[#This Row],[Status_i]]), LogTable2023[[#This Row],[Status_o]])</f>
        <v>Posted</v>
      </c>
      <c r="T72" t="s">
        <v>348</v>
      </c>
      <c r="U72" t="str">
        <f>IF( _xlfn.IFNA(MATCH(LogTable2023[[#This Row],[My Category]], Buckets!$D$4:$D$35, 0), FALSE), ".", "E")</f>
        <v>.</v>
      </c>
    </row>
    <row r="73" spans="1:22" hidden="1" x14ac:dyDescent="0.25">
      <c r="A73" s="4">
        <v>45237</v>
      </c>
      <c r="B73" s="5" t="s">
        <v>59</v>
      </c>
      <c r="C73" s="5" t="s">
        <v>60</v>
      </c>
      <c r="D73" s="5" t="s">
        <v>61</v>
      </c>
      <c r="E73" s="5">
        <v>-30</v>
      </c>
      <c r="F73" s="5" t="s">
        <v>9</v>
      </c>
      <c r="G73" s="5" t="s">
        <v>195</v>
      </c>
      <c r="H73" s="5"/>
      <c r="I73" s="5"/>
      <c r="J73" s="5"/>
      <c r="K73" s="5"/>
      <c r="L73" s="5"/>
      <c r="M73" s="6"/>
      <c r="N73" s="1">
        <f>IF( ISBLANK(LogTable2023[[#This Row],[Date_o]]), IF(ISBLANK(LogTable2023[[#This Row],[Date_i]]), "", LogTable2023[[#This Row],[Date_i]]), LogTable2023[[#This Row],[Date_o]])</f>
        <v>45237</v>
      </c>
      <c r="O73" t="str">
        <f>IF( ISBLANK(LogTable2023[[#This Row],[Description_o]]), IF(ISBLANK(LogTable2023[[#This Row],[Description_i]]), "", LogTable2023[[#This Row],[Description_i]]), LogTable2023[[#This Row],[Description_o]])</f>
        <v>Nature Conservancy</v>
      </c>
      <c r="P73" t="str">
        <f>IF( ISBLANK(LogTable2023[[#This Row],[Original Description_o]]), IF(ISBLANK(LogTable2023[[#This Row],[Original Description_i]]), "", LogTable2023[[#This Row],[Original Description_i]]), LogTable2023[[#This Row],[Original Description_o]])</f>
        <v>Nature Conservancy       800-6286860  VA</v>
      </c>
      <c r="Q73" t="str">
        <f>IF( ISBLANK(LogTable2023[[#This Row],[Category_o]]), IF(ISBLANK(LogTable2023[[#This Row],[Category_i]]), "", LogTable2023[[#This Row],[Category_i]]), LogTable2023[[#This Row],[Category_o]])</f>
        <v>Gifts &amp; Donations</v>
      </c>
      <c r="R73" s="10">
        <f>IF( ISBLANK(LogTable2023[[#This Row],[Amount_o]]), IF(ISBLANK(LogTable2023[[#This Row],[Amount_i]]), "", LogTable2023[[#This Row],[Amount_i]]), LogTable2023[[#This Row],[Amount_o]])</f>
        <v>-30</v>
      </c>
      <c r="S73" s="1" t="str">
        <f>IF( ISBLANK(LogTable2023[[#This Row],[Status_o]]), IF(ISBLANK(LogTable2023[[#This Row],[Status_i]]), "", LogTable2023[[#This Row],[Status_i]]), LogTable2023[[#This Row],[Status_o]])</f>
        <v>Posted</v>
      </c>
      <c r="T73" t="s">
        <v>304</v>
      </c>
      <c r="U73" t="str">
        <f>IF( _xlfn.IFNA(MATCH(LogTable2023[[#This Row],[My Category]], Buckets!$D$4:$D$35, 0), FALSE), ".", "E")</f>
        <v>.</v>
      </c>
    </row>
    <row r="74" spans="1:22" hidden="1" x14ac:dyDescent="0.25">
      <c r="A74" s="4">
        <v>45237</v>
      </c>
      <c r="B74" s="5" t="s">
        <v>216</v>
      </c>
      <c r="C74" s="5" t="s">
        <v>217</v>
      </c>
      <c r="D74" s="5" t="s">
        <v>218</v>
      </c>
      <c r="E74" s="5">
        <v>-1424.58</v>
      </c>
      <c r="F74" s="5" t="s">
        <v>9</v>
      </c>
      <c r="G74" s="5" t="s">
        <v>269</v>
      </c>
      <c r="H74" s="5"/>
      <c r="I74" s="5"/>
      <c r="J74" s="5"/>
      <c r="K74" s="5"/>
      <c r="L74" s="5"/>
      <c r="M74" s="6"/>
      <c r="N74" s="1">
        <f>IF( ISBLANK(LogTable2023[[#This Row],[Date_o]]), IF(ISBLANK(LogTable2023[[#This Row],[Date_i]]), "", LogTable2023[[#This Row],[Date_i]]), LogTable2023[[#This Row],[Date_o]])</f>
        <v>45237</v>
      </c>
      <c r="O74" t="str">
        <f>IF( ISBLANK(LogTable2023[[#This Row],[Description_o]]), IF(ISBLANK(LogTable2023[[#This Row],[Description_i]]), "", LogTable2023[[#This Row],[Description_i]]), LogTable2023[[#This Row],[Description_o]])</f>
        <v>Advs Ed Serv Web Studntloan</v>
      </c>
      <c r="P74" t="str">
        <f>IF( ISBLANK(LogTable2023[[#This Row],[Original Description_o]]), IF(ISBLANK(LogTable2023[[#This Row],[Original Description_i]]), "", LogTable2023[[#This Row],[Original Description_i]]), LogTable2023[[#This Row],[Original Description_o]])</f>
        <v>ADVS ED SERV WEB STUDNTLOAN ***********GSL1</v>
      </c>
      <c r="Q74" t="str">
        <f>IF( ISBLANK(LogTable2023[[#This Row],[Category_o]]), IF(ISBLANK(LogTable2023[[#This Row],[Category_i]]), "", LogTable2023[[#This Row],[Category_i]]), LogTable2023[[#This Row],[Category_o]])</f>
        <v>Student Loan</v>
      </c>
      <c r="R74" s="10">
        <f>IF( ISBLANK(LogTable2023[[#This Row],[Amount_o]]), IF(ISBLANK(LogTable2023[[#This Row],[Amount_i]]), "", LogTable2023[[#This Row],[Amount_i]]), LogTable2023[[#This Row],[Amount_o]])</f>
        <v>-1424.58</v>
      </c>
      <c r="S74" s="1" t="str">
        <f>IF( ISBLANK(LogTable2023[[#This Row],[Status_o]]), IF(ISBLANK(LogTable2023[[#This Row],[Status_i]]), "", LogTable2023[[#This Row],[Status_i]]), LogTable2023[[#This Row],[Status_o]])</f>
        <v>Posted</v>
      </c>
      <c r="T74" t="s">
        <v>285</v>
      </c>
      <c r="U74" t="str">
        <f>IF( _xlfn.IFNA(MATCH(LogTable2023[[#This Row],[My Category]], Buckets!$D$4:$D$35, 0), FALSE), ".", "E")</f>
        <v>.</v>
      </c>
      <c r="V74" t="s">
        <v>361</v>
      </c>
    </row>
    <row r="75" spans="1:22" hidden="1" x14ac:dyDescent="0.25">
      <c r="A75" s="4">
        <v>45236</v>
      </c>
      <c r="B75" s="5" t="s">
        <v>62</v>
      </c>
      <c r="C75" s="5" t="s">
        <v>63</v>
      </c>
      <c r="D75" s="5" t="s">
        <v>27</v>
      </c>
      <c r="E75" s="5">
        <v>-9.1199999999999992</v>
      </c>
      <c r="F75" s="5" t="s">
        <v>9</v>
      </c>
      <c r="G75" s="5" t="s">
        <v>195</v>
      </c>
      <c r="H75" s="5"/>
      <c r="I75" s="5"/>
      <c r="J75" s="5"/>
      <c r="K75" s="5"/>
      <c r="L75" s="5"/>
      <c r="M75" s="6"/>
      <c r="N75" s="1">
        <f>IF( ISBLANK(LogTable2023[[#This Row],[Date_o]]), IF(ISBLANK(LogTable2023[[#This Row],[Date_i]]), "", LogTable2023[[#This Row],[Date_i]]), LogTable2023[[#This Row],[Date_o]])</f>
        <v>45236</v>
      </c>
      <c r="O75" t="str">
        <f>IF( ISBLANK(LogTable2023[[#This Row],[Description_o]]), IF(ISBLANK(LogTable2023[[#This Row],[Description_i]]), "", LogTable2023[[#This Row],[Description_i]]), LogTable2023[[#This Row],[Description_o]])</f>
        <v>Jersey Mike's Subs</v>
      </c>
      <c r="P75" t="str">
        <f>IF( ISBLANK(LogTable2023[[#This Row],[Original Description_o]]), IF(ISBLANK(LogTable2023[[#This Row],[Original Description_i]]), "", LogTable2023[[#This Row],[Original Description_i]]), LogTable2023[[#This Row],[Original Description_o]])</f>
        <v>JERSEY MIKES 22003       WESTMINSTER  CO</v>
      </c>
      <c r="Q75" t="str">
        <f>IF( ISBLANK(LogTable2023[[#This Row],[Category_o]]), IF(ISBLANK(LogTable2023[[#This Row],[Category_i]]), "", LogTable2023[[#This Row],[Category_i]]), LogTable2023[[#This Row],[Category_o]])</f>
        <v>Fast Food</v>
      </c>
      <c r="R75" s="10">
        <f>IF( ISBLANK(LogTable2023[[#This Row],[Amount_o]]), IF(ISBLANK(LogTable2023[[#This Row],[Amount_i]]), "", LogTable2023[[#This Row],[Amount_i]]), LogTable2023[[#This Row],[Amount_o]])</f>
        <v>-9.1199999999999992</v>
      </c>
      <c r="S75" s="1" t="str">
        <f>IF( ISBLANK(LogTable2023[[#This Row],[Status_o]]), IF(ISBLANK(LogTable2023[[#This Row],[Status_i]]), "", LogTable2023[[#This Row],[Status_i]]), LogTable2023[[#This Row],[Status_o]])</f>
        <v>Posted</v>
      </c>
      <c r="T75" t="s">
        <v>348</v>
      </c>
      <c r="U75" t="str">
        <f>IF( _xlfn.IFNA(MATCH(LogTable2023[[#This Row],[My Category]], Buckets!$D$4:$D$35, 0), FALSE), ".", "E")</f>
        <v>.</v>
      </c>
    </row>
    <row r="76" spans="1:22" hidden="1" x14ac:dyDescent="0.25">
      <c r="A76" s="4">
        <v>45236</v>
      </c>
      <c r="B76" s="5" t="s">
        <v>30</v>
      </c>
      <c r="C76" s="5" t="s">
        <v>31</v>
      </c>
      <c r="D76" s="5" t="s">
        <v>32</v>
      </c>
      <c r="E76" s="5">
        <v>-50</v>
      </c>
      <c r="F76" s="5" t="s">
        <v>9</v>
      </c>
      <c r="G76" s="5" t="s">
        <v>195</v>
      </c>
      <c r="H76" s="5"/>
      <c r="I76" s="5"/>
      <c r="J76" s="5"/>
      <c r="K76" s="5"/>
      <c r="L76" s="5"/>
      <c r="M76" s="6"/>
      <c r="N76" s="1">
        <f>IF( ISBLANK(LogTable2023[[#This Row],[Date_o]]), IF(ISBLANK(LogTable2023[[#This Row],[Date_i]]), "", LogTable2023[[#This Row],[Date_i]]), LogTable2023[[#This Row],[Date_o]])</f>
        <v>45236</v>
      </c>
      <c r="O76" t="str">
        <f>IF( ISBLANK(LogTable2023[[#This Row],[Description_o]]), IF(ISBLANK(LogTable2023[[#This Row],[Description_i]]), "", LogTable2023[[#This Row],[Description_i]]), LogTable2023[[#This Row],[Description_o]])</f>
        <v>Boulderswing</v>
      </c>
      <c r="P76" t="str">
        <f>IF( ISBLANK(LogTable2023[[#This Row],[Original Description_o]]), IF(ISBLANK(LogTable2023[[#This Row],[Original Description_i]]), "", LogTable2023[[#This Row],[Original Description_i]]), LogTable2023[[#This Row],[Original Description_o]])</f>
        <v>BOULDERSWING             BOULDERSWINGDCO</v>
      </c>
      <c r="Q76" t="str">
        <f>IF( ISBLANK(LogTable2023[[#This Row],[Category_o]]), IF(ISBLANK(LogTable2023[[#This Row],[Category_i]]), "", LogTable2023[[#This Row],[Category_i]]), LogTable2023[[#This Row],[Category_o]])</f>
        <v>Entertainment</v>
      </c>
      <c r="R76" s="10">
        <f>IF( ISBLANK(LogTable2023[[#This Row],[Amount_o]]), IF(ISBLANK(LogTable2023[[#This Row],[Amount_i]]), "", LogTable2023[[#This Row],[Amount_i]]), LogTable2023[[#This Row],[Amount_o]])</f>
        <v>-50</v>
      </c>
      <c r="S76" s="1" t="str">
        <f>IF( ISBLANK(LogTable2023[[#This Row],[Status_o]]), IF(ISBLANK(LogTable2023[[#This Row],[Status_i]]), "", LogTable2023[[#This Row],[Status_i]]), LogTable2023[[#This Row],[Status_o]])</f>
        <v>Posted</v>
      </c>
      <c r="T76" t="s">
        <v>285</v>
      </c>
      <c r="U76" t="str">
        <f>IF( _xlfn.IFNA(MATCH(LogTable2023[[#This Row],[My Category]], Buckets!$D$4:$D$35, 0), FALSE), ".", "E")</f>
        <v>.</v>
      </c>
      <c r="V76" t="s">
        <v>346</v>
      </c>
    </row>
    <row r="77" spans="1:22" hidden="1" x14ac:dyDescent="0.25">
      <c r="A77" s="4">
        <v>45236</v>
      </c>
      <c r="B77" s="5" t="s">
        <v>64</v>
      </c>
      <c r="C77" s="5" t="s">
        <v>65</v>
      </c>
      <c r="D77" s="5" t="s">
        <v>39</v>
      </c>
      <c r="E77" s="5">
        <v>-32.83</v>
      </c>
      <c r="F77" s="5" t="s">
        <v>9</v>
      </c>
      <c r="G77" s="5" t="s">
        <v>195</v>
      </c>
      <c r="H77" s="5"/>
      <c r="I77" s="5"/>
      <c r="J77" s="5"/>
      <c r="K77" s="5"/>
      <c r="L77" s="5"/>
      <c r="M77" s="6"/>
      <c r="N77" s="1">
        <f>IF( ISBLANK(LogTable2023[[#This Row],[Date_o]]), IF(ISBLANK(LogTable2023[[#This Row],[Date_i]]), "", LogTable2023[[#This Row],[Date_i]]), LogTable2023[[#This Row],[Date_o]])</f>
        <v>45236</v>
      </c>
      <c r="O77" t="str">
        <f>IF( ISBLANK(LogTable2023[[#This Row],[Description_o]]), IF(ISBLANK(LogTable2023[[#This Row],[Description_i]]), "", LogTable2023[[#This Row],[Description_i]]), LogTable2023[[#This Row],[Description_o]])</f>
        <v>Conoco</v>
      </c>
      <c r="P77" t="str">
        <f>IF( ISBLANK(LogTable2023[[#This Row],[Original Description_o]]), IF(ISBLANK(LogTable2023[[#This Row],[Original Description_i]]), "", LogTable2023[[#This Row],[Original Description_i]]), LogTable2023[[#This Row],[Original Description_o]])</f>
        <v>CONOCO - SEI 25325       WESTMINSTER  CO</v>
      </c>
      <c r="Q77" t="str">
        <f>IF( ISBLANK(LogTable2023[[#This Row],[Category_o]]), IF(ISBLANK(LogTable2023[[#This Row],[Category_i]]), "", LogTable2023[[#This Row],[Category_i]]), LogTable2023[[#This Row],[Category_o]])</f>
        <v>Gas</v>
      </c>
      <c r="R77" s="10">
        <f>IF( ISBLANK(LogTable2023[[#This Row],[Amount_o]]), IF(ISBLANK(LogTable2023[[#This Row],[Amount_i]]), "", LogTable2023[[#This Row],[Amount_i]]), LogTable2023[[#This Row],[Amount_o]])</f>
        <v>-32.83</v>
      </c>
      <c r="S77" s="1" t="str">
        <f>IF( ISBLANK(LogTable2023[[#This Row],[Status_o]]), IF(ISBLANK(LogTable2023[[#This Row],[Status_i]]), "", LogTable2023[[#This Row],[Status_i]]), LogTable2023[[#This Row],[Status_o]])</f>
        <v>Posted</v>
      </c>
      <c r="T77" t="s">
        <v>283</v>
      </c>
      <c r="U77" t="str">
        <f>IF( _xlfn.IFNA(MATCH(LogTable2023[[#This Row],[My Category]], Buckets!$D$4:$D$35, 0), FALSE), ".", "E")</f>
        <v>.</v>
      </c>
    </row>
    <row r="78" spans="1:22" hidden="1" x14ac:dyDescent="0.25">
      <c r="A78" s="4">
        <v>45235</v>
      </c>
      <c r="B78" s="5" t="s">
        <v>13</v>
      </c>
      <c r="C78" s="5" t="s">
        <v>14</v>
      </c>
      <c r="D78" s="5" t="s">
        <v>15</v>
      </c>
      <c r="E78" s="5">
        <v>-95.69</v>
      </c>
      <c r="F78" s="5" t="s">
        <v>9</v>
      </c>
      <c r="G78" s="5" t="s">
        <v>195</v>
      </c>
      <c r="H78" s="5"/>
      <c r="I78" s="5"/>
      <c r="J78" s="5"/>
      <c r="K78" s="5"/>
      <c r="L78" s="5"/>
      <c r="M78" s="6"/>
      <c r="N78" s="1">
        <f>IF( ISBLANK(LogTable2023[[#This Row],[Date_o]]), IF(ISBLANK(LogTable2023[[#This Row],[Date_i]]), "", LogTable2023[[#This Row],[Date_i]]), LogTable2023[[#This Row],[Date_o]])</f>
        <v>45235</v>
      </c>
      <c r="O78" t="str">
        <f>IF( ISBLANK(LogTable2023[[#This Row],[Description_o]]), IF(ISBLANK(LogTable2023[[#This Row],[Description_i]]), "", LogTable2023[[#This Row],[Description_i]]), LogTable2023[[#This Row],[Description_o]])</f>
        <v>King Soopers</v>
      </c>
      <c r="P78" t="str">
        <f>IF( ISBLANK(LogTable2023[[#This Row],[Original Description_o]]), IF(ISBLANK(LogTable2023[[#This Row],[Original Description_i]]), "", LogTable2023[[#This Row],[Original Description_i]]), LogTable2023[[#This Row],[Original Description_o]])</f>
        <v>KING SOOPERS #0057       WHEAT RIDGE  CO</v>
      </c>
      <c r="Q78" t="str">
        <f>IF( ISBLANK(LogTable2023[[#This Row],[Category_o]]), IF(ISBLANK(LogTable2023[[#This Row],[Category_i]]), "", LogTable2023[[#This Row],[Category_i]]), LogTable2023[[#This Row],[Category_o]])</f>
        <v>Groceries</v>
      </c>
      <c r="R78" s="10">
        <f>IF( ISBLANK(LogTable2023[[#This Row],[Amount_o]]), IF(ISBLANK(LogTable2023[[#This Row],[Amount_i]]), "", LogTable2023[[#This Row],[Amount_i]]), LogTable2023[[#This Row],[Amount_o]])</f>
        <v>-95.69</v>
      </c>
      <c r="S78" s="1" t="str">
        <f>IF( ISBLANK(LogTable2023[[#This Row],[Status_o]]), IF(ISBLANK(LogTable2023[[#This Row],[Status_i]]), "", LogTable2023[[#This Row],[Status_i]]), LogTable2023[[#This Row],[Status_o]])</f>
        <v>Posted</v>
      </c>
      <c r="T78" t="s">
        <v>15</v>
      </c>
      <c r="U78" t="str">
        <f>IF( _xlfn.IFNA(MATCH(LogTable2023[[#This Row],[My Category]], Buckets!$D$4:$D$35, 0), FALSE), ".", "E")</f>
        <v>.</v>
      </c>
    </row>
    <row r="79" spans="1:22" hidden="1" x14ac:dyDescent="0.25">
      <c r="A79" s="4">
        <v>45234</v>
      </c>
      <c r="B79" s="5" t="s">
        <v>66</v>
      </c>
      <c r="C79" s="5" t="s">
        <v>67</v>
      </c>
      <c r="D79" s="5" t="s">
        <v>68</v>
      </c>
      <c r="E79" s="5">
        <v>-43.63</v>
      </c>
      <c r="F79" s="5" t="s">
        <v>9</v>
      </c>
      <c r="G79" s="5" t="s">
        <v>195</v>
      </c>
      <c r="H79" s="5"/>
      <c r="I79" s="5"/>
      <c r="J79" s="5"/>
      <c r="K79" s="5"/>
      <c r="L79" s="5"/>
      <c r="M79" s="6"/>
      <c r="N79" s="1">
        <f>IF( ISBLANK(LogTable2023[[#This Row],[Date_o]]), IF(ISBLANK(LogTable2023[[#This Row],[Date_i]]), "", LogTable2023[[#This Row],[Date_i]]), LogTable2023[[#This Row],[Date_o]])</f>
        <v>45234</v>
      </c>
      <c r="O79" t="str">
        <f>IF( ISBLANK(LogTable2023[[#This Row],[Description_o]]), IF(ISBLANK(LogTable2023[[#This Row],[Description_i]]), "", LogTable2023[[#This Row],[Description_i]]), LogTable2023[[#This Row],[Description_o]])</f>
        <v>T-Mobile</v>
      </c>
      <c r="P79" t="str">
        <f>IF( ISBLANK(LogTable2023[[#This Row],[Original Description_o]]), IF(ISBLANK(LogTable2023[[#This Row],[Original Description_i]]), "", LogTable2023[[#This Row],[Original Description_i]]), LogTable2023[[#This Row],[Original Description_o]])</f>
        <v>TMOBILE*AUTO PAY         800-937-8997 WA</v>
      </c>
      <c r="Q79" t="str">
        <f>IF( ISBLANK(LogTable2023[[#This Row],[Category_o]]), IF(ISBLANK(LogTable2023[[#This Row],[Category_i]]), "", LogTable2023[[#This Row],[Category_i]]), LogTable2023[[#This Row],[Category_o]])</f>
        <v>Mobile Phone</v>
      </c>
      <c r="R79" s="10">
        <f>IF( ISBLANK(LogTable2023[[#This Row],[Amount_o]]), IF(ISBLANK(LogTable2023[[#This Row],[Amount_i]]), "", LogTable2023[[#This Row],[Amount_i]]), LogTable2023[[#This Row],[Amount_o]])</f>
        <v>-43.63</v>
      </c>
      <c r="S79" s="1" t="str">
        <f>IF( ISBLANK(LogTable2023[[#This Row],[Status_o]]), IF(ISBLANK(LogTable2023[[#This Row],[Status_i]]), "", LogTable2023[[#This Row],[Status_i]]), LogTable2023[[#This Row],[Status_o]])</f>
        <v>Posted</v>
      </c>
      <c r="T79" t="s">
        <v>215</v>
      </c>
      <c r="U79" t="str">
        <f>IF( _xlfn.IFNA(MATCH(LogTable2023[[#This Row],[My Category]], Buckets!$D$4:$D$35, 0), FALSE), ".", "E")</f>
        <v>.</v>
      </c>
    </row>
    <row r="80" spans="1:22" hidden="1" x14ac:dyDescent="0.25">
      <c r="A80" s="4">
        <v>45233</v>
      </c>
      <c r="B80" s="5" t="s">
        <v>57</v>
      </c>
      <c r="C80" s="5" t="s">
        <v>58</v>
      </c>
      <c r="D80" s="5" t="s">
        <v>47</v>
      </c>
      <c r="E80" s="5">
        <v>-16.170000000000002</v>
      </c>
      <c r="F80" s="5" t="s">
        <v>9</v>
      </c>
      <c r="G80" s="5" t="s">
        <v>195</v>
      </c>
      <c r="H80" s="5"/>
      <c r="I80" s="5"/>
      <c r="J80" s="5"/>
      <c r="K80" s="5"/>
      <c r="L80" s="5"/>
      <c r="M80" s="6"/>
      <c r="N80" s="1">
        <f>IF( ISBLANK(LogTable2023[[#This Row],[Date_o]]), IF(ISBLANK(LogTable2023[[#This Row],[Date_i]]), "", LogTable2023[[#This Row],[Date_i]]), LogTable2023[[#This Row],[Date_o]])</f>
        <v>45233</v>
      </c>
      <c r="O80" t="str">
        <f>IF( ISBLANK(LogTable2023[[#This Row],[Description_o]]), IF(ISBLANK(LogTable2023[[#This Row],[Description_i]]), "", LogTable2023[[#This Row],[Description_i]]), LogTable2023[[#This Row],[Description_o]])</f>
        <v>Mugi Ramen and Poke</v>
      </c>
      <c r="P80" t="str">
        <f>IF( ISBLANK(LogTable2023[[#This Row],[Original Description_o]]), IF(ISBLANK(LogTable2023[[#This Row],[Original Description_i]]), "", LogTable2023[[#This Row],[Original Description_i]]), LogTable2023[[#This Row],[Original Description_o]])</f>
        <v>MUGI RAMEN AND POKE      WESTMINSTER  CO</v>
      </c>
      <c r="Q80" t="str">
        <f>IF( ISBLANK(LogTable2023[[#This Row],[Category_o]]), IF(ISBLANK(LogTable2023[[#This Row],[Category_i]]), "", LogTable2023[[#This Row],[Category_i]]), LogTable2023[[#This Row],[Category_o]])</f>
        <v>Food &amp; Dining</v>
      </c>
      <c r="R80" s="10">
        <f>IF( ISBLANK(LogTable2023[[#This Row],[Amount_o]]), IF(ISBLANK(LogTable2023[[#This Row],[Amount_i]]), "", LogTable2023[[#This Row],[Amount_i]]), LogTable2023[[#This Row],[Amount_o]])</f>
        <v>-16.170000000000002</v>
      </c>
      <c r="S80" s="1" t="str">
        <f>IF( ISBLANK(LogTable2023[[#This Row],[Status_o]]), IF(ISBLANK(LogTable2023[[#This Row],[Status_i]]), "", LogTable2023[[#This Row],[Status_i]]), LogTable2023[[#This Row],[Status_o]])</f>
        <v>Posted</v>
      </c>
      <c r="T80" t="s">
        <v>348</v>
      </c>
      <c r="U80" t="str">
        <f>IF( _xlfn.IFNA(MATCH(LogTable2023[[#This Row],[My Category]], Buckets!$D$4:$D$35, 0), FALSE), ".", "E")</f>
        <v>.</v>
      </c>
    </row>
    <row r="81" spans="1:22" hidden="1" x14ac:dyDescent="0.25">
      <c r="A81" s="4">
        <v>45233</v>
      </c>
      <c r="B81" s="5" t="s">
        <v>219</v>
      </c>
      <c r="C81" s="5" t="s">
        <v>220</v>
      </c>
      <c r="D81" s="5" t="s">
        <v>107</v>
      </c>
      <c r="E81" s="5">
        <v>-17.850000000000001</v>
      </c>
      <c r="F81" s="5" t="s">
        <v>9</v>
      </c>
      <c r="G81" s="5" t="s">
        <v>269</v>
      </c>
      <c r="H81" s="5"/>
      <c r="I81" s="5"/>
      <c r="J81" s="5"/>
      <c r="K81" s="5"/>
      <c r="L81" s="5"/>
      <c r="M81" s="6"/>
      <c r="N81" s="1">
        <f>IF( ISBLANK(LogTable2023[[#This Row],[Date_o]]), IF(ISBLANK(LogTable2023[[#This Row],[Date_i]]), "", LogTable2023[[#This Row],[Date_i]]), LogTable2023[[#This Row],[Date_o]])</f>
        <v>45233</v>
      </c>
      <c r="O81" t="str">
        <f>IF( ISBLANK(LogTable2023[[#This Row],[Description_o]]), IF(ISBLANK(LogTable2023[[#This Row],[Description_i]]), "", LogTable2023[[#This Row],[Description_i]]), LogTable2023[[#This Row],[Description_o]])</f>
        <v>Cornerstoneapart Web</v>
      </c>
      <c r="P81" t="str">
        <f>IF( ISBLANK(LogTable2023[[#This Row],[Original Description_o]]), IF(ISBLANK(LogTable2023[[#This Row],[Original Description_i]]), "", LogTable2023[[#This Row],[Original Description_i]]), LogTable2023[[#This Row],[Original Description_o]])</f>
        <v>CORNERSTONEAPART WEB PMTS   ***********PS4F</v>
      </c>
      <c r="Q81" t="str">
        <f>IF( ISBLANK(LogTable2023[[#This Row],[Category_o]]), IF(ISBLANK(LogTable2023[[#This Row],[Category_i]]), "", LogTable2023[[#This Row],[Category_i]]), LogTable2023[[#This Row],[Category_o]])</f>
        <v>Uncategorized</v>
      </c>
      <c r="R81" s="10">
        <f>IF( ISBLANK(LogTable2023[[#This Row],[Amount_o]]), IF(ISBLANK(LogTable2023[[#This Row],[Amount_i]]), "", LogTable2023[[#This Row],[Amount_i]]), LogTable2023[[#This Row],[Amount_o]])</f>
        <v>-17.850000000000001</v>
      </c>
      <c r="S81" s="1" t="str">
        <f>IF( ISBLANK(LogTable2023[[#This Row],[Status_o]]), IF(ISBLANK(LogTable2023[[#This Row],[Status_i]]), "", LogTable2023[[#This Row],[Status_i]]), LogTable2023[[#This Row],[Status_o]])</f>
        <v>Posted</v>
      </c>
      <c r="T81" t="s">
        <v>293</v>
      </c>
      <c r="U81" t="str">
        <f>IF( _xlfn.IFNA(MATCH(LogTable2023[[#This Row],[My Category]], Buckets!$D$4:$D$35, 0), FALSE), ".", "E")</f>
        <v>.</v>
      </c>
    </row>
    <row r="82" spans="1:22" hidden="1" x14ac:dyDescent="0.25">
      <c r="A82" s="4">
        <v>45233</v>
      </c>
      <c r="B82" s="5" t="s">
        <v>221</v>
      </c>
      <c r="C82" s="5" t="s">
        <v>222</v>
      </c>
      <c r="D82" s="5" t="s">
        <v>177</v>
      </c>
      <c r="E82" s="5">
        <v>-0.95</v>
      </c>
      <c r="F82" s="5" t="s">
        <v>9</v>
      </c>
      <c r="G82" s="5" t="s">
        <v>269</v>
      </c>
      <c r="H82" s="5"/>
      <c r="I82" s="5"/>
      <c r="J82" s="5"/>
      <c r="K82" s="5"/>
      <c r="L82" s="5"/>
      <c r="M82" s="6"/>
      <c r="N82" s="1">
        <f>IF( ISBLANK(LogTable2023[[#This Row],[Date_o]]), IF(ISBLANK(LogTable2023[[#This Row],[Date_i]]), "", LogTable2023[[#This Row],[Date_i]]), LogTable2023[[#This Row],[Date_o]])</f>
        <v>45233</v>
      </c>
      <c r="O82" t="str">
        <f>IF( ISBLANK(LogTable2023[[#This Row],[Description_o]]), IF(ISBLANK(LogTable2023[[#This Row],[Description_i]]), "", LogTable2023[[#This Row],[Description_i]]), LogTable2023[[#This Row],[Description_o]])</f>
        <v>Yardi</v>
      </c>
      <c r="P82" t="str">
        <f>IF( ISBLANK(LogTable2023[[#This Row],[Original Description_o]]), IF(ISBLANK(LogTable2023[[#This Row],[Original Description_i]]), "", LogTable2023[[#This Row],[Original Description_i]]), LogTable2023[[#This Row],[Original Description_o]])</f>
        <v>YARDI SERVICECHG WEB PMTS   ***********GS4F</v>
      </c>
      <c r="Q82" t="str">
        <f>IF( ISBLANK(LogTable2023[[#This Row],[Category_o]]), IF(ISBLANK(LogTable2023[[#This Row],[Category_i]]), "", LogTable2023[[#This Row],[Category_i]]), LogTable2023[[#This Row],[Category_o]])</f>
        <v>Mortgage &amp; Rent</v>
      </c>
      <c r="R82" s="10">
        <f>IF( ISBLANK(LogTable2023[[#This Row],[Amount_o]]), IF(ISBLANK(LogTable2023[[#This Row],[Amount_i]]), "", LogTable2023[[#This Row],[Amount_i]]), LogTable2023[[#This Row],[Amount_o]])</f>
        <v>-0.95</v>
      </c>
      <c r="S82" s="1" t="str">
        <f>IF( ISBLANK(LogTable2023[[#This Row],[Status_o]]), IF(ISBLANK(LogTable2023[[#This Row],[Status_i]]), "", LogTable2023[[#This Row],[Status_i]]), LogTable2023[[#This Row],[Status_o]])</f>
        <v>Posted</v>
      </c>
      <c r="T82" t="s">
        <v>295</v>
      </c>
      <c r="U82" t="str">
        <f>IF( _xlfn.IFNA(MATCH(LogTable2023[[#This Row],[My Category]], Buckets!$D$4:$D$35, 0), FALSE), ".", "E")</f>
        <v>.</v>
      </c>
    </row>
    <row r="83" spans="1:22" hidden="1" x14ac:dyDescent="0.25">
      <c r="A83" s="4">
        <v>45232</v>
      </c>
      <c r="B83" s="5" t="s">
        <v>219</v>
      </c>
      <c r="C83" s="5" t="s">
        <v>223</v>
      </c>
      <c r="D83" s="5" t="s">
        <v>107</v>
      </c>
      <c r="E83" s="5">
        <v>-2000</v>
      </c>
      <c r="F83" s="5" t="s">
        <v>9</v>
      </c>
      <c r="G83" s="5" t="s">
        <v>269</v>
      </c>
      <c r="H83" s="5"/>
      <c r="I83" s="5"/>
      <c r="J83" s="5"/>
      <c r="K83" s="5"/>
      <c r="L83" s="5"/>
      <c r="M83" s="6"/>
      <c r="N83" s="1">
        <f>IF( ISBLANK(LogTable2023[[#This Row],[Date_o]]), IF(ISBLANK(LogTable2023[[#This Row],[Date_i]]), "", LogTable2023[[#This Row],[Date_i]]), LogTable2023[[#This Row],[Date_o]])</f>
        <v>45232</v>
      </c>
      <c r="O83" t="str">
        <f>IF( ISBLANK(LogTable2023[[#This Row],[Description_o]]), IF(ISBLANK(LogTable2023[[#This Row],[Description_i]]), "", LogTable2023[[#This Row],[Description_i]]), LogTable2023[[#This Row],[Description_o]])</f>
        <v>Cornerstoneapart Web</v>
      </c>
      <c r="P83" t="str">
        <f>IF( ISBLANK(LogTable2023[[#This Row],[Original Description_o]]), IF(ISBLANK(LogTable2023[[#This Row],[Original Description_i]]), "", LogTable2023[[#This Row],[Original Description_i]]), LogTable2023[[#This Row],[Original Description_o]])</f>
        <v>CORNERSTONEAPART WEB PMTS   ***********NS3F</v>
      </c>
      <c r="Q83" t="str">
        <f>IF( ISBLANK(LogTable2023[[#This Row],[Category_o]]), IF(ISBLANK(LogTable2023[[#This Row],[Category_i]]), "", LogTable2023[[#This Row],[Category_i]]), LogTable2023[[#This Row],[Category_o]])</f>
        <v>Uncategorized</v>
      </c>
      <c r="R83" s="10">
        <f>IF( ISBLANK(LogTable2023[[#This Row],[Amount_o]]), IF(ISBLANK(LogTable2023[[#This Row],[Amount_i]]), "", LogTable2023[[#This Row],[Amount_i]]), LogTable2023[[#This Row],[Amount_o]])</f>
        <v>-2000</v>
      </c>
      <c r="S83" s="1" t="str">
        <f>IF( ISBLANK(LogTable2023[[#This Row],[Status_o]]), IF(ISBLANK(LogTable2023[[#This Row],[Status_i]]), "", LogTable2023[[#This Row],[Status_i]]), LogTable2023[[#This Row],[Status_o]])</f>
        <v>Posted</v>
      </c>
      <c r="T83" t="s">
        <v>293</v>
      </c>
      <c r="U83" t="str">
        <f>IF( _xlfn.IFNA(MATCH(LogTable2023[[#This Row],[My Category]], Buckets!$D$4:$D$35, 0), FALSE), ".", "E")</f>
        <v>.</v>
      </c>
    </row>
    <row r="84" spans="1:22" hidden="1" x14ac:dyDescent="0.25">
      <c r="A84" s="4">
        <v>45232</v>
      </c>
      <c r="B84" s="5" t="s">
        <v>224</v>
      </c>
      <c r="C84" s="5" t="s">
        <v>225</v>
      </c>
      <c r="D84" s="5" t="s">
        <v>226</v>
      </c>
      <c r="E84" s="5">
        <v>-320</v>
      </c>
      <c r="F84" s="5" t="s">
        <v>9</v>
      </c>
      <c r="G84" s="5" t="s">
        <v>269</v>
      </c>
      <c r="H84" s="5"/>
      <c r="I84" s="5"/>
      <c r="J84" s="5"/>
      <c r="K84" s="5"/>
      <c r="L84" s="5"/>
      <c r="M84" s="6"/>
      <c r="N84" s="1">
        <f>IF( ISBLANK(LogTable2023[[#This Row],[Date_o]]), IF(ISBLANK(LogTable2023[[#This Row],[Date_i]]), "", LogTable2023[[#This Row],[Date_i]]), LogTable2023[[#This Row],[Date_o]])</f>
        <v>45232</v>
      </c>
      <c r="O84" t="str">
        <f>IF( ISBLANK(LogTable2023[[#This Row],[Description_o]]), IF(ISBLANK(LogTable2023[[#This Row],[Description_i]]), "", LogTable2023[[#This Row],[Description_i]]), LogTable2023[[#This Row],[Description_o]])</f>
        <v>Honda Financial</v>
      </c>
      <c r="P84" t="str">
        <f>IF( ISBLANK(LogTable2023[[#This Row],[Original Description_o]]), IF(ISBLANK(LogTable2023[[#This Row],[Original Description_i]]), "", LogTable2023[[#This Row],[Original Description_i]]), LogTable2023[[#This Row],[Original Description_o]])</f>
        <v>HONDA PMT        8004489307 ***********2WOG</v>
      </c>
      <c r="Q84" t="str">
        <f>IF( ISBLANK(LogTable2023[[#This Row],[Category_o]]), IF(ISBLANK(LogTable2023[[#This Row],[Category_i]]), "", LogTable2023[[#This Row],[Category_i]]), LogTable2023[[#This Row],[Category_o]])</f>
        <v>Auto Payment</v>
      </c>
      <c r="R84" s="10">
        <f>IF( ISBLANK(LogTable2023[[#This Row],[Amount_o]]), IF(ISBLANK(LogTable2023[[#This Row],[Amount_i]]), "", LogTable2023[[#This Row],[Amount_i]]), LogTable2023[[#This Row],[Amount_o]])</f>
        <v>-320</v>
      </c>
      <c r="S84" s="1" t="str">
        <f>IF( ISBLANK(LogTable2023[[#This Row],[Status_o]]), IF(ISBLANK(LogTable2023[[#This Row],[Status_i]]), "", LogTable2023[[#This Row],[Status_i]]), LogTable2023[[#This Row],[Status_o]])</f>
        <v>Posted</v>
      </c>
      <c r="T84" t="s">
        <v>281</v>
      </c>
      <c r="U84" t="str">
        <f>IF( _xlfn.IFNA(MATCH(LogTable2023[[#This Row],[My Category]], Buckets!$D$4:$D$35, 0), FALSE), ".", "E")</f>
        <v>.</v>
      </c>
    </row>
    <row r="85" spans="1:22" hidden="1" x14ac:dyDescent="0.25">
      <c r="A85" s="4">
        <v>45232</v>
      </c>
      <c r="B85" s="5" t="s">
        <v>221</v>
      </c>
      <c r="C85" s="5" t="s">
        <v>227</v>
      </c>
      <c r="D85" s="5" t="s">
        <v>177</v>
      </c>
      <c r="E85" s="5">
        <v>-0.95</v>
      </c>
      <c r="F85" s="5" t="s">
        <v>9</v>
      </c>
      <c r="G85" s="5" t="s">
        <v>269</v>
      </c>
      <c r="H85" s="5"/>
      <c r="I85" s="5"/>
      <c r="J85" s="5"/>
      <c r="K85" s="5"/>
      <c r="L85" s="5"/>
      <c r="M85" s="6"/>
      <c r="N85" s="1">
        <f>IF( ISBLANK(LogTable2023[[#This Row],[Date_o]]), IF(ISBLANK(LogTable2023[[#This Row],[Date_i]]), "", LogTable2023[[#This Row],[Date_i]]), LogTable2023[[#This Row],[Date_o]])</f>
        <v>45232</v>
      </c>
      <c r="O85" t="str">
        <f>IF( ISBLANK(LogTable2023[[#This Row],[Description_o]]), IF(ISBLANK(LogTable2023[[#This Row],[Description_i]]), "", LogTable2023[[#This Row],[Description_i]]), LogTable2023[[#This Row],[Description_o]])</f>
        <v>Yardi</v>
      </c>
      <c r="P85" t="str">
        <f>IF( ISBLANK(LogTable2023[[#This Row],[Original Description_o]]), IF(ISBLANK(LogTable2023[[#This Row],[Original Description_i]]), "", LogTable2023[[#This Row],[Original Description_i]]), LogTable2023[[#This Row],[Original Description_o]])</f>
        <v>YARDI SERVICECHG WEB PMTS   ***********FR3F</v>
      </c>
      <c r="Q85" t="str">
        <f>IF( ISBLANK(LogTable2023[[#This Row],[Category_o]]), IF(ISBLANK(LogTable2023[[#This Row],[Category_i]]), "", LogTable2023[[#This Row],[Category_i]]), LogTable2023[[#This Row],[Category_o]])</f>
        <v>Mortgage &amp; Rent</v>
      </c>
      <c r="R85" s="10">
        <f>IF( ISBLANK(LogTable2023[[#This Row],[Amount_o]]), IF(ISBLANK(LogTable2023[[#This Row],[Amount_i]]), "", LogTable2023[[#This Row],[Amount_i]]), LogTable2023[[#This Row],[Amount_o]])</f>
        <v>-0.95</v>
      </c>
      <c r="S85" s="1" t="str">
        <f>IF( ISBLANK(LogTable2023[[#This Row],[Status_o]]), IF(ISBLANK(LogTable2023[[#This Row],[Status_i]]), "", LogTable2023[[#This Row],[Status_i]]), LogTable2023[[#This Row],[Status_o]])</f>
        <v>Posted</v>
      </c>
      <c r="T85" t="s">
        <v>295</v>
      </c>
      <c r="U85" t="str">
        <f>IF( _xlfn.IFNA(MATCH(LogTable2023[[#This Row],[My Category]], Buckets!$D$4:$D$35, 0), FALSE), ".", "E")</f>
        <v>.</v>
      </c>
    </row>
    <row r="86" spans="1:22" hidden="1" x14ac:dyDescent="0.25">
      <c r="A86" s="4">
        <v>45231</v>
      </c>
      <c r="B86" s="5" t="s">
        <v>69</v>
      </c>
      <c r="C86" s="5" t="s">
        <v>70</v>
      </c>
      <c r="D86" s="5" t="s">
        <v>21</v>
      </c>
      <c r="E86" s="5">
        <v>-23.23</v>
      </c>
      <c r="F86" s="5" t="s">
        <v>9</v>
      </c>
      <c r="G86" s="5" t="s">
        <v>195</v>
      </c>
      <c r="H86" s="5"/>
      <c r="I86" s="5"/>
      <c r="J86" s="5"/>
      <c r="K86" s="5"/>
      <c r="L86" s="5"/>
      <c r="M86" s="6"/>
      <c r="N86" s="1">
        <f>IF( ISBLANK(LogTable2023[[#This Row],[Date_o]]), IF(ISBLANK(LogTable2023[[#This Row],[Date_i]]), "", LogTable2023[[#This Row],[Date_i]]), LogTable2023[[#This Row],[Date_o]])</f>
        <v>45231</v>
      </c>
      <c r="O86" t="str">
        <f>IF( ISBLANK(LogTable2023[[#This Row],[Description_o]]), IF(ISBLANK(LogTable2023[[#This Row],[Description_i]]), "", LogTable2023[[#This Row],[Description_i]]), LogTable2023[[#This Row],[Description_o]])</f>
        <v>Post Oak Bbq</v>
      </c>
      <c r="P86" t="str">
        <f>IF( ISBLANK(LogTable2023[[#This Row],[Original Description_o]]), IF(ISBLANK(LogTable2023[[#This Row],[Original Description_i]]), "", LogTable2023[[#This Row],[Original Description_i]]), LogTable2023[[#This Row],[Original Description_o]])</f>
        <v>TST* POST OAK BBQ        DENVER       CO</v>
      </c>
      <c r="Q86" t="str">
        <f>IF( ISBLANK(LogTable2023[[#This Row],[Category_o]]), IF(ISBLANK(LogTable2023[[#This Row],[Category_i]]), "", LogTable2023[[#This Row],[Category_i]]), LogTable2023[[#This Row],[Category_o]])</f>
        <v>Restaurants</v>
      </c>
      <c r="R86" s="10">
        <f>IF( ISBLANK(LogTable2023[[#This Row],[Amount_o]]), IF(ISBLANK(LogTable2023[[#This Row],[Amount_i]]), "", LogTable2023[[#This Row],[Amount_i]]), LogTable2023[[#This Row],[Amount_o]])</f>
        <v>-23.23</v>
      </c>
      <c r="S86" s="1" t="str">
        <f>IF( ISBLANK(LogTable2023[[#This Row],[Status_o]]), IF(ISBLANK(LogTable2023[[#This Row],[Status_i]]), "", LogTable2023[[#This Row],[Status_i]]), LogTable2023[[#This Row],[Status_o]])</f>
        <v>Posted</v>
      </c>
      <c r="T86" t="s">
        <v>348</v>
      </c>
      <c r="U86" t="str">
        <f>IF( _xlfn.IFNA(MATCH(LogTable2023[[#This Row],[My Category]], Buckets!$D$4:$D$35, 0), FALSE), ".", "E")</f>
        <v>.</v>
      </c>
    </row>
    <row r="87" spans="1:22" x14ac:dyDescent="0.25">
      <c r="A87" s="4">
        <v>45230</v>
      </c>
      <c r="B87" s="5" t="s">
        <v>71</v>
      </c>
      <c r="C87" s="5" t="s">
        <v>72</v>
      </c>
      <c r="D87" s="5" t="s">
        <v>73</v>
      </c>
      <c r="E87" s="5">
        <v>1471.7</v>
      </c>
      <c r="F87" s="5" t="s">
        <v>9</v>
      </c>
      <c r="G87" s="5" t="s">
        <v>195</v>
      </c>
      <c r="H87" s="5"/>
      <c r="I87" s="5"/>
      <c r="J87" s="5"/>
      <c r="K87" s="5"/>
      <c r="L87" s="5"/>
      <c r="M87" s="6"/>
      <c r="N87" s="1">
        <f>IF( ISBLANK(LogTable2023[[#This Row],[Date_o]]), IF(ISBLANK(LogTable2023[[#This Row],[Date_i]]), "", LogTable2023[[#This Row],[Date_i]]), LogTable2023[[#This Row],[Date_o]])</f>
        <v>45230</v>
      </c>
      <c r="O87" t="str">
        <f>IF( ISBLANK(LogTable2023[[#This Row],[Description_o]]), IF(ISBLANK(LogTable2023[[#This Row],[Description_i]]), "", LogTable2023[[#This Row],[Description_i]]), LogTable2023[[#This Row],[Description_o]])</f>
        <v>USAA Credit Card</v>
      </c>
      <c r="P87" t="str">
        <f>IF( ISBLANK(LogTable2023[[#This Row],[Original Description_o]]), IF(ISBLANK(LogTable2023[[#This Row],[Original Description_i]]), "", LogTable2023[[#This Row],[Original Description_i]]), LogTable2023[[#This Row],[Original Description_o]])</f>
        <v>USAA CREDIT CARD PAYMENT SAN ANTONIO  TX</v>
      </c>
      <c r="Q87" t="str">
        <f>IF( ISBLANK(LogTable2023[[#This Row],[Category_o]]), IF(ISBLANK(LogTable2023[[#This Row],[Category_i]]), "", LogTable2023[[#This Row],[Category_i]]), LogTable2023[[#This Row],[Category_o]])</f>
        <v>Transfer</v>
      </c>
      <c r="R87" s="10">
        <f>IF( ISBLANK(LogTable2023[[#This Row],[Amount_o]]), IF(ISBLANK(LogTable2023[[#This Row],[Amount_i]]), "", LogTable2023[[#This Row],[Amount_i]]), LogTable2023[[#This Row],[Amount_o]])</f>
        <v>1471.7</v>
      </c>
      <c r="S87" s="1" t="str">
        <f>IF( ISBLANK(LogTable2023[[#This Row],[Status_o]]), IF(ISBLANK(LogTable2023[[#This Row],[Status_i]]), "", LogTable2023[[#This Row],[Status_i]]), LogTable2023[[#This Row],[Status_o]])</f>
        <v>Posted</v>
      </c>
      <c r="T87" t="s">
        <v>307</v>
      </c>
      <c r="U87" t="str">
        <f>IF( _xlfn.IFNA(MATCH(LogTable2023[[#This Row],[My Category]], Buckets!$D$4:$D$35, 0), FALSE), ".", "E")</f>
        <v>.</v>
      </c>
    </row>
    <row r="88" spans="1:22" x14ac:dyDescent="0.25">
      <c r="A88" s="4">
        <v>45230</v>
      </c>
      <c r="B88" s="5" t="s">
        <v>71</v>
      </c>
      <c r="C88" s="5" t="s">
        <v>228</v>
      </c>
      <c r="D88" s="5" t="s">
        <v>186</v>
      </c>
      <c r="E88" s="5">
        <v>-1471.7</v>
      </c>
      <c r="F88" s="5" t="s">
        <v>9</v>
      </c>
      <c r="G88" s="5" t="s">
        <v>269</v>
      </c>
      <c r="H88" s="5"/>
      <c r="I88" s="5"/>
      <c r="J88" s="5"/>
      <c r="K88" s="5"/>
      <c r="L88" s="5"/>
      <c r="M88" s="6"/>
      <c r="N88" s="1">
        <f>IF( ISBLANK(LogTable2023[[#This Row],[Date_o]]), IF(ISBLANK(LogTable2023[[#This Row],[Date_i]]), "", LogTable2023[[#This Row],[Date_i]]), LogTable2023[[#This Row],[Date_o]])</f>
        <v>45230</v>
      </c>
      <c r="O88" t="str">
        <f>IF( ISBLANK(LogTable2023[[#This Row],[Description_o]]), IF(ISBLANK(LogTable2023[[#This Row],[Description_i]]), "", LogTable2023[[#This Row],[Description_i]]), LogTable2023[[#This Row],[Description_o]])</f>
        <v>USAA Credit Card</v>
      </c>
      <c r="P88" t="str">
        <f>IF( ISBLANK(LogTable2023[[#This Row],[Original Description_o]]), IF(ISBLANK(LogTable2023[[#This Row],[Original Description_i]]), "", LogTable2023[[#This Row],[Original Description_i]]), LogTable2023[[#This Row],[Original Description_o]])</f>
        <v>USAA CREDIT CARD PAYMENT</v>
      </c>
      <c r="Q88" t="str">
        <f>IF( ISBLANK(LogTable2023[[#This Row],[Category_o]]), IF(ISBLANK(LogTable2023[[#This Row],[Category_i]]), "", LogTable2023[[#This Row],[Category_i]]), LogTable2023[[#This Row],[Category_o]])</f>
        <v>Credit Card Payment</v>
      </c>
      <c r="R88" s="10">
        <f>IF( ISBLANK(LogTable2023[[#This Row],[Amount_o]]), IF(ISBLANK(LogTable2023[[#This Row],[Amount_i]]), "", LogTable2023[[#This Row],[Amount_i]]), LogTable2023[[#This Row],[Amount_o]])</f>
        <v>-1471.7</v>
      </c>
      <c r="S88" s="1" t="str">
        <f>IF( ISBLANK(LogTable2023[[#This Row],[Status_o]]), IF(ISBLANK(LogTable2023[[#This Row],[Status_i]]), "", LogTable2023[[#This Row],[Status_i]]), LogTable2023[[#This Row],[Status_o]])</f>
        <v>Posted</v>
      </c>
      <c r="T88" t="s">
        <v>307</v>
      </c>
      <c r="U88" t="str">
        <f>IF( _xlfn.IFNA(MATCH(LogTable2023[[#This Row],[My Category]], Buckets!$D$4:$D$35, 0), FALSE), ".", "E")</f>
        <v>.</v>
      </c>
    </row>
    <row r="89" spans="1:22" hidden="1" x14ac:dyDescent="0.25">
      <c r="A89" s="4">
        <v>45229</v>
      </c>
      <c r="B89" s="5" t="s">
        <v>55</v>
      </c>
      <c r="C89" s="5" t="s">
        <v>56</v>
      </c>
      <c r="D89" s="5" t="s">
        <v>27</v>
      </c>
      <c r="E89" s="5">
        <v>-11.87</v>
      </c>
      <c r="F89" s="5" t="s">
        <v>9</v>
      </c>
      <c r="G89" s="5" t="s">
        <v>195</v>
      </c>
      <c r="H89" s="5"/>
      <c r="I89" s="5"/>
      <c r="J89" s="5"/>
      <c r="K89" s="5"/>
      <c r="L89" s="5"/>
      <c r="M89" s="6"/>
      <c r="N89" s="1">
        <f>IF( ISBLANK(LogTable2023[[#This Row],[Date_o]]), IF(ISBLANK(LogTable2023[[#This Row],[Date_i]]), "", LogTable2023[[#This Row],[Date_i]]), LogTable2023[[#This Row],[Date_o]])</f>
        <v>45229</v>
      </c>
      <c r="O89" t="str">
        <f>IF( ISBLANK(LogTable2023[[#This Row],[Description_o]]), IF(ISBLANK(LogTable2023[[#This Row],[Description_i]]), "", LogTable2023[[#This Row],[Description_i]]), LogTable2023[[#This Row],[Description_o]])</f>
        <v>The Pasty Republic</v>
      </c>
      <c r="P89" t="str">
        <f>IF( ISBLANK(LogTable2023[[#This Row],[Original Description_o]]), IF(ISBLANK(LogTable2023[[#This Row],[Original Description_i]]), "", LogTable2023[[#This Row],[Original Description_i]]), LogTable2023[[#This Row],[Original Description_o]])</f>
        <v>SQ *THE PASTY REPUBLIC   Denver       CO</v>
      </c>
      <c r="Q89" t="str">
        <f>IF( ISBLANK(LogTable2023[[#This Row],[Category_o]]), IF(ISBLANK(LogTable2023[[#This Row],[Category_i]]), "", LogTable2023[[#This Row],[Category_i]]), LogTable2023[[#This Row],[Category_o]])</f>
        <v>Fast Food</v>
      </c>
      <c r="R89" s="10">
        <f>IF( ISBLANK(LogTable2023[[#This Row],[Amount_o]]), IF(ISBLANK(LogTable2023[[#This Row],[Amount_i]]), "", LogTable2023[[#This Row],[Amount_i]]), LogTable2023[[#This Row],[Amount_o]])</f>
        <v>-11.87</v>
      </c>
      <c r="S89" s="1" t="str">
        <f>IF( ISBLANK(LogTable2023[[#This Row],[Status_o]]), IF(ISBLANK(LogTable2023[[#This Row],[Status_i]]), "", LogTable2023[[#This Row],[Status_i]]), LogTable2023[[#This Row],[Status_o]])</f>
        <v>Posted</v>
      </c>
      <c r="T89" t="s">
        <v>348</v>
      </c>
      <c r="U89" t="str">
        <f>IF( _xlfn.IFNA(MATCH(LogTable2023[[#This Row],[My Category]], Buckets!$D$4:$D$35, 0), FALSE), ".", "E")</f>
        <v>.</v>
      </c>
    </row>
    <row r="90" spans="1:22" hidden="1" x14ac:dyDescent="0.25">
      <c r="A90" s="4">
        <v>45229</v>
      </c>
      <c r="B90" s="5" t="s">
        <v>180</v>
      </c>
      <c r="C90" s="5" t="s">
        <v>229</v>
      </c>
      <c r="D90" s="5" t="s">
        <v>15</v>
      </c>
      <c r="E90" s="5">
        <v>-81.150000000000006</v>
      </c>
      <c r="F90" s="5" t="s">
        <v>9</v>
      </c>
      <c r="G90" s="5" t="s">
        <v>269</v>
      </c>
      <c r="H90" s="5"/>
      <c r="I90" s="5"/>
      <c r="J90" s="5"/>
      <c r="K90" s="5"/>
      <c r="L90" s="5"/>
      <c r="M90" s="6"/>
      <c r="N90" s="1">
        <f>IF( ISBLANK(LogTable2023[[#This Row],[Date_o]]), IF(ISBLANK(LogTable2023[[#This Row],[Date_i]]), "", LogTable2023[[#This Row],[Date_i]]), LogTable2023[[#This Row],[Date_o]])</f>
        <v>45229</v>
      </c>
      <c r="O90" t="str">
        <f>IF( ISBLANK(LogTable2023[[#This Row],[Description_o]]), IF(ISBLANK(LogTable2023[[#This Row],[Description_i]]), "", LogTable2023[[#This Row],[Description_i]]), LogTable2023[[#This Row],[Description_o]])</f>
        <v>Safeway</v>
      </c>
      <c r="P90" t="str">
        <f>IF( ISBLANK(LogTable2023[[#This Row],[Original Description_o]]), IF(ISBLANK(LogTable2023[[#This Row],[Original Description_i]]), "", LogTable2023[[#This Row],[Original Description_i]]), LogTable2023[[#This Row],[Original Description_o]])</f>
        <v>SAFEWAY #0244            DENVER       CO</v>
      </c>
      <c r="Q90" t="str">
        <f>IF( ISBLANK(LogTable2023[[#This Row],[Category_o]]), IF(ISBLANK(LogTable2023[[#This Row],[Category_i]]), "", LogTable2023[[#This Row],[Category_i]]), LogTable2023[[#This Row],[Category_o]])</f>
        <v>Groceries</v>
      </c>
      <c r="R90" s="10">
        <f>IF( ISBLANK(LogTable2023[[#This Row],[Amount_o]]), IF(ISBLANK(LogTable2023[[#This Row],[Amount_i]]), "", LogTable2023[[#This Row],[Amount_i]]), LogTable2023[[#This Row],[Amount_o]])</f>
        <v>-81.150000000000006</v>
      </c>
      <c r="S90" s="1" t="str">
        <f>IF( ISBLANK(LogTable2023[[#This Row],[Status_o]]), IF(ISBLANK(LogTable2023[[#This Row],[Status_i]]), "", LogTable2023[[#This Row],[Status_i]]), LogTable2023[[#This Row],[Status_o]])</f>
        <v>Posted</v>
      </c>
      <c r="T90" t="s">
        <v>15</v>
      </c>
      <c r="U90" t="str">
        <f>IF( _xlfn.IFNA(MATCH(LogTable2023[[#This Row],[My Category]], Buckets!$D$4:$D$35, 0), FALSE), ".", "E")</f>
        <v>.</v>
      </c>
    </row>
    <row r="91" spans="1:22" hidden="1" x14ac:dyDescent="0.25">
      <c r="A91" s="4">
        <v>45229</v>
      </c>
      <c r="B91" s="5" t="s">
        <v>196</v>
      </c>
      <c r="C91" s="5" t="s">
        <v>197</v>
      </c>
      <c r="D91" s="5" t="s">
        <v>198</v>
      </c>
      <c r="E91" s="5">
        <v>5578.98</v>
      </c>
      <c r="F91" s="5" t="s">
        <v>9</v>
      </c>
      <c r="G91" s="5" t="s">
        <v>269</v>
      </c>
      <c r="H91" s="5"/>
      <c r="I91" s="5"/>
      <c r="J91" s="5"/>
      <c r="K91" s="5"/>
      <c r="L91" s="5"/>
      <c r="M91" s="6"/>
      <c r="N91" s="1">
        <f>IF( ISBLANK(LogTable2023[[#This Row],[Date_o]]), IF(ISBLANK(LogTable2023[[#This Row],[Date_i]]), "", LogTable2023[[#This Row],[Date_i]]), LogTable2023[[#This Row],[Date_o]])</f>
        <v>45229</v>
      </c>
      <c r="O91" t="str">
        <f>IF( ISBLANK(LogTable2023[[#This Row],[Description_o]]), IF(ISBLANK(LogTable2023[[#This Row],[Description_i]]), "", LogTable2023[[#This Row],[Description_i]]), LogTable2023[[#This Row],[Description_o]])</f>
        <v>Insperity</v>
      </c>
      <c r="P91" t="str">
        <f>IF( ISBLANK(LogTable2023[[#This Row],[Original Description_o]]), IF(ISBLANK(LogTable2023[[#This Row],[Original Description_i]]), "", LogTable2023[[#This Row],[Original Description_i]]), LogTable2023[[#This Row],[Original Description_o]])</f>
        <v>ASF, DBA Insperi PAYROLL    ***********5626</v>
      </c>
      <c r="Q91" t="str">
        <f>IF( ISBLANK(LogTable2023[[#This Row],[Category_o]]), IF(ISBLANK(LogTable2023[[#This Row],[Category_i]]), "", LogTable2023[[#This Row],[Category_i]]), LogTable2023[[#This Row],[Category_o]])</f>
        <v>Paycheck</v>
      </c>
      <c r="R91" s="10">
        <f>IF( ISBLANK(LogTable2023[[#This Row],[Amount_o]]), IF(ISBLANK(LogTable2023[[#This Row],[Amount_i]]), "", LogTable2023[[#This Row],[Amount_i]]), LogTable2023[[#This Row],[Amount_o]])</f>
        <v>5578.98</v>
      </c>
      <c r="S91" s="1" t="str">
        <f>IF( ISBLANK(LogTable2023[[#This Row],[Status_o]]), IF(ISBLANK(LogTable2023[[#This Row],[Status_i]]), "", LogTable2023[[#This Row],[Status_i]]), LogTable2023[[#This Row],[Status_o]])</f>
        <v>Posted</v>
      </c>
      <c r="T91" t="s">
        <v>305</v>
      </c>
      <c r="U91" t="str">
        <f>IF( _xlfn.IFNA(MATCH(LogTable2023[[#This Row],[My Category]], Buckets!$D$4:$D$35, 0), FALSE), ".", "E")</f>
        <v>.</v>
      </c>
    </row>
    <row r="92" spans="1:22" hidden="1" x14ac:dyDescent="0.25">
      <c r="A92" s="4">
        <v>45227</v>
      </c>
      <c r="B92" s="5" t="s">
        <v>74</v>
      </c>
      <c r="C92" s="5" t="s">
        <v>75</v>
      </c>
      <c r="D92" s="5" t="s">
        <v>76</v>
      </c>
      <c r="E92" s="5">
        <v>-29.17</v>
      </c>
      <c r="F92" s="5" t="s">
        <v>9</v>
      </c>
      <c r="G92" s="5" t="s">
        <v>195</v>
      </c>
      <c r="H92" s="5"/>
      <c r="I92" s="5"/>
      <c r="J92" s="5"/>
      <c r="K92" s="5"/>
      <c r="L92" s="5"/>
      <c r="M92" s="6"/>
      <c r="N92" s="1">
        <f>IF( ISBLANK(LogTable2023[[#This Row],[Date_o]]), IF(ISBLANK(LogTable2023[[#This Row],[Date_i]]), "", LogTable2023[[#This Row],[Date_i]]), LogTable2023[[#This Row],[Date_o]])</f>
        <v>45227</v>
      </c>
      <c r="O92" t="str">
        <f>IF( ISBLANK(LogTable2023[[#This Row],[Description_o]]), IF(ISBLANK(LogTable2023[[#This Row],[Description_i]]), "", LogTable2023[[#This Row],[Description_i]]), LogTable2023[[#This Row],[Description_o]])</f>
        <v>Lyft</v>
      </c>
      <c r="P92" t="str">
        <f>IF( ISBLANK(LogTable2023[[#This Row],[Original Description_o]]), IF(ISBLANK(LogTable2023[[#This Row],[Original Description_i]]), "", LogTable2023[[#This Row],[Original Description_i]]), LogTable2023[[#This Row],[Original Description_o]])</f>
        <v>PAYPAL *LYFT TEMP AUTH HO402-935-7733 CA</v>
      </c>
      <c r="Q92" t="str">
        <f>IF( ISBLANK(LogTable2023[[#This Row],[Category_o]]), IF(ISBLANK(LogTable2023[[#This Row],[Category_i]]), "", LogTable2023[[#This Row],[Category_i]]), LogTable2023[[#This Row],[Category_o]])</f>
        <v>Rental Car &amp; Taxi</v>
      </c>
      <c r="R92" s="10">
        <f>IF( ISBLANK(LogTable2023[[#This Row],[Amount_o]]), IF(ISBLANK(LogTable2023[[#This Row],[Amount_i]]), "", LogTable2023[[#This Row],[Amount_i]]), LogTable2023[[#This Row],[Amount_o]])</f>
        <v>-29.17</v>
      </c>
      <c r="S92" s="1" t="str">
        <f>IF( ISBLANK(LogTable2023[[#This Row],[Status_o]]), IF(ISBLANK(LogTable2023[[#This Row],[Status_i]]), "", LogTable2023[[#This Row],[Status_i]]), LogTable2023[[#This Row],[Status_o]])</f>
        <v>Posted</v>
      </c>
      <c r="T92" t="s">
        <v>291</v>
      </c>
      <c r="U92" t="str">
        <f>IF( _xlfn.IFNA(MATCH(LogTable2023[[#This Row],[My Category]], Buckets!$D$4:$D$35, 0), FALSE), ".", "E")</f>
        <v>.</v>
      </c>
      <c r="V92" t="s">
        <v>342</v>
      </c>
    </row>
    <row r="93" spans="1:22" hidden="1" x14ac:dyDescent="0.25">
      <c r="A93" s="4">
        <v>45227</v>
      </c>
      <c r="B93" s="5" t="s">
        <v>77</v>
      </c>
      <c r="C93" s="5" t="s">
        <v>78</v>
      </c>
      <c r="D93" s="5" t="s">
        <v>32</v>
      </c>
      <c r="E93" s="5">
        <v>-16.23</v>
      </c>
      <c r="F93" s="5" t="s">
        <v>9</v>
      </c>
      <c r="G93" s="5" t="s">
        <v>195</v>
      </c>
      <c r="H93" s="5"/>
      <c r="I93" s="5"/>
      <c r="J93" s="5"/>
      <c r="K93" s="5"/>
      <c r="L93" s="5"/>
      <c r="M93" s="6"/>
      <c r="N93" s="1">
        <f>IF( ISBLANK(LogTable2023[[#This Row],[Date_o]]), IF(ISBLANK(LogTable2023[[#This Row],[Date_i]]), "", LogTable2023[[#This Row],[Date_i]]), LogTable2023[[#This Row],[Date_o]])</f>
        <v>45227</v>
      </c>
      <c r="O93" t="str">
        <f>IF( ISBLANK(LogTable2023[[#This Row],[Description_o]]), IF(ISBLANK(LogTable2023[[#This Row],[Description_i]]), "", LogTable2023[[#This Row],[Description_i]]), LogTable2023[[#This Row],[Description_o]])</f>
        <v>Steam</v>
      </c>
      <c r="P93" t="str">
        <f>IF( ISBLANK(LogTable2023[[#This Row],[Original Description_o]]), IF(ISBLANK(LogTable2023[[#This Row],[Original Description_i]]), "", LogTable2023[[#This Row],[Original Description_i]]), LogTable2023[[#This Row],[Original Description_o]])</f>
        <v>PAYPAL *STEAM GAMES      4259522985   WA</v>
      </c>
      <c r="Q93" t="str">
        <f>IF( ISBLANK(LogTable2023[[#This Row],[Category_o]]), IF(ISBLANK(LogTable2023[[#This Row],[Category_i]]), "", LogTable2023[[#This Row],[Category_i]]), LogTable2023[[#This Row],[Category_o]])</f>
        <v>Entertainment</v>
      </c>
      <c r="R93" s="10">
        <f>IF( ISBLANK(LogTable2023[[#This Row],[Amount_o]]), IF(ISBLANK(LogTable2023[[#This Row],[Amount_i]]), "", LogTable2023[[#This Row],[Amount_i]]), LogTable2023[[#This Row],[Amount_o]])</f>
        <v>-16.23</v>
      </c>
      <c r="S93" s="1" t="str">
        <f>IF( ISBLANK(LogTable2023[[#This Row],[Status_o]]), IF(ISBLANK(LogTable2023[[#This Row],[Status_i]]), "", LogTable2023[[#This Row],[Status_i]]), LogTable2023[[#This Row],[Status_o]])</f>
        <v>Posted</v>
      </c>
      <c r="T93" t="s">
        <v>289</v>
      </c>
      <c r="U93" t="str">
        <f>IF( _xlfn.IFNA(MATCH(LogTable2023[[#This Row],[My Category]], Buckets!$D$4:$D$35, 0), FALSE), ".", "E")</f>
        <v>.</v>
      </c>
    </row>
    <row r="94" spans="1:22" hidden="1" x14ac:dyDescent="0.25">
      <c r="A94" s="4">
        <v>45226</v>
      </c>
      <c r="B94" s="5" t="s">
        <v>79</v>
      </c>
      <c r="C94" s="5" t="s">
        <v>80</v>
      </c>
      <c r="D94" s="5" t="s">
        <v>81</v>
      </c>
      <c r="E94" s="5">
        <v>-11.65</v>
      </c>
      <c r="F94" s="5" t="s">
        <v>9</v>
      </c>
      <c r="G94" s="5" t="s">
        <v>195</v>
      </c>
      <c r="H94" s="5"/>
      <c r="I94" s="5"/>
      <c r="J94" s="5"/>
      <c r="K94" s="5"/>
      <c r="L94" s="5"/>
      <c r="M94" s="6"/>
      <c r="N94" s="1">
        <f>IF( ISBLANK(LogTable2023[[#This Row],[Date_o]]), IF(ISBLANK(LogTable2023[[#This Row],[Date_i]]), "", LogTable2023[[#This Row],[Date_i]]), LogTable2023[[#This Row],[Date_o]])</f>
        <v>45226</v>
      </c>
      <c r="O94" t="str">
        <f>IF( ISBLANK(LogTable2023[[#This Row],[Description_o]]), IF(ISBLANK(LogTable2023[[#This Row],[Description_i]]), "", LogTable2023[[#This Row],[Description_i]]), LogTable2023[[#This Row],[Description_o]])</f>
        <v>I Hop Ipa</v>
      </c>
      <c r="P94" t="str">
        <f>IF( ISBLANK(LogTable2023[[#This Row],[Original Description_o]]), IF(ISBLANK(LogTable2023[[#This Row],[Original Description_i]]), "", LogTable2023[[#This Row],[Original Description_i]]), LogTable2023[[#This Row],[Original Description_o]])</f>
        <v>SQ *I HOP IPA            BROOMFIELD   CO</v>
      </c>
      <c r="Q94" t="str">
        <f>IF( ISBLANK(LogTable2023[[#This Row],[Category_o]]), IF(ISBLANK(LogTable2023[[#This Row],[Category_i]]), "", LogTable2023[[#This Row],[Category_i]]), LogTable2023[[#This Row],[Category_o]])</f>
        <v>Business Services</v>
      </c>
      <c r="R94" s="10">
        <f>IF( ISBLANK(LogTable2023[[#This Row],[Amount_o]]), IF(ISBLANK(LogTable2023[[#This Row],[Amount_i]]), "", LogTable2023[[#This Row],[Amount_i]]), LogTable2023[[#This Row],[Amount_o]])</f>
        <v>-11.65</v>
      </c>
      <c r="S94" s="1" t="str">
        <f>IF( ISBLANK(LogTable2023[[#This Row],[Status_o]]), IF(ISBLANK(LogTable2023[[#This Row],[Status_i]]), "", LogTable2023[[#This Row],[Status_i]]), LogTable2023[[#This Row],[Status_o]])</f>
        <v>Posted</v>
      </c>
      <c r="T94" t="s">
        <v>337</v>
      </c>
      <c r="U94" t="str">
        <f>IF( _xlfn.IFNA(MATCH(LogTable2023[[#This Row],[My Category]], Buckets!$D$4:$D$35, 0), FALSE), ".", "E")</f>
        <v>.</v>
      </c>
      <c r="V94" t="s">
        <v>340</v>
      </c>
    </row>
    <row r="95" spans="1:22" hidden="1" x14ac:dyDescent="0.25">
      <c r="A95" s="4">
        <v>45226</v>
      </c>
      <c r="B95" s="5" t="s">
        <v>74</v>
      </c>
      <c r="C95" s="5" t="s">
        <v>75</v>
      </c>
      <c r="D95" s="5" t="s">
        <v>76</v>
      </c>
      <c r="E95" s="5">
        <v>-19.989999999999998</v>
      </c>
      <c r="F95" s="5" t="s">
        <v>9</v>
      </c>
      <c r="G95" s="5" t="s">
        <v>195</v>
      </c>
      <c r="H95" s="5"/>
      <c r="I95" s="5"/>
      <c r="J95" s="5"/>
      <c r="K95" s="5"/>
      <c r="L95" s="5"/>
      <c r="M95" s="6"/>
      <c r="N95" s="1">
        <f>IF( ISBLANK(LogTable2023[[#This Row],[Date_o]]), IF(ISBLANK(LogTable2023[[#This Row],[Date_i]]), "", LogTable2023[[#This Row],[Date_i]]), LogTable2023[[#This Row],[Date_o]])</f>
        <v>45226</v>
      </c>
      <c r="O95" t="str">
        <f>IF( ISBLANK(LogTable2023[[#This Row],[Description_o]]), IF(ISBLANK(LogTable2023[[#This Row],[Description_i]]), "", LogTable2023[[#This Row],[Description_i]]), LogTable2023[[#This Row],[Description_o]])</f>
        <v>Lyft</v>
      </c>
      <c r="P95" t="str">
        <f>IF( ISBLANK(LogTable2023[[#This Row],[Original Description_o]]), IF(ISBLANK(LogTable2023[[#This Row],[Original Description_i]]), "", LogTable2023[[#This Row],[Original Description_i]]), LogTable2023[[#This Row],[Original Description_o]])</f>
        <v>PAYPAL *LYFT TEMP AUTH HO402-935-7733 CA</v>
      </c>
      <c r="Q95" t="str">
        <f>IF( ISBLANK(LogTable2023[[#This Row],[Category_o]]), IF(ISBLANK(LogTable2023[[#This Row],[Category_i]]), "", LogTable2023[[#This Row],[Category_i]]), LogTable2023[[#This Row],[Category_o]])</f>
        <v>Rental Car &amp; Taxi</v>
      </c>
      <c r="R95" s="10">
        <f>IF( ISBLANK(LogTable2023[[#This Row],[Amount_o]]), IF(ISBLANK(LogTable2023[[#This Row],[Amount_i]]), "", LogTable2023[[#This Row],[Amount_i]]), LogTable2023[[#This Row],[Amount_o]])</f>
        <v>-19.989999999999998</v>
      </c>
      <c r="S95" s="1" t="str">
        <f>IF( ISBLANK(LogTable2023[[#This Row],[Status_o]]), IF(ISBLANK(LogTable2023[[#This Row],[Status_i]]), "", LogTable2023[[#This Row],[Status_i]]), LogTable2023[[#This Row],[Status_o]])</f>
        <v>Posted</v>
      </c>
      <c r="T95" t="s">
        <v>291</v>
      </c>
      <c r="U95" t="str">
        <f>IF( _xlfn.IFNA(MATCH(LogTable2023[[#This Row],[My Category]], Buckets!$D$4:$D$35, 0), FALSE), ".", "E")</f>
        <v>.</v>
      </c>
      <c r="V95" t="s">
        <v>342</v>
      </c>
    </row>
    <row r="96" spans="1:22" hidden="1" x14ac:dyDescent="0.25">
      <c r="A96" s="4">
        <v>45226</v>
      </c>
      <c r="B96" s="5" t="s">
        <v>45</v>
      </c>
      <c r="C96" s="5" t="s">
        <v>46</v>
      </c>
      <c r="D96" s="5" t="s">
        <v>47</v>
      </c>
      <c r="E96" s="5">
        <v>-26.6</v>
      </c>
      <c r="F96" s="5" t="s">
        <v>9</v>
      </c>
      <c r="G96" s="5" t="s">
        <v>195</v>
      </c>
      <c r="H96" s="5"/>
      <c r="I96" s="5"/>
      <c r="J96" s="5"/>
      <c r="K96" s="5"/>
      <c r="L96" s="5"/>
      <c r="M96" s="6"/>
      <c r="N96" s="1">
        <f>IF( ISBLANK(LogTable2023[[#This Row],[Date_o]]), IF(ISBLANK(LogTable2023[[#This Row],[Date_i]]), "", LogTable2023[[#This Row],[Date_i]]), LogTable2023[[#This Row],[Date_o]])</f>
        <v>45226</v>
      </c>
      <c r="O96" t="str">
        <f>IF( ISBLANK(LogTable2023[[#This Row],[Description_o]]), IF(ISBLANK(LogTable2023[[#This Row],[Description_i]]), "", LogTable2023[[#This Row],[Description_i]]), LogTable2023[[#This Row],[Description_o]])</f>
        <v>Lucy's Burger Bar</v>
      </c>
      <c r="P96" t="str">
        <f>IF( ISBLANK(LogTable2023[[#This Row],[Original Description_o]]), IF(ISBLANK(LogTable2023[[#This Row],[Original Description_i]]), "", LogTable2023[[#This Row],[Original Description_i]]), LogTable2023[[#This Row],[Original Description_o]])</f>
        <v>TST* LUCY'S BURGER BAR   612-202-3545 CO</v>
      </c>
      <c r="Q96" t="str">
        <f>IF( ISBLANK(LogTable2023[[#This Row],[Category_o]]), IF(ISBLANK(LogTable2023[[#This Row],[Category_i]]), "", LogTable2023[[#This Row],[Category_i]]), LogTable2023[[#This Row],[Category_o]])</f>
        <v>Food &amp; Dining</v>
      </c>
      <c r="R96" s="10">
        <f>IF( ISBLANK(LogTable2023[[#This Row],[Amount_o]]), IF(ISBLANK(LogTable2023[[#This Row],[Amount_i]]), "", LogTable2023[[#This Row],[Amount_i]]), LogTable2023[[#This Row],[Amount_o]])</f>
        <v>-26.6</v>
      </c>
      <c r="S96" s="1" t="str">
        <f>IF( ISBLANK(LogTable2023[[#This Row],[Status_o]]), IF(ISBLANK(LogTable2023[[#This Row],[Status_i]]), "", LogTable2023[[#This Row],[Status_i]]), LogTable2023[[#This Row],[Status_o]])</f>
        <v>Posted</v>
      </c>
      <c r="T96" t="s">
        <v>348</v>
      </c>
      <c r="U96" t="str">
        <f>IF( _xlfn.IFNA(MATCH(LogTable2023[[#This Row],[My Category]], Buckets!$D$4:$D$35, 0), FALSE), ".", "E")</f>
        <v>.</v>
      </c>
    </row>
    <row r="97" spans="1:22" hidden="1" x14ac:dyDescent="0.25">
      <c r="A97" s="4">
        <v>45226</v>
      </c>
      <c r="B97" s="5" t="s">
        <v>82</v>
      </c>
      <c r="C97" s="5" t="s">
        <v>83</v>
      </c>
      <c r="D97" s="5" t="s">
        <v>21</v>
      </c>
      <c r="E97" s="5">
        <v>-28.46</v>
      </c>
      <c r="F97" s="5" t="s">
        <v>9</v>
      </c>
      <c r="G97" s="5" t="s">
        <v>195</v>
      </c>
      <c r="H97" s="5"/>
      <c r="I97" s="5"/>
      <c r="J97" s="5"/>
      <c r="K97" s="5"/>
      <c r="L97" s="5"/>
      <c r="M97" s="6"/>
      <c r="N97" s="1">
        <f>IF( ISBLANK(LogTable2023[[#This Row],[Date_o]]), IF(ISBLANK(LogTable2023[[#This Row],[Date_i]]), "", LogTable2023[[#This Row],[Date_i]]), LogTable2023[[#This Row],[Date_o]])</f>
        <v>45226</v>
      </c>
      <c r="O97" t="str">
        <f>IF( ISBLANK(LogTable2023[[#This Row],[Description_o]]), IF(ISBLANK(LogTable2023[[#This Row],[Description_i]]), "", LogTable2023[[#This Row],[Description_i]]), LogTable2023[[#This Row],[Description_o]])</f>
        <v>Babajoon's Kabobs &amp; More</v>
      </c>
      <c r="P97" t="str">
        <f>IF( ISBLANK(LogTable2023[[#This Row],[Original Description_o]]), IF(ISBLANK(LogTable2023[[#This Row],[Original Description_i]]), "", LogTable2023[[#This Row],[Original Description_i]]), LogTable2023[[#This Row],[Original Description_o]])</f>
        <v>BABAJOON`S KABOBS &amp; MORE WESTMINSTER  CO</v>
      </c>
      <c r="Q97" t="str">
        <f>IF( ISBLANK(LogTable2023[[#This Row],[Category_o]]), IF(ISBLANK(LogTable2023[[#This Row],[Category_i]]), "", LogTable2023[[#This Row],[Category_i]]), LogTable2023[[#This Row],[Category_o]])</f>
        <v>Restaurants</v>
      </c>
      <c r="R97" s="10">
        <f>IF( ISBLANK(LogTable2023[[#This Row],[Amount_o]]), IF(ISBLANK(LogTable2023[[#This Row],[Amount_i]]), "", LogTable2023[[#This Row],[Amount_i]]), LogTable2023[[#This Row],[Amount_o]])</f>
        <v>-28.46</v>
      </c>
      <c r="S97" s="1" t="str">
        <f>IF( ISBLANK(LogTable2023[[#This Row],[Status_o]]), IF(ISBLANK(LogTable2023[[#This Row],[Status_i]]), "", LogTable2023[[#This Row],[Status_i]]), LogTable2023[[#This Row],[Status_o]])</f>
        <v>Posted</v>
      </c>
      <c r="T97" t="s">
        <v>348</v>
      </c>
      <c r="U97" t="str">
        <f>IF( _xlfn.IFNA(MATCH(LogTable2023[[#This Row],[My Category]], Buckets!$D$4:$D$35, 0), FALSE), ".", "E")</f>
        <v>.</v>
      </c>
    </row>
    <row r="98" spans="1:22" hidden="1" x14ac:dyDescent="0.25">
      <c r="A98" s="4">
        <v>45226</v>
      </c>
      <c r="B98" s="5" t="s">
        <v>230</v>
      </c>
      <c r="C98" s="5" t="s">
        <v>231</v>
      </c>
      <c r="D98" s="5" t="s">
        <v>215</v>
      </c>
      <c r="E98" s="5">
        <v>-5.22</v>
      </c>
      <c r="F98" s="5" t="s">
        <v>9</v>
      </c>
      <c r="G98" s="5" t="s">
        <v>269</v>
      </c>
      <c r="H98" s="5"/>
      <c r="I98" s="5"/>
      <c r="J98" s="5"/>
      <c r="K98" s="5"/>
      <c r="L98" s="5"/>
      <c r="M98" s="6"/>
      <c r="N98" s="1">
        <f>IF( ISBLANK(LogTable2023[[#This Row],[Date_o]]), IF(ISBLANK(LogTable2023[[#This Row],[Date_i]]), "", LogTable2023[[#This Row],[Date_i]]), LogTable2023[[#This Row],[Date_o]])</f>
        <v>45226</v>
      </c>
      <c r="O98" t="str">
        <f>IF( ISBLANK(LogTable2023[[#This Row],[Description_o]]), IF(ISBLANK(LogTable2023[[#This Row],[Description_i]]), "", LogTable2023[[#This Row],[Description_i]]), LogTable2023[[#This Row],[Description_o]])</f>
        <v>Xcel Energy</v>
      </c>
      <c r="P98" t="str">
        <f>IF( ISBLANK(LogTable2023[[#This Row],[Original Description_o]]), IF(ISBLANK(LogTable2023[[#This Row],[Original Description_i]]), "", LogTable2023[[#This Row],[Original Description_i]]), LogTable2023[[#This Row],[Original Description_o]])</f>
        <v>XCEL ENERGY-PSCO XCELENERGY ***********6821</v>
      </c>
      <c r="Q98" t="str">
        <f>IF( ISBLANK(LogTable2023[[#This Row],[Category_o]]), IF(ISBLANK(LogTable2023[[#This Row],[Category_i]]), "", LogTable2023[[#This Row],[Category_i]]), LogTable2023[[#This Row],[Category_o]])</f>
        <v>Utilities</v>
      </c>
      <c r="R98" s="10">
        <f>IF( ISBLANK(LogTable2023[[#This Row],[Amount_o]]), IF(ISBLANK(LogTable2023[[#This Row],[Amount_i]]), "", LogTable2023[[#This Row],[Amount_i]]), LogTable2023[[#This Row],[Amount_o]])</f>
        <v>-5.22</v>
      </c>
      <c r="S98" s="1" t="str">
        <f>IF( ISBLANK(LogTable2023[[#This Row],[Status_o]]), IF(ISBLANK(LogTable2023[[#This Row],[Status_i]]), "", LogTable2023[[#This Row],[Status_i]]), LogTable2023[[#This Row],[Status_o]])</f>
        <v>Posted</v>
      </c>
      <c r="T98" t="s">
        <v>215</v>
      </c>
      <c r="U98" t="str">
        <f>IF( _xlfn.IFNA(MATCH(LogTable2023[[#This Row],[My Category]], Buckets!$D$4:$D$35, 0), FALSE), ".", "E")</f>
        <v>.</v>
      </c>
    </row>
    <row r="99" spans="1:22" hidden="1" x14ac:dyDescent="0.25">
      <c r="A99" s="4">
        <v>45225</v>
      </c>
      <c r="B99" s="5" t="s">
        <v>84</v>
      </c>
      <c r="C99" s="5" t="s">
        <v>85</v>
      </c>
      <c r="D99" s="5" t="s">
        <v>27</v>
      </c>
      <c r="E99" s="5">
        <v>-14.85</v>
      </c>
      <c r="F99" s="5" t="s">
        <v>9</v>
      </c>
      <c r="G99" s="5" t="s">
        <v>195</v>
      </c>
      <c r="H99" s="5"/>
      <c r="I99" s="5"/>
      <c r="J99" s="5"/>
      <c r="K99" s="5"/>
      <c r="L99" s="5"/>
      <c r="M99" s="6"/>
      <c r="N99" s="1">
        <f>IF( ISBLANK(LogTable2023[[#This Row],[Date_o]]), IF(ISBLANK(LogTable2023[[#This Row],[Date_i]]), "", LogTable2023[[#This Row],[Date_i]]), LogTable2023[[#This Row],[Date_o]])</f>
        <v>45225</v>
      </c>
      <c r="O99" t="str">
        <f>IF( ISBLANK(LogTable2023[[#This Row],[Description_o]]), IF(ISBLANK(LogTable2023[[#This Row],[Description_i]]), "", LogTable2023[[#This Row],[Description_i]]), LogTable2023[[#This Row],[Description_o]])</f>
        <v>Chipotle</v>
      </c>
      <c r="P99" t="str">
        <f>IF( ISBLANK(LogTable2023[[#This Row],[Original Description_o]]), IF(ISBLANK(LogTable2023[[#This Row],[Original Description_i]]), "", LogTable2023[[#This Row],[Original Description_i]]), LogTable2023[[#This Row],[Original Description_o]])</f>
        <v>CHIPOTLE 0066            AURORA       CO</v>
      </c>
      <c r="Q99" t="str">
        <f>IF( ISBLANK(LogTable2023[[#This Row],[Category_o]]), IF(ISBLANK(LogTable2023[[#This Row],[Category_i]]), "", LogTable2023[[#This Row],[Category_i]]), LogTable2023[[#This Row],[Category_o]])</f>
        <v>Fast Food</v>
      </c>
      <c r="R99" s="10">
        <f>IF( ISBLANK(LogTable2023[[#This Row],[Amount_o]]), IF(ISBLANK(LogTable2023[[#This Row],[Amount_i]]), "", LogTable2023[[#This Row],[Amount_i]]), LogTable2023[[#This Row],[Amount_o]])</f>
        <v>-14.85</v>
      </c>
      <c r="S99" s="1" t="str">
        <f>IF( ISBLANK(LogTable2023[[#This Row],[Status_o]]), IF(ISBLANK(LogTable2023[[#This Row],[Status_i]]), "", LogTable2023[[#This Row],[Status_i]]), LogTable2023[[#This Row],[Status_o]])</f>
        <v>Posted</v>
      </c>
      <c r="T99" t="s">
        <v>348</v>
      </c>
      <c r="U99" t="str">
        <f>IF( _xlfn.IFNA(MATCH(LogTable2023[[#This Row],[My Category]], Buckets!$D$4:$D$35, 0), FALSE), ".", "E")</f>
        <v>.</v>
      </c>
    </row>
    <row r="100" spans="1:22" hidden="1" x14ac:dyDescent="0.25">
      <c r="A100" s="4">
        <v>45225</v>
      </c>
      <c r="B100" s="5" t="s">
        <v>201</v>
      </c>
      <c r="C100" s="5" t="s">
        <v>202</v>
      </c>
      <c r="D100" s="5" t="s">
        <v>203</v>
      </c>
      <c r="E100" s="5">
        <v>0.08</v>
      </c>
      <c r="F100" s="5" t="s">
        <v>9</v>
      </c>
      <c r="G100" s="5" t="s">
        <v>269</v>
      </c>
      <c r="H100" s="5"/>
      <c r="I100" s="5"/>
      <c r="J100" s="5"/>
      <c r="K100" s="5"/>
      <c r="L100" s="5"/>
      <c r="M100" s="6"/>
      <c r="N100" s="1">
        <f>IF( ISBLANK(LogTable2023[[#This Row],[Date_o]]), IF(ISBLANK(LogTable2023[[#This Row],[Date_i]]), "", LogTable2023[[#This Row],[Date_i]]), LogTable2023[[#This Row],[Date_o]])</f>
        <v>45225</v>
      </c>
      <c r="O100" t="str">
        <f>IF( ISBLANK(LogTable2023[[#This Row],[Description_o]]), IF(ISBLANK(LogTable2023[[#This Row],[Description_i]]), "", LogTable2023[[#This Row],[Description_i]]), LogTable2023[[#This Row],[Description_o]])</f>
        <v>Interest Paid</v>
      </c>
      <c r="P100" t="str">
        <f>IF( ISBLANK(LogTable2023[[#This Row],[Original Description_o]]), IF(ISBLANK(LogTable2023[[#This Row],[Original Description_i]]), "", LogTable2023[[#This Row],[Original Description_i]]), LogTable2023[[#This Row],[Original Description_o]])</f>
        <v>INTEREST PAID</v>
      </c>
      <c r="Q100" t="str">
        <f>IF( ISBLANK(LogTable2023[[#This Row],[Category_o]]), IF(ISBLANK(LogTable2023[[#This Row],[Category_i]]), "", LogTable2023[[#This Row],[Category_i]]), LogTable2023[[#This Row],[Category_o]])</f>
        <v>Interest Income</v>
      </c>
      <c r="R100" s="10">
        <f>IF( ISBLANK(LogTable2023[[#This Row],[Amount_o]]), IF(ISBLANK(LogTable2023[[#This Row],[Amount_i]]), "", LogTable2023[[#This Row],[Amount_i]]), LogTable2023[[#This Row],[Amount_o]])</f>
        <v>0.08</v>
      </c>
      <c r="S100" s="1" t="str">
        <f>IF( ISBLANK(LogTable2023[[#This Row],[Status_o]]), IF(ISBLANK(LogTable2023[[#This Row],[Status_i]]), "", LogTable2023[[#This Row],[Status_i]]), LogTable2023[[#This Row],[Status_o]])</f>
        <v>Posted</v>
      </c>
      <c r="T100" t="s">
        <v>306</v>
      </c>
      <c r="U100" t="str">
        <f>IF( _xlfn.IFNA(MATCH(LogTable2023[[#This Row],[My Category]], Buckets!$D$4:$D$35, 0), FALSE), ".", "E")</f>
        <v>.</v>
      </c>
    </row>
    <row r="101" spans="1:22" hidden="1" x14ac:dyDescent="0.25">
      <c r="A101" s="4">
        <v>45224</v>
      </c>
      <c r="B101" s="5" t="s">
        <v>86</v>
      </c>
      <c r="C101" s="5" t="s">
        <v>87</v>
      </c>
      <c r="D101" s="5" t="s">
        <v>12</v>
      </c>
      <c r="E101" s="5">
        <v>-80</v>
      </c>
      <c r="F101" s="5" t="s">
        <v>9</v>
      </c>
      <c r="G101" s="5" t="s">
        <v>195</v>
      </c>
      <c r="H101" s="5"/>
      <c r="I101" s="5"/>
      <c r="J101" s="5"/>
      <c r="K101" s="5"/>
      <c r="L101" s="5"/>
      <c r="M101" s="6"/>
      <c r="N101" s="1">
        <f>IF( ISBLANK(LogTable2023[[#This Row],[Date_o]]), IF(ISBLANK(LogTable2023[[#This Row],[Date_i]]), "", LogTable2023[[#This Row],[Date_i]]), LogTable2023[[#This Row],[Date_o]])</f>
        <v>45224</v>
      </c>
      <c r="O101" t="str">
        <f>IF( ISBLANK(LogTable2023[[#This Row],[Description_o]]), IF(ISBLANK(LogTable2023[[#This Row],[Description_i]]), "", LogTable2023[[#This Row],[Description_i]]), LogTable2023[[#This Row],[Description_o]])</f>
        <v>Spirit Halloween</v>
      </c>
      <c r="P101" t="str">
        <f>IF( ISBLANK(LogTable2023[[#This Row],[Original Description_o]]), IF(ISBLANK(LogTable2023[[#This Row],[Original Description_i]]), "", LogTable2023[[#This Row],[Original Description_i]]), LogTable2023[[#This Row],[Original Description_o]])</f>
        <v>SPIRIT HALLOWEEN 60468   NORTHGLENN   CO</v>
      </c>
      <c r="Q101" t="str">
        <f>IF( ISBLANK(LogTable2023[[#This Row],[Category_o]]), IF(ISBLANK(LogTable2023[[#This Row],[Category_i]]), "", LogTable2023[[#This Row],[Category_i]]), LogTable2023[[#This Row],[Category_o]])</f>
        <v>Shopping</v>
      </c>
      <c r="R101" s="10">
        <f>IF( ISBLANK(LogTable2023[[#This Row],[Amount_o]]), IF(ISBLANK(LogTable2023[[#This Row],[Amount_i]]), "", LogTable2023[[#This Row],[Amount_i]]), LogTable2023[[#This Row],[Amount_o]])</f>
        <v>-80</v>
      </c>
      <c r="S101" s="1" t="str">
        <f>IF( ISBLANK(LogTable2023[[#This Row],[Status_o]]), IF(ISBLANK(LogTable2023[[#This Row],[Status_i]]), "", LogTable2023[[#This Row],[Status_i]]), LogTable2023[[#This Row],[Status_o]])</f>
        <v>Posted</v>
      </c>
      <c r="T101" t="s">
        <v>291</v>
      </c>
      <c r="U101" t="str">
        <f>IF( _xlfn.IFNA(MATCH(LogTable2023[[#This Row],[My Category]], Buckets!$D$4:$D$35, 0), FALSE), ".", "E")</f>
        <v>.</v>
      </c>
      <c r="V101" t="s">
        <v>342</v>
      </c>
    </row>
    <row r="102" spans="1:22" hidden="1" x14ac:dyDescent="0.25">
      <c r="A102" s="4">
        <v>45224</v>
      </c>
      <c r="B102" s="5" t="s">
        <v>88</v>
      </c>
      <c r="C102" s="5" t="s">
        <v>89</v>
      </c>
      <c r="D102" s="5" t="s">
        <v>18</v>
      </c>
      <c r="E102" s="5">
        <v>-75.59</v>
      </c>
      <c r="F102" s="5" t="s">
        <v>9</v>
      </c>
      <c r="G102" s="5" t="s">
        <v>195</v>
      </c>
      <c r="H102" s="5"/>
      <c r="I102" s="5"/>
      <c r="J102" s="5"/>
      <c r="K102" s="5"/>
      <c r="L102" s="5"/>
      <c r="M102" s="6"/>
      <c r="N102" s="1">
        <f>IF( ISBLANK(LogTable2023[[#This Row],[Date_o]]), IF(ISBLANK(LogTable2023[[#This Row],[Date_i]]), "", LogTable2023[[#This Row],[Date_i]]), LogTable2023[[#This Row],[Date_o]])</f>
        <v>45224</v>
      </c>
      <c r="O102" t="str">
        <f>IF( ISBLANK(LogTable2023[[#This Row],[Description_o]]), IF(ISBLANK(LogTable2023[[#This Row],[Description_i]]), "", LogTable2023[[#This Row],[Description_i]]), LogTable2023[[#This Row],[Description_o]])</f>
        <v>Disguises</v>
      </c>
      <c r="P102" t="str">
        <f>IF( ISBLANK(LogTable2023[[#This Row],[Original Description_o]]), IF(ISBLANK(LogTable2023[[#This Row],[Original Description_i]]), "", LogTable2023[[#This Row],[Original Description_i]]), LogTable2023[[#This Row],[Original Description_o]])</f>
        <v>DISGUISES                LAKEWOOD     CO</v>
      </c>
      <c r="Q102" t="str">
        <f>IF( ISBLANK(LogTable2023[[#This Row],[Category_o]]), IF(ISBLANK(LogTable2023[[#This Row],[Category_i]]), "", LogTable2023[[#This Row],[Category_i]]), LogTable2023[[#This Row],[Category_o]])</f>
        <v>Clothing</v>
      </c>
      <c r="R102" s="10">
        <f>IF( ISBLANK(LogTable2023[[#This Row],[Amount_o]]), IF(ISBLANK(LogTable2023[[#This Row],[Amount_i]]), "", LogTable2023[[#This Row],[Amount_i]]), LogTable2023[[#This Row],[Amount_o]])</f>
        <v>-75.59</v>
      </c>
      <c r="S102" s="1" t="str">
        <f>IF( ISBLANK(LogTable2023[[#This Row],[Status_o]]), IF(ISBLANK(LogTable2023[[#This Row],[Status_i]]), "", LogTable2023[[#This Row],[Status_i]]), LogTable2023[[#This Row],[Status_o]])</f>
        <v>Posted</v>
      </c>
      <c r="T102" t="s">
        <v>291</v>
      </c>
      <c r="U102" t="str">
        <f>IF( _xlfn.IFNA(MATCH(LogTable2023[[#This Row],[My Category]], Buckets!$D$4:$D$35, 0), FALSE), ".", "E")</f>
        <v>.</v>
      </c>
      <c r="V102" t="s">
        <v>342</v>
      </c>
    </row>
    <row r="103" spans="1:22" hidden="1" x14ac:dyDescent="0.25">
      <c r="A103" s="4">
        <v>45223</v>
      </c>
      <c r="B103" s="5" t="s">
        <v>90</v>
      </c>
      <c r="C103" s="5" t="s">
        <v>91</v>
      </c>
      <c r="D103" s="5" t="s">
        <v>21</v>
      </c>
      <c r="E103" s="5">
        <v>-13.18</v>
      </c>
      <c r="F103" s="5" t="s">
        <v>9</v>
      </c>
      <c r="G103" s="5" t="s">
        <v>195</v>
      </c>
      <c r="H103" s="5"/>
      <c r="I103" s="5"/>
      <c r="J103" s="5"/>
      <c r="K103" s="5"/>
      <c r="L103" s="5"/>
      <c r="M103" s="6"/>
      <c r="N103" s="1">
        <f>IF( ISBLANK(LogTable2023[[#This Row],[Date_o]]), IF(ISBLANK(LogTable2023[[#This Row],[Date_i]]), "", LogTable2023[[#This Row],[Date_i]]), LogTable2023[[#This Row],[Date_o]])</f>
        <v>45223</v>
      </c>
      <c r="O103" t="str">
        <f>IF( ISBLANK(LogTable2023[[#This Row],[Description_o]]), IF(ISBLANK(LogTable2023[[#This Row],[Description_i]]), "", LogTable2023[[#This Row],[Description_i]]), LogTable2023[[#This Row],[Description_o]])</f>
        <v>Taziki's</v>
      </c>
      <c r="P103" t="str">
        <f>IF( ISBLANK(LogTable2023[[#This Row],[Original Description_o]]), IF(ISBLANK(LogTable2023[[#This Row],[Original Description_i]]), "", LogTable2023[[#This Row],[Original Description_i]]), LogTable2023[[#This Row],[Original Description_o]])</f>
        <v>SQ *TAZIKIS MEDITERRANEANWestminster  CO</v>
      </c>
      <c r="Q103" t="str">
        <f>IF( ISBLANK(LogTable2023[[#This Row],[Category_o]]), IF(ISBLANK(LogTable2023[[#This Row],[Category_i]]), "", LogTable2023[[#This Row],[Category_i]]), LogTable2023[[#This Row],[Category_o]])</f>
        <v>Restaurants</v>
      </c>
      <c r="R103" s="10">
        <f>IF( ISBLANK(LogTable2023[[#This Row],[Amount_o]]), IF(ISBLANK(LogTable2023[[#This Row],[Amount_i]]), "", LogTable2023[[#This Row],[Amount_i]]), LogTable2023[[#This Row],[Amount_o]])</f>
        <v>-13.18</v>
      </c>
      <c r="S103" s="1" t="str">
        <f>IF( ISBLANK(LogTable2023[[#This Row],[Status_o]]), IF(ISBLANK(LogTable2023[[#This Row],[Status_i]]), "", LogTable2023[[#This Row],[Status_i]]), LogTable2023[[#This Row],[Status_o]])</f>
        <v>Posted</v>
      </c>
      <c r="T103" t="s">
        <v>348</v>
      </c>
      <c r="U103" t="str">
        <f>IF( _xlfn.IFNA(MATCH(LogTable2023[[#This Row],[My Category]], Buckets!$D$4:$D$35, 0), FALSE), ".", "E")</f>
        <v>.</v>
      </c>
    </row>
    <row r="104" spans="1:22" hidden="1" x14ac:dyDescent="0.25">
      <c r="A104" s="4">
        <v>45223</v>
      </c>
      <c r="B104" s="5" t="s">
        <v>92</v>
      </c>
      <c r="C104" s="5" t="s">
        <v>93</v>
      </c>
      <c r="D104" s="5" t="s">
        <v>54</v>
      </c>
      <c r="E104" s="5">
        <v>-14.43</v>
      </c>
      <c r="F104" s="5" t="s">
        <v>9</v>
      </c>
      <c r="G104" s="5" t="s">
        <v>195</v>
      </c>
      <c r="H104" s="5"/>
      <c r="I104" s="5"/>
      <c r="J104" s="5"/>
      <c r="K104" s="5"/>
      <c r="L104" s="5"/>
      <c r="M104" s="6"/>
      <c r="N104" s="1">
        <f>IF( ISBLANK(LogTable2023[[#This Row],[Date_o]]), IF(ISBLANK(LogTable2023[[#This Row],[Date_i]]), "", LogTable2023[[#This Row],[Date_i]]), LogTable2023[[#This Row],[Date_o]])</f>
        <v>45223</v>
      </c>
      <c r="O104" t="str">
        <f>IF( ISBLANK(LogTable2023[[#This Row],[Description_o]]), IF(ISBLANK(LogTable2023[[#This Row],[Description_i]]), "", LogTable2023[[#This Row],[Description_i]]), LogTable2023[[#This Row],[Description_o]])</f>
        <v>Walgreens</v>
      </c>
      <c r="P104" t="str">
        <f>IF( ISBLANK(LogTable2023[[#This Row],[Original Description_o]]), IF(ISBLANK(LogTable2023[[#This Row],[Original Description_i]]), "", LogTable2023[[#This Row],[Original Description_i]]), LogTable2023[[#This Row],[Original Description_o]])</f>
        <v>WALGREENS #5644          NORTHGLENN   CO</v>
      </c>
      <c r="Q104" t="str">
        <f>IF( ISBLANK(LogTable2023[[#This Row],[Category_o]]), IF(ISBLANK(LogTable2023[[#This Row],[Category_i]]), "", LogTable2023[[#This Row],[Category_i]]), LogTable2023[[#This Row],[Category_o]])</f>
        <v>Pharmacy</v>
      </c>
      <c r="R104" s="10">
        <f>IF( ISBLANK(LogTable2023[[#This Row],[Amount_o]]), IF(ISBLANK(LogTable2023[[#This Row],[Amount_i]]), "", LogTable2023[[#This Row],[Amount_i]]), LogTable2023[[#This Row],[Amount_o]])</f>
        <v>-14.43</v>
      </c>
      <c r="S104" s="1" t="str">
        <f>IF( ISBLANK(LogTable2023[[#This Row],[Status_o]]), IF(ISBLANK(LogTable2023[[#This Row],[Status_i]]), "", LogTable2023[[#This Row],[Status_i]]), LogTable2023[[#This Row],[Status_o]])</f>
        <v>Posted</v>
      </c>
      <c r="T104" t="s">
        <v>295</v>
      </c>
      <c r="U104" t="str">
        <f>IF( _xlfn.IFNA(MATCH(LogTable2023[[#This Row],[My Category]], Buckets!$D$4:$D$35, 0), FALSE), ".", "E")</f>
        <v>.</v>
      </c>
    </row>
    <row r="105" spans="1:22" hidden="1" x14ac:dyDescent="0.25">
      <c r="A105" s="4">
        <v>45223</v>
      </c>
      <c r="B105" s="5" t="s">
        <v>45</v>
      </c>
      <c r="C105" s="5" t="s">
        <v>46</v>
      </c>
      <c r="D105" s="5" t="s">
        <v>47</v>
      </c>
      <c r="E105" s="5">
        <v>-25.99</v>
      </c>
      <c r="F105" s="5" t="s">
        <v>9</v>
      </c>
      <c r="G105" s="5" t="s">
        <v>195</v>
      </c>
      <c r="H105" s="5"/>
      <c r="I105" s="5"/>
      <c r="J105" s="5"/>
      <c r="K105" s="5"/>
      <c r="L105" s="5"/>
      <c r="M105" s="6"/>
      <c r="N105" s="1">
        <f>IF( ISBLANK(LogTable2023[[#This Row],[Date_o]]), IF(ISBLANK(LogTable2023[[#This Row],[Date_i]]), "", LogTable2023[[#This Row],[Date_i]]), LogTable2023[[#This Row],[Date_o]])</f>
        <v>45223</v>
      </c>
      <c r="O105" t="str">
        <f>IF( ISBLANK(LogTable2023[[#This Row],[Description_o]]), IF(ISBLANK(LogTable2023[[#This Row],[Description_i]]), "", LogTable2023[[#This Row],[Description_i]]), LogTable2023[[#This Row],[Description_o]])</f>
        <v>Lucy's Burger Bar</v>
      </c>
      <c r="P105" t="str">
        <f>IF( ISBLANK(LogTable2023[[#This Row],[Original Description_o]]), IF(ISBLANK(LogTable2023[[#This Row],[Original Description_i]]), "", LogTable2023[[#This Row],[Original Description_i]]), LogTable2023[[#This Row],[Original Description_o]])</f>
        <v>TST* LUCY'S BURGER BAR   612-202-3545 CO</v>
      </c>
      <c r="Q105" t="str">
        <f>IF( ISBLANK(LogTable2023[[#This Row],[Category_o]]), IF(ISBLANK(LogTable2023[[#This Row],[Category_i]]), "", LogTable2023[[#This Row],[Category_i]]), LogTable2023[[#This Row],[Category_o]])</f>
        <v>Food &amp; Dining</v>
      </c>
      <c r="R105" s="10">
        <f>IF( ISBLANK(LogTable2023[[#This Row],[Amount_o]]), IF(ISBLANK(LogTable2023[[#This Row],[Amount_i]]), "", LogTable2023[[#This Row],[Amount_i]]), LogTable2023[[#This Row],[Amount_o]])</f>
        <v>-25.99</v>
      </c>
      <c r="S105" s="1" t="str">
        <f>IF( ISBLANK(LogTable2023[[#This Row],[Status_o]]), IF(ISBLANK(LogTable2023[[#This Row],[Status_i]]), "", LogTable2023[[#This Row],[Status_i]]), LogTable2023[[#This Row],[Status_o]])</f>
        <v>Posted</v>
      </c>
      <c r="T105" t="s">
        <v>348</v>
      </c>
      <c r="U105" t="str">
        <f>IF( _xlfn.IFNA(MATCH(LogTable2023[[#This Row],[My Category]], Buckets!$D$4:$D$35, 0), FALSE), ".", "E")</f>
        <v>.</v>
      </c>
    </row>
    <row r="106" spans="1:22" hidden="1" x14ac:dyDescent="0.25">
      <c r="A106" s="4">
        <v>45222</v>
      </c>
      <c r="B106" s="5" t="s">
        <v>94</v>
      </c>
      <c r="C106" s="5" t="s">
        <v>95</v>
      </c>
      <c r="D106" s="5" t="s">
        <v>81</v>
      </c>
      <c r="E106" s="5">
        <v>-21.6</v>
      </c>
      <c r="F106" s="5" t="s">
        <v>9</v>
      </c>
      <c r="G106" s="5" t="s">
        <v>195</v>
      </c>
      <c r="H106" s="5"/>
      <c r="I106" s="5"/>
      <c r="J106" s="5"/>
      <c r="K106" s="5"/>
      <c r="L106" s="5"/>
      <c r="M106" s="6"/>
      <c r="N106" s="1">
        <f>IF( ISBLANK(LogTable2023[[#This Row],[Date_o]]), IF(ISBLANK(LogTable2023[[#This Row],[Date_i]]), "", LogTable2023[[#This Row],[Date_i]]), LogTable2023[[#This Row],[Date_o]])</f>
        <v>45222</v>
      </c>
      <c r="O106" t="str">
        <f>IF( ISBLANK(LogTable2023[[#This Row],[Description_o]]), IF(ISBLANK(LogTable2023[[#This Row],[Description_i]]), "", LogTable2023[[#This Row],[Description_i]]), LogTable2023[[#This Row],[Description_o]])</f>
        <v>Childhelp Backpack</v>
      </c>
      <c r="P106" t="str">
        <f>IF( ISBLANK(LogTable2023[[#This Row],[Original Description_o]]), IF(ISBLANK(LogTable2023[[#This Row],[Original Description_i]]), "", LogTable2023[[#This Row],[Original Description_i]]), LogTable2023[[#This Row],[Original Description_o]])</f>
        <v>CHILDHELP* BACKPACK DR   HTTPSWWW.BRANAZ</v>
      </c>
      <c r="Q106" t="str">
        <f>IF( ISBLANK(LogTable2023[[#This Row],[Category_o]]), IF(ISBLANK(LogTable2023[[#This Row],[Category_i]]), "", LogTable2023[[#This Row],[Category_i]]), LogTable2023[[#This Row],[Category_o]])</f>
        <v>Business Services</v>
      </c>
      <c r="R106" s="10">
        <f>IF( ISBLANK(LogTable2023[[#This Row],[Amount_o]]), IF(ISBLANK(LogTable2023[[#This Row],[Amount_i]]), "", LogTable2023[[#This Row],[Amount_i]]), LogTable2023[[#This Row],[Amount_o]])</f>
        <v>-21.6</v>
      </c>
      <c r="S106" s="1" t="str">
        <f>IF( ISBLANK(LogTable2023[[#This Row],[Status_o]]), IF(ISBLANK(LogTable2023[[#This Row],[Status_i]]), "", LogTable2023[[#This Row],[Status_i]]), LogTable2023[[#This Row],[Status_o]])</f>
        <v>Posted</v>
      </c>
      <c r="T106" t="s">
        <v>304</v>
      </c>
      <c r="U106" t="str">
        <f>IF( _xlfn.IFNA(MATCH(LogTable2023[[#This Row],[My Category]], Buckets!$D$4:$D$35, 0), FALSE), ".", "E")</f>
        <v>.</v>
      </c>
    </row>
    <row r="107" spans="1:22" hidden="1" x14ac:dyDescent="0.25">
      <c r="A107" s="4">
        <v>45222</v>
      </c>
      <c r="B107" s="5" t="s">
        <v>230</v>
      </c>
      <c r="C107" s="5" t="s">
        <v>231</v>
      </c>
      <c r="D107" s="5" t="s">
        <v>215</v>
      </c>
      <c r="E107" s="5">
        <v>-36.15</v>
      </c>
      <c r="F107" s="5" t="s">
        <v>9</v>
      </c>
      <c r="G107" s="5" t="s">
        <v>269</v>
      </c>
      <c r="H107" s="5"/>
      <c r="I107" s="5"/>
      <c r="J107" s="5"/>
      <c r="K107" s="5"/>
      <c r="L107" s="5"/>
      <c r="M107" s="6"/>
      <c r="N107" s="1">
        <f>IF( ISBLANK(LogTable2023[[#This Row],[Date_o]]), IF(ISBLANK(LogTable2023[[#This Row],[Date_i]]), "", LogTable2023[[#This Row],[Date_i]]), LogTable2023[[#This Row],[Date_o]])</f>
        <v>45222</v>
      </c>
      <c r="O107" t="str">
        <f>IF( ISBLANK(LogTable2023[[#This Row],[Description_o]]), IF(ISBLANK(LogTable2023[[#This Row],[Description_i]]), "", LogTable2023[[#This Row],[Description_i]]), LogTable2023[[#This Row],[Description_o]])</f>
        <v>Xcel Energy</v>
      </c>
      <c r="P107" t="str">
        <f>IF( ISBLANK(LogTable2023[[#This Row],[Original Description_o]]), IF(ISBLANK(LogTable2023[[#This Row],[Original Description_i]]), "", LogTable2023[[#This Row],[Original Description_i]]), LogTable2023[[#This Row],[Original Description_o]])</f>
        <v>XCEL ENERGY-PSCO XCELENERGY ***********6821</v>
      </c>
      <c r="Q107" t="str">
        <f>IF( ISBLANK(LogTable2023[[#This Row],[Category_o]]), IF(ISBLANK(LogTable2023[[#This Row],[Category_i]]), "", LogTable2023[[#This Row],[Category_i]]), LogTable2023[[#This Row],[Category_o]])</f>
        <v>Utilities</v>
      </c>
      <c r="R107" s="10">
        <f>IF( ISBLANK(LogTable2023[[#This Row],[Amount_o]]), IF(ISBLANK(LogTable2023[[#This Row],[Amount_i]]), "", LogTable2023[[#This Row],[Amount_i]]), LogTable2023[[#This Row],[Amount_o]])</f>
        <v>-36.15</v>
      </c>
      <c r="S107" s="1" t="str">
        <f>IF( ISBLANK(LogTable2023[[#This Row],[Status_o]]), IF(ISBLANK(LogTable2023[[#This Row],[Status_i]]), "", LogTable2023[[#This Row],[Status_i]]), LogTable2023[[#This Row],[Status_o]])</f>
        <v>Posted</v>
      </c>
      <c r="T107" t="s">
        <v>215</v>
      </c>
      <c r="U107" t="str">
        <f>IF( _xlfn.IFNA(MATCH(LogTable2023[[#This Row],[My Category]], Buckets!$D$4:$D$35, 0), FALSE), ".", "E")</f>
        <v>.</v>
      </c>
    </row>
    <row r="108" spans="1:22" hidden="1" x14ac:dyDescent="0.25">
      <c r="A108" s="4">
        <v>45221</v>
      </c>
      <c r="B108" s="5" t="s">
        <v>69</v>
      </c>
      <c r="C108" s="5" t="s">
        <v>70</v>
      </c>
      <c r="D108" s="5" t="s">
        <v>21</v>
      </c>
      <c r="E108" s="5">
        <v>-38.880000000000003</v>
      </c>
      <c r="F108" s="5" t="s">
        <v>9</v>
      </c>
      <c r="G108" s="5" t="s">
        <v>195</v>
      </c>
      <c r="H108" s="5"/>
      <c r="I108" s="5"/>
      <c r="J108" s="5"/>
      <c r="K108" s="5"/>
      <c r="L108" s="5"/>
      <c r="M108" s="6"/>
      <c r="N108" s="1">
        <f>IF( ISBLANK(LogTable2023[[#This Row],[Date_o]]), IF(ISBLANK(LogTable2023[[#This Row],[Date_i]]), "", LogTable2023[[#This Row],[Date_i]]), LogTable2023[[#This Row],[Date_o]])</f>
        <v>45221</v>
      </c>
      <c r="O108" t="str">
        <f>IF( ISBLANK(LogTable2023[[#This Row],[Description_o]]), IF(ISBLANK(LogTable2023[[#This Row],[Description_i]]), "", LogTable2023[[#This Row],[Description_i]]), LogTable2023[[#This Row],[Description_o]])</f>
        <v>Post Oak Bbq</v>
      </c>
      <c r="P108" t="str">
        <f>IF( ISBLANK(LogTable2023[[#This Row],[Original Description_o]]), IF(ISBLANK(LogTable2023[[#This Row],[Original Description_i]]), "", LogTable2023[[#This Row],[Original Description_i]]), LogTable2023[[#This Row],[Original Description_o]])</f>
        <v>TST* POST OAK BBQ        DENVER       CO</v>
      </c>
      <c r="Q108" t="str">
        <f>IF( ISBLANK(LogTable2023[[#This Row],[Category_o]]), IF(ISBLANK(LogTable2023[[#This Row],[Category_i]]), "", LogTable2023[[#This Row],[Category_i]]), LogTable2023[[#This Row],[Category_o]])</f>
        <v>Restaurants</v>
      </c>
      <c r="R108" s="10">
        <f>IF( ISBLANK(LogTable2023[[#This Row],[Amount_o]]), IF(ISBLANK(LogTable2023[[#This Row],[Amount_i]]), "", LogTable2023[[#This Row],[Amount_i]]), LogTable2023[[#This Row],[Amount_o]])</f>
        <v>-38.880000000000003</v>
      </c>
      <c r="S108" s="1" t="str">
        <f>IF( ISBLANK(LogTable2023[[#This Row],[Status_o]]), IF(ISBLANK(LogTable2023[[#This Row],[Status_i]]), "", LogTable2023[[#This Row],[Status_i]]), LogTable2023[[#This Row],[Status_o]])</f>
        <v>Posted</v>
      </c>
      <c r="T108" t="s">
        <v>348</v>
      </c>
      <c r="U108" t="str">
        <f>IF( _xlfn.IFNA(MATCH(LogTable2023[[#This Row],[My Category]], Buckets!$D$4:$D$35, 0), FALSE), ".", "E")</f>
        <v>.</v>
      </c>
    </row>
    <row r="109" spans="1:22" hidden="1" x14ac:dyDescent="0.25">
      <c r="A109" s="4">
        <v>45218</v>
      </c>
      <c r="B109" s="5" t="s">
        <v>57</v>
      </c>
      <c r="C109" s="5" t="s">
        <v>58</v>
      </c>
      <c r="D109" s="5" t="s">
        <v>47</v>
      </c>
      <c r="E109" s="5">
        <v>-16.170000000000002</v>
      </c>
      <c r="F109" s="5" t="s">
        <v>9</v>
      </c>
      <c r="G109" s="5" t="s">
        <v>195</v>
      </c>
      <c r="H109" s="5"/>
      <c r="I109" s="5"/>
      <c r="J109" s="5"/>
      <c r="K109" s="5"/>
      <c r="L109" s="5"/>
      <c r="M109" s="6"/>
      <c r="N109" s="1">
        <f>IF( ISBLANK(LogTable2023[[#This Row],[Date_o]]), IF(ISBLANK(LogTable2023[[#This Row],[Date_i]]), "", LogTable2023[[#This Row],[Date_i]]), LogTable2023[[#This Row],[Date_o]])</f>
        <v>45218</v>
      </c>
      <c r="O109" t="str">
        <f>IF( ISBLANK(LogTable2023[[#This Row],[Description_o]]), IF(ISBLANK(LogTable2023[[#This Row],[Description_i]]), "", LogTable2023[[#This Row],[Description_i]]), LogTable2023[[#This Row],[Description_o]])</f>
        <v>Mugi Ramen and Poke</v>
      </c>
      <c r="P109" t="str">
        <f>IF( ISBLANK(LogTable2023[[#This Row],[Original Description_o]]), IF(ISBLANK(LogTable2023[[#This Row],[Original Description_i]]), "", LogTable2023[[#This Row],[Original Description_i]]), LogTable2023[[#This Row],[Original Description_o]])</f>
        <v>MUGI RAMEN AND POKE      WESTMINSTER  CO</v>
      </c>
      <c r="Q109" t="str">
        <f>IF( ISBLANK(LogTable2023[[#This Row],[Category_o]]), IF(ISBLANK(LogTable2023[[#This Row],[Category_i]]), "", LogTable2023[[#This Row],[Category_i]]), LogTable2023[[#This Row],[Category_o]])</f>
        <v>Food &amp; Dining</v>
      </c>
      <c r="R109" s="10">
        <f>IF( ISBLANK(LogTable2023[[#This Row],[Amount_o]]), IF(ISBLANK(LogTable2023[[#This Row],[Amount_i]]), "", LogTable2023[[#This Row],[Amount_i]]), LogTable2023[[#This Row],[Amount_o]])</f>
        <v>-16.170000000000002</v>
      </c>
      <c r="S109" s="1" t="str">
        <f>IF( ISBLANK(LogTable2023[[#This Row],[Status_o]]), IF(ISBLANK(LogTable2023[[#This Row],[Status_i]]), "", LogTable2023[[#This Row],[Status_i]]), LogTable2023[[#This Row],[Status_o]])</f>
        <v>Posted</v>
      </c>
      <c r="T109" t="s">
        <v>348</v>
      </c>
      <c r="U109" t="str">
        <f>IF( _xlfn.IFNA(MATCH(LogTable2023[[#This Row],[My Category]], Buckets!$D$4:$D$35, 0), FALSE), ".", "E")</f>
        <v>.</v>
      </c>
    </row>
    <row r="110" spans="1:22" hidden="1" x14ac:dyDescent="0.25">
      <c r="A110" s="4">
        <v>45218</v>
      </c>
      <c r="B110" s="5" t="s">
        <v>96</v>
      </c>
      <c r="C110" s="5" t="s">
        <v>97</v>
      </c>
      <c r="D110" s="5" t="s">
        <v>39</v>
      </c>
      <c r="E110" s="5">
        <v>-38.26</v>
      </c>
      <c r="F110" s="5" t="s">
        <v>9</v>
      </c>
      <c r="G110" s="5" t="s">
        <v>195</v>
      </c>
      <c r="H110" s="5"/>
      <c r="I110" s="5"/>
      <c r="J110" s="5"/>
      <c r="K110" s="5"/>
      <c r="L110" s="5"/>
      <c r="M110" s="6"/>
      <c r="N110" s="1">
        <f>IF( ISBLANK(LogTable2023[[#This Row],[Date_o]]), IF(ISBLANK(LogTable2023[[#This Row],[Date_i]]), "", LogTable2023[[#This Row],[Date_i]]), LogTable2023[[#This Row],[Date_o]])</f>
        <v>45218</v>
      </c>
      <c r="O110" t="str">
        <f>IF( ISBLANK(LogTable2023[[#This Row],[Description_o]]), IF(ISBLANK(LogTable2023[[#This Row],[Description_i]]), "", LogTable2023[[#This Row],[Description_i]]), LogTable2023[[#This Row],[Description_o]])</f>
        <v>Kum &amp; Go</v>
      </c>
      <c r="P110" t="str">
        <f>IF( ISBLANK(LogTable2023[[#This Row],[Original Description_o]]), IF(ISBLANK(LogTable2023[[#This Row],[Original Description_i]]), "", LogTable2023[[#This Row],[Original Description_i]]), LogTable2023[[#This Row],[Original Description_o]])</f>
        <v>KUM&amp;GO 2315R ARVADA      ARVADA       CO</v>
      </c>
      <c r="Q110" t="str">
        <f>IF( ISBLANK(LogTable2023[[#This Row],[Category_o]]), IF(ISBLANK(LogTable2023[[#This Row],[Category_i]]), "", LogTable2023[[#This Row],[Category_i]]), LogTable2023[[#This Row],[Category_o]])</f>
        <v>Gas</v>
      </c>
      <c r="R110" s="10">
        <f>IF( ISBLANK(LogTable2023[[#This Row],[Amount_o]]), IF(ISBLANK(LogTable2023[[#This Row],[Amount_i]]), "", LogTable2023[[#This Row],[Amount_i]]), LogTable2023[[#This Row],[Amount_o]])</f>
        <v>-38.26</v>
      </c>
      <c r="S110" s="1" t="str">
        <f>IF( ISBLANK(LogTable2023[[#This Row],[Status_o]]), IF(ISBLANK(LogTable2023[[#This Row],[Status_i]]), "", LogTable2023[[#This Row],[Status_i]]), LogTable2023[[#This Row],[Status_o]])</f>
        <v>Posted</v>
      </c>
      <c r="T110" t="s">
        <v>283</v>
      </c>
      <c r="U110" t="str">
        <f>IF( _xlfn.IFNA(MATCH(LogTable2023[[#This Row],[My Category]], Buckets!$D$4:$D$35, 0), FALSE), ".", "E")</f>
        <v>.</v>
      </c>
    </row>
    <row r="111" spans="1:22" hidden="1" x14ac:dyDescent="0.25">
      <c r="A111" s="4">
        <v>45218</v>
      </c>
      <c r="B111" s="5" t="s">
        <v>19</v>
      </c>
      <c r="C111" s="5" t="s">
        <v>20</v>
      </c>
      <c r="D111" s="5" t="s">
        <v>21</v>
      </c>
      <c r="E111" s="5">
        <v>-12.11</v>
      </c>
      <c r="F111" s="5" t="s">
        <v>9</v>
      </c>
      <c r="G111" s="5" t="s">
        <v>195</v>
      </c>
      <c r="H111" s="5"/>
      <c r="I111" s="5"/>
      <c r="J111" s="5"/>
      <c r="K111" s="5"/>
      <c r="L111" s="5"/>
      <c r="M111" s="6"/>
      <c r="N111" s="1">
        <f>IF( ISBLANK(LogTable2023[[#This Row],[Date_o]]), IF(ISBLANK(LogTable2023[[#This Row],[Date_i]]), "", LogTable2023[[#This Row],[Date_i]]), LogTable2023[[#This Row],[Date_o]])</f>
        <v>45218</v>
      </c>
      <c r="O111" t="str">
        <f>IF( ISBLANK(LogTable2023[[#This Row],[Description_o]]), IF(ISBLANK(LogTable2023[[#This Row],[Description_i]]), "", LogTable2023[[#This Row],[Description_i]]), LogTable2023[[#This Row],[Description_o]])</f>
        <v>Mad Greens</v>
      </c>
      <c r="P111" t="str">
        <f>IF( ISBLANK(LogTable2023[[#This Row],[Original Description_o]]), IF(ISBLANK(LogTable2023[[#This Row],[Original Description_i]]), "", LogTable2023[[#This Row],[Original Description_i]]), LogTable2023[[#This Row],[Original Description_o]])</f>
        <v>MAD GREENS MG0115        WESTMINSTER  CO</v>
      </c>
      <c r="Q111" t="str">
        <f>IF( ISBLANK(LogTable2023[[#This Row],[Category_o]]), IF(ISBLANK(LogTable2023[[#This Row],[Category_i]]), "", LogTable2023[[#This Row],[Category_i]]), LogTable2023[[#This Row],[Category_o]])</f>
        <v>Restaurants</v>
      </c>
      <c r="R111" s="10">
        <f>IF( ISBLANK(LogTable2023[[#This Row],[Amount_o]]), IF(ISBLANK(LogTable2023[[#This Row],[Amount_i]]), "", LogTable2023[[#This Row],[Amount_i]]), LogTable2023[[#This Row],[Amount_o]])</f>
        <v>-12.11</v>
      </c>
      <c r="S111" s="1" t="str">
        <f>IF( ISBLANK(LogTable2023[[#This Row],[Status_o]]), IF(ISBLANK(LogTable2023[[#This Row],[Status_i]]), "", LogTable2023[[#This Row],[Status_i]]), LogTable2023[[#This Row],[Status_o]])</f>
        <v>Posted</v>
      </c>
      <c r="T111" t="s">
        <v>348</v>
      </c>
      <c r="U111" t="str">
        <f>IF( _xlfn.IFNA(MATCH(LogTable2023[[#This Row],[My Category]], Buckets!$D$4:$D$35, 0), FALSE), ".", "E")</f>
        <v>.</v>
      </c>
    </row>
    <row r="112" spans="1:22" hidden="1" x14ac:dyDescent="0.25">
      <c r="A112" s="4">
        <v>45218</v>
      </c>
      <c r="B112" s="5" t="s">
        <v>213</v>
      </c>
      <c r="C112" s="5" t="s">
        <v>232</v>
      </c>
      <c r="D112" s="5" t="s">
        <v>215</v>
      </c>
      <c r="E112" s="5">
        <v>-60.74</v>
      </c>
      <c r="F112" s="5" t="s">
        <v>9</v>
      </c>
      <c r="G112" s="5" t="s">
        <v>269</v>
      </c>
      <c r="H112" s="5"/>
      <c r="I112" s="5"/>
      <c r="J112" s="5"/>
      <c r="K112" s="5"/>
      <c r="L112" s="5"/>
      <c r="M112" s="6"/>
      <c r="N112" s="1">
        <f>IF( ISBLANK(LogTable2023[[#This Row],[Date_o]]), IF(ISBLANK(LogTable2023[[#This Row],[Date_i]]), "", LogTable2023[[#This Row],[Date_i]]), LogTable2023[[#This Row],[Date_o]])</f>
        <v>45218</v>
      </c>
      <c r="O112" t="str">
        <f>IF( ISBLANK(LogTable2023[[#This Row],[Description_o]]), IF(ISBLANK(LogTable2023[[#This Row],[Description_i]]), "", LogTable2023[[#This Row],[Description_i]]), LogTable2023[[#This Row],[Description_o]])</f>
        <v>Comcast</v>
      </c>
      <c r="P112" t="str">
        <f>IF( ISBLANK(LogTable2023[[#This Row],[Original Description_o]]), IF(ISBLANK(LogTable2023[[#This Row],[Original Description_i]]), "", LogTable2023[[#This Row],[Original Description_i]]), LogTable2023[[#This Row],[Original Description_o]])</f>
        <v>COMCAST 8497101  004180591  ***********5806</v>
      </c>
      <c r="Q112" t="str">
        <f>IF( ISBLANK(LogTable2023[[#This Row],[Category_o]]), IF(ISBLANK(LogTable2023[[#This Row],[Category_i]]), "", LogTable2023[[#This Row],[Category_i]]), LogTable2023[[#This Row],[Category_o]])</f>
        <v>Utilities</v>
      </c>
      <c r="R112" s="10">
        <f>IF( ISBLANK(LogTable2023[[#This Row],[Amount_o]]), IF(ISBLANK(LogTable2023[[#This Row],[Amount_i]]), "", LogTable2023[[#This Row],[Amount_i]]), LogTable2023[[#This Row],[Amount_o]])</f>
        <v>-60.74</v>
      </c>
      <c r="S112" s="1" t="str">
        <f>IF( ISBLANK(LogTable2023[[#This Row],[Status_o]]), IF(ISBLANK(LogTable2023[[#This Row],[Status_i]]), "", LogTable2023[[#This Row],[Status_i]]), LogTable2023[[#This Row],[Status_o]])</f>
        <v>Posted</v>
      </c>
      <c r="T112" t="s">
        <v>294</v>
      </c>
      <c r="U112" t="str">
        <f>IF( _xlfn.IFNA(MATCH(LogTable2023[[#This Row],[My Category]], Buckets!$D$4:$D$35, 0), FALSE), ".", "E")</f>
        <v>.</v>
      </c>
    </row>
    <row r="113" spans="1:22" hidden="1" x14ac:dyDescent="0.25">
      <c r="A113" s="4">
        <v>45218</v>
      </c>
      <c r="B113" s="5" t="s">
        <v>230</v>
      </c>
      <c r="C113" s="5" t="s">
        <v>231</v>
      </c>
      <c r="D113" s="5" t="s">
        <v>215</v>
      </c>
      <c r="E113" s="5">
        <v>-12.3</v>
      </c>
      <c r="F113" s="5" t="s">
        <v>9</v>
      </c>
      <c r="G113" s="5" t="s">
        <v>269</v>
      </c>
      <c r="H113" s="5"/>
      <c r="I113" s="5"/>
      <c r="J113" s="5"/>
      <c r="K113" s="5"/>
      <c r="L113" s="5"/>
      <c r="M113" s="6"/>
      <c r="N113" s="1">
        <f>IF( ISBLANK(LogTable2023[[#This Row],[Date_o]]), IF(ISBLANK(LogTable2023[[#This Row],[Date_i]]), "", LogTable2023[[#This Row],[Date_i]]), LogTable2023[[#This Row],[Date_o]])</f>
        <v>45218</v>
      </c>
      <c r="O113" t="str">
        <f>IF( ISBLANK(LogTable2023[[#This Row],[Description_o]]), IF(ISBLANK(LogTable2023[[#This Row],[Description_i]]), "", LogTable2023[[#This Row],[Description_i]]), LogTable2023[[#This Row],[Description_o]])</f>
        <v>Xcel Energy</v>
      </c>
      <c r="P113" t="str">
        <f>IF( ISBLANK(LogTable2023[[#This Row],[Original Description_o]]), IF(ISBLANK(LogTable2023[[#This Row],[Original Description_i]]), "", LogTable2023[[#This Row],[Original Description_i]]), LogTable2023[[#This Row],[Original Description_o]])</f>
        <v>XCEL ENERGY-PSCO XCELENERGY ***********6821</v>
      </c>
      <c r="Q113" t="str">
        <f>IF( ISBLANK(LogTable2023[[#This Row],[Category_o]]), IF(ISBLANK(LogTable2023[[#This Row],[Category_i]]), "", LogTable2023[[#This Row],[Category_i]]), LogTable2023[[#This Row],[Category_o]])</f>
        <v>Utilities</v>
      </c>
      <c r="R113" s="10">
        <f>IF( ISBLANK(LogTable2023[[#This Row],[Amount_o]]), IF(ISBLANK(LogTable2023[[#This Row],[Amount_i]]), "", LogTable2023[[#This Row],[Amount_i]]), LogTable2023[[#This Row],[Amount_o]])</f>
        <v>-12.3</v>
      </c>
      <c r="S113" s="1" t="str">
        <f>IF( ISBLANK(LogTable2023[[#This Row],[Status_o]]), IF(ISBLANK(LogTable2023[[#This Row],[Status_i]]), "", LogTable2023[[#This Row],[Status_i]]), LogTable2023[[#This Row],[Status_o]])</f>
        <v>Posted</v>
      </c>
      <c r="T113" t="s">
        <v>215</v>
      </c>
      <c r="U113" t="str">
        <f>IF( _xlfn.IFNA(MATCH(LogTable2023[[#This Row],[My Category]], Buckets!$D$4:$D$35, 0), FALSE), ".", "E")</f>
        <v>.</v>
      </c>
    </row>
    <row r="114" spans="1:22" hidden="1" x14ac:dyDescent="0.25">
      <c r="A114" s="4">
        <v>45216</v>
      </c>
      <c r="B114" s="5" t="s">
        <v>98</v>
      </c>
      <c r="C114" s="5" t="s">
        <v>99</v>
      </c>
      <c r="D114" s="5" t="s">
        <v>21</v>
      </c>
      <c r="E114" s="5">
        <v>-16.3</v>
      </c>
      <c r="F114" s="5" t="s">
        <v>9</v>
      </c>
      <c r="G114" s="5" t="s">
        <v>195</v>
      </c>
      <c r="H114" s="5"/>
      <c r="I114" s="5"/>
      <c r="J114" s="5"/>
      <c r="K114" s="5"/>
      <c r="L114" s="5"/>
      <c r="M114" s="6"/>
      <c r="N114" s="1">
        <f>IF( ISBLANK(LogTable2023[[#This Row],[Date_o]]), IF(ISBLANK(LogTable2023[[#This Row],[Date_i]]), "", LogTable2023[[#This Row],[Date_i]]), LogTable2023[[#This Row],[Date_o]])</f>
        <v>45216</v>
      </c>
      <c r="O114" t="str">
        <f>IF( ISBLANK(LogTable2023[[#This Row],[Description_o]]), IF(ISBLANK(LogTable2023[[#This Row],[Description_i]]), "", LogTable2023[[#This Row],[Description_i]]), LogTable2023[[#This Row],[Description_o]])</f>
        <v>The Mac Shack</v>
      </c>
      <c r="P114" t="str">
        <f>IF( ISBLANK(LogTable2023[[#This Row],[Original Description_o]]), IF(ISBLANK(LogTable2023[[#This Row],[Original Description_i]]), "", LogTable2023[[#This Row],[Original Description_i]]), LogTable2023[[#This Row],[Original Description_o]])</f>
        <v>TST* THE MAC SHACK       EDGEWATER    CO</v>
      </c>
      <c r="Q114" t="str">
        <f>IF( ISBLANK(LogTable2023[[#This Row],[Category_o]]), IF(ISBLANK(LogTable2023[[#This Row],[Category_i]]), "", LogTable2023[[#This Row],[Category_i]]), LogTable2023[[#This Row],[Category_o]])</f>
        <v>Restaurants</v>
      </c>
      <c r="R114" s="10">
        <f>IF( ISBLANK(LogTable2023[[#This Row],[Amount_o]]), IF(ISBLANK(LogTable2023[[#This Row],[Amount_i]]), "", LogTable2023[[#This Row],[Amount_i]]), LogTable2023[[#This Row],[Amount_o]])</f>
        <v>-16.3</v>
      </c>
      <c r="S114" s="1" t="str">
        <f>IF( ISBLANK(LogTable2023[[#This Row],[Status_o]]), IF(ISBLANK(LogTable2023[[#This Row],[Status_i]]), "", LogTable2023[[#This Row],[Status_i]]), LogTable2023[[#This Row],[Status_o]])</f>
        <v>Posted</v>
      </c>
      <c r="T114" t="s">
        <v>348</v>
      </c>
      <c r="U114" t="str">
        <f>IF( _xlfn.IFNA(MATCH(LogTable2023[[#This Row],[My Category]], Buckets!$D$4:$D$35, 0), FALSE), ".", "E")</f>
        <v>.</v>
      </c>
    </row>
    <row r="115" spans="1:22" hidden="1" x14ac:dyDescent="0.25">
      <c r="A115" s="4">
        <v>45216</v>
      </c>
      <c r="B115" s="5" t="s">
        <v>230</v>
      </c>
      <c r="C115" s="5" t="s">
        <v>231</v>
      </c>
      <c r="D115" s="5" t="s">
        <v>215</v>
      </c>
      <c r="E115" s="5">
        <v>-12.4</v>
      </c>
      <c r="F115" s="5" t="s">
        <v>9</v>
      </c>
      <c r="G115" s="5" t="s">
        <v>269</v>
      </c>
      <c r="H115" s="5"/>
      <c r="I115" s="5"/>
      <c r="J115" s="5"/>
      <c r="K115" s="5"/>
      <c r="L115" s="5"/>
      <c r="M115" s="6"/>
      <c r="N115" s="1">
        <f>IF( ISBLANK(LogTable2023[[#This Row],[Date_o]]), IF(ISBLANK(LogTable2023[[#This Row],[Date_i]]), "", LogTable2023[[#This Row],[Date_i]]), LogTable2023[[#This Row],[Date_o]])</f>
        <v>45216</v>
      </c>
      <c r="O115" t="str">
        <f>IF( ISBLANK(LogTable2023[[#This Row],[Description_o]]), IF(ISBLANK(LogTable2023[[#This Row],[Description_i]]), "", LogTable2023[[#This Row],[Description_i]]), LogTable2023[[#This Row],[Description_o]])</f>
        <v>Xcel Energy</v>
      </c>
      <c r="P115" t="str">
        <f>IF( ISBLANK(LogTable2023[[#This Row],[Original Description_o]]), IF(ISBLANK(LogTable2023[[#This Row],[Original Description_i]]), "", LogTable2023[[#This Row],[Original Description_i]]), LogTable2023[[#This Row],[Original Description_o]])</f>
        <v>XCEL ENERGY-PSCO XCELENERGY ***********6821</v>
      </c>
      <c r="Q115" t="str">
        <f>IF( ISBLANK(LogTable2023[[#This Row],[Category_o]]), IF(ISBLANK(LogTable2023[[#This Row],[Category_i]]), "", LogTable2023[[#This Row],[Category_i]]), LogTable2023[[#This Row],[Category_o]])</f>
        <v>Utilities</v>
      </c>
      <c r="R115" s="10">
        <f>IF( ISBLANK(LogTable2023[[#This Row],[Amount_o]]), IF(ISBLANK(LogTable2023[[#This Row],[Amount_i]]), "", LogTable2023[[#This Row],[Amount_i]]), LogTable2023[[#This Row],[Amount_o]])</f>
        <v>-12.4</v>
      </c>
      <c r="S115" s="1" t="str">
        <f>IF( ISBLANK(LogTable2023[[#This Row],[Status_o]]), IF(ISBLANK(LogTable2023[[#This Row],[Status_i]]), "", LogTable2023[[#This Row],[Status_i]]), LogTable2023[[#This Row],[Status_o]])</f>
        <v>Posted</v>
      </c>
      <c r="T115" t="s">
        <v>215</v>
      </c>
      <c r="U115" t="str">
        <f>IF( _xlfn.IFNA(MATCH(LogTable2023[[#This Row],[My Category]], Buckets!$D$4:$D$35, 0), FALSE), ".", "E")</f>
        <v>.</v>
      </c>
    </row>
    <row r="116" spans="1:22" hidden="1" x14ac:dyDescent="0.25">
      <c r="A116" s="4">
        <v>45215</v>
      </c>
      <c r="B116" s="5" t="s">
        <v>100</v>
      </c>
      <c r="C116" s="5" t="s">
        <v>101</v>
      </c>
      <c r="D116" s="5" t="s">
        <v>32</v>
      </c>
      <c r="E116" s="5">
        <v>-2</v>
      </c>
      <c r="F116" s="5" t="s">
        <v>9</v>
      </c>
      <c r="G116" s="5" t="s">
        <v>195</v>
      </c>
      <c r="H116" s="5"/>
      <c r="I116" s="5"/>
      <c r="J116" s="5"/>
      <c r="K116" s="5"/>
      <c r="L116" s="5"/>
      <c r="M116" s="6"/>
      <c r="N116" s="1">
        <f>IF( ISBLANK(LogTable2023[[#This Row],[Date_o]]), IF(ISBLANK(LogTable2023[[#This Row],[Date_i]]), "", LogTable2023[[#This Row],[Date_i]]), LogTable2023[[#This Row],[Date_o]])</f>
        <v>45215</v>
      </c>
      <c r="O116" t="str">
        <f>IF( ISBLANK(LogTable2023[[#This Row],[Description_o]]), IF(ISBLANK(LogTable2023[[#This Row],[Description_i]]), "", LogTable2023[[#This Row],[Description_i]]), LogTable2023[[#This Row],[Description_o]])</f>
        <v>Patreon</v>
      </c>
      <c r="P116" t="str">
        <f>IF( ISBLANK(LogTable2023[[#This Row],[Original Description_o]]), IF(ISBLANK(LogTable2023[[#This Row],[Original Description_i]]), "", LogTable2023[[#This Row],[Original Description_i]]), LogTable2023[[#This Row],[Original Description_o]])</f>
        <v>PAYPAL *PATREON INC  MEMB402-935-7733 CA</v>
      </c>
      <c r="Q116" t="str">
        <f>IF( ISBLANK(LogTable2023[[#This Row],[Category_o]]), IF(ISBLANK(LogTable2023[[#This Row],[Category_i]]), "", LogTable2023[[#This Row],[Category_i]]), LogTable2023[[#This Row],[Category_o]])</f>
        <v>Entertainment</v>
      </c>
      <c r="R116" s="10">
        <f>IF( ISBLANK(LogTable2023[[#This Row],[Amount_o]]), IF(ISBLANK(LogTable2023[[#This Row],[Amount_i]]), "", LogTable2023[[#This Row],[Amount_i]]), LogTable2023[[#This Row],[Amount_o]])</f>
        <v>-2</v>
      </c>
      <c r="S116" s="1" t="str">
        <f>IF( ISBLANK(LogTable2023[[#This Row],[Status_o]]), IF(ISBLANK(LogTable2023[[#This Row],[Status_i]]), "", LogTable2023[[#This Row],[Status_i]]), LogTable2023[[#This Row],[Status_o]])</f>
        <v>Posted</v>
      </c>
      <c r="T116" t="s">
        <v>288</v>
      </c>
      <c r="U116" t="str">
        <f>IF( _xlfn.IFNA(MATCH(LogTable2023[[#This Row],[My Category]], Buckets!$D$4:$D$35, 0), FALSE), ".", "E")</f>
        <v>.</v>
      </c>
    </row>
    <row r="117" spans="1:22" hidden="1" x14ac:dyDescent="0.25">
      <c r="A117" s="4">
        <v>45215</v>
      </c>
      <c r="B117" s="5" t="s">
        <v>102</v>
      </c>
      <c r="C117" s="5" t="s">
        <v>103</v>
      </c>
      <c r="D117" s="5" t="s">
        <v>35</v>
      </c>
      <c r="E117" s="5">
        <v>-9.1199999999999992</v>
      </c>
      <c r="F117" s="5" t="s">
        <v>9</v>
      </c>
      <c r="G117" s="5" t="s">
        <v>195</v>
      </c>
      <c r="H117" s="5"/>
      <c r="I117" s="5"/>
      <c r="J117" s="5"/>
      <c r="K117" s="5"/>
      <c r="L117" s="5"/>
      <c r="M117" s="6"/>
      <c r="N117" s="1">
        <f>IF( ISBLANK(LogTable2023[[#This Row],[Date_o]]), IF(ISBLANK(LogTable2023[[#This Row],[Date_i]]), "", LogTable2023[[#This Row],[Date_i]]), LogTable2023[[#This Row],[Date_o]])</f>
        <v>45215</v>
      </c>
      <c r="O117" t="str">
        <f>IF( ISBLANK(LogTable2023[[#This Row],[Description_o]]), IF(ISBLANK(LogTable2023[[#This Row],[Description_i]]), "", LogTable2023[[#This Row],[Description_i]]), LogTable2023[[#This Row],[Description_o]])</f>
        <v>Barquentine Brewing Com</v>
      </c>
      <c r="P117" t="str">
        <f>IF( ISBLANK(LogTable2023[[#This Row],[Original Description_o]]), IF(ISBLANK(LogTable2023[[#This Row],[Original Description_i]]), "", LogTable2023[[#This Row],[Original Description_i]]), LogTable2023[[#This Row],[Original Description_o]])</f>
        <v>BARQUENTINE BREWING COM  DENVER       CO</v>
      </c>
      <c r="Q117" t="str">
        <f>IF( ISBLANK(LogTable2023[[#This Row],[Category_o]]), IF(ISBLANK(LogTable2023[[#This Row],[Category_i]]), "", LogTable2023[[#This Row],[Category_i]]), LogTable2023[[#This Row],[Category_o]])</f>
        <v>Alcohol &amp; Bars</v>
      </c>
      <c r="R117" s="10">
        <f>IF( ISBLANK(LogTable2023[[#This Row],[Amount_o]]), IF(ISBLANK(LogTable2023[[#This Row],[Amount_i]]), "", LogTable2023[[#This Row],[Amount_i]]), LogTable2023[[#This Row],[Amount_o]])</f>
        <v>-9.1199999999999992</v>
      </c>
      <c r="S117" s="1" t="str">
        <f>IF( ISBLANK(LogTable2023[[#This Row],[Status_o]]), IF(ISBLANK(LogTable2023[[#This Row],[Status_i]]), "", LogTable2023[[#This Row],[Status_i]]), LogTable2023[[#This Row],[Status_o]])</f>
        <v>Posted</v>
      </c>
      <c r="T117" t="s">
        <v>337</v>
      </c>
      <c r="U117" t="str">
        <f>IF( _xlfn.IFNA(MATCH(LogTable2023[[#This Row],[My Category]], Buckets!$D$4:$D$35, 0), FALSE), ".", "E")</f>
        <v>.</v>
      </c>
      <c r="V117" t="s">
        <v>338</v>
      </c>
    </row>
    <row r="118" spans="1:22" x14ac:dyDescent="0.25">
      <c r="A118" s="4">
        <v>45215</v>
      </c>
      <c r="B118" s="5" t="s">
        <v>71</v>
      </c>
      <c r="C118" s="5" t="s">
        <v>228</v>
      </c>
      <c r="D118" s="5" t="s">
        <v>186</v>
      </c>
      <c r="E118" s="5">
        <v>-2500</v>
      </c>
      <c r="F118" s="5" t="s">
        <v>9</v>
      </c>
      <c r="G118" s="5" t="s">
        <v>269</v>
      </c>
      <c r="H118" s="5"/>
      <c r="I118" s="5"/>
      <c r="J118" s="5"/>
      <c r="K118" s="5"/>
      <c r="L118" s="5"/>
      <c r="M118" s="6"/>
      <c r="N118" s="1">
        <f>IF( ISBLANK(LogTable2023[[#This Row],[Date_o]]), IF(ISBLANK(LogTable2023[[#This Row],[Date_i]]), "", LogTable2023[[#This Row],[Date_i]]), LogTable2023[[#This Row],[Date_o]])</f>
        <v>45215</v>
      </c>
      <c r="O118" t="str">
        <f>IF( ISBLANK(LogTable2023[[#This Row],[Description_o]]), IF(ISBLANK(LogTable2023[[#This Row],[Description_i]]), "", LogTable2023[[#This Row],[Description_i]]), LogTable2023[[#This Row],[Description_o]])</f>
        <v>USAA Credit Card</v>
      </c>
      <c r="P118" t="str">
        <f>IF( ISBLANK(LogTable2023[[#This Row],[Original Description_o]]), IF(ISBLANK(LogTable2023[[#This Row],[Original Description_i]]), "", LogTable2023[[#This Row],[Original Description_i]]), LogTable2023[[#This Row],[Original Description_o]])</f>
        <v>USAA CREDIT CARD PAYMENT</v>
      </c>
      <c r="Q118" t="str">
        <f>IF( ISBLANK(LogTable2023[[#This Row],[Category_o]]), IF(ISBLANK(LogTable2023[[#This Row],[Category_i]]), "", LogTable2023[[#This Row],[Category_i]]), LogTable2023[[#This Row],[Category_o]])</f>
        <v>Credit Card Payment</v>
      </c>
      <c r="R118" s="10">
        <f>IF( ISBLANK(LogTable2023[[#This Row],[Amount_o]]), IF(ISBLANK(LogTable2023[[#This Row],[Amount_i]]), "", LogTable2023[[#This Row],[Amount_i]]), LogTable2023[[#This Row],[Amount_o]])</f>
        <v>-2500</v>
      </c>
      <c r="S118" s="1" t="str">
        <f>IF( ISBLANK(LogTable2023[[#This Row],[Status_o]]), IF(ISBLANK(LogTable2023[[#This Row],[Status_i]]), "", LogTable2023[[#This Row],[Status_i]]), LogTable2023[[#This Row],[Status_o]])</f>
        <v>Posted</v>
      </c>
      <c r="T118" t="s">
        <v>307</v>
      </c>
      <c r="U118" t="str">
        <f>IF( _xlfn.IFNA(MATCH(LogTable2023[[#This Row],[My Category]], Buckets!$D$4:$D$35, 0), FALSE), ".", "E")</f>
        <v>.</v>
      </c>
    </row>
    <row r="119" spans="1:22" hidden="1" x14ac:dyDescent="0.25">
      <c r="A119" s="4">
        <v>45215</v>
      </c>
      <c r="B119" s="5" t="s">
        <v>199</v>
      </c>
      <c r="C119" s="5" t="s">
        <v>233</v>
      </c>
      <c r="D119" s="5" t="s">
        <v>73</v>
      </c>
      <c r="E119" s="5">
        <v>-1000</v>
      </c>
      <c r="F119" s="5" t="s">
        <v>9</v>
      </c>
      <c r="G119" s="5" t="s">
        <v>269</v>
      </c>
      <c r="H119" s="5"/>
      <c r="I119" s="5"/>
      <c r="J119" s="5"/>
      <c r="K119" s="5"/>
      <c r="L119" s="5"/>
      <c r="M119" s="6"/>
      <c r="N119" s="1">
        <f>IF( ISBLANK(LogTable2023[[#This Row],[Date_o]]), IF(ISBLANK(LogTable2023[[#This Row],[Date_i]]), "", LogTable2023[[#This Row],[Date_i]]), LogTable2023[[#This Row],[Date_o]])</f>
        <v>45215</v>
      </c>
      <c r="O119" t="str">
        <f>IF( ISBLANK(LogTable2023[[#This Row],[Description_o]]), IF(ISBLANK(LogTable2023[[#This Row],[Description_i]]), "", LogTable2023[[#This Row],[Description_i]]), LogTable2023[[#This Row],[Description_o]])</f>
        <v>USAA Transfer</v>
      </c>
      <c r="P119" t="str">
        <f>IF( ISBLANK(LogTable2023[[#This Row],[Original Description_o]]), IF(ISBLANK(LogTable2023[[#This Row],[Original Description_i]]), "", LogTable2023[[#This Row],[Original Description_i]]), LogTable2023[[#This Row],[Original Description_o]])</f>
        <v>USAA FUNDS TRANSFER DB</v>
      </c>
      <c r="Q119" t="str">
        <f>IF( ISBLANK(LogTable2023[[#This Row],[Category_o]]), IF(ISBLANK(LogTable2023[[#This Row],[Category_i]]), "", LogTable2023[[#This Row],[Category_i]]), LogTable2023[[#This Row],[Category_o]])</f>
        <v>Transfer</v>
      </c>
      <c r="R119" s="10">
        <f>IF( ISBLANK(LogTable2023[[#This Row],[Amount_o]]), IF(ISBLANK(LogTable2023[[#This Row],[Amount_i]]), "", LogTable2023[[#This Row],[Amount_i]]), LogTable2023[[#This Row],[Amount_o]])</f>
        <v>-1000</v>
      </c>
      <c r="S119" s="1" t="str">
        <f>IF( ISBLANK(LogTable2023[[#This Row],[Status_o]]), IF(ISBLANK(LogTable2023[[#This Row],[Status_i]]), "", LogTable2023[[#This Row],[Status_i]]), LogTable2023[[#This Row],[Status_o]])</f>
        <v>Posted</v>
      </c>
      <c r="T119" t="s">
        <v>309</v>
      </c>
      <c r="U119" t="str">
        <f>IF( _xlfn.IFNA(MATCH(LogTable2023[[#This Row],[My Category]], Buckets!$D$4:$D$35, 0), FALSE), ".", "E")</f>
        <v>.</v>
      </c>
      <c r="V119" t="s">
        <v>358</v>
      </c>
    </row>
    <row r="120" spans="1:22" hidden="1" x14ac:dyDescent="0.25">
      <c r="A120" s="4">
        <v>45214</v>
      </c>
      <c r="B120" s="5" t="s">
        <v>104</v>
      </c>
      <c r="C120" s="5" t="s">
        <v>105</v>
      </c>
      <c r="D120" s="5" t="s">
        <v>47</v>
      </c>
      <c r="E120" s="5">
        <v>-48.12</v>
      </c>
      <c r="F120" s="5" t="s">
        <v>9</v>
      </c>
      <c r="G120" s="5" t="s">
        <v>195</v>
      </c>
      <c r="H120" s="5"/>
      <c r="I120" s="5"/>
      <c r="J120" s="5"/>
      <c r="K120" s="5"/>
      <c r="L120" s="5"/>
      <c r="M120" s="6"/>
      <c r="N120" s="1">
        <f>IF( ISBLANK(LogTable2023[[#This Row],[Date_o]]), IF(ISBLANK(LogTable2023[[#This Row],[Date_i]]), "", LogTable2023[[#This Row],[Date_i]]), LogTable2023[[#This Row],[Date_o]])</f>
        <v>45214</v>
      </c>
      <c r="O120" t="str">
        <f>IF( ISBLANK(LogTable2023[[#This Row],[Description_o]]), IF(ISBLANK(LogTable2023[[#This Row],[Description_i]]), "", LogTable2023[[#This Row],[Description_i]]), LogTable2023[[#This Row],[Description_o]])</f>
        <v>Stoners Pizza Joint</v>
      </c>
      <c r="P120" t="str">
        <f>IF( ISBLANK(LogTable2023[[#This Row],[Original Description_o]]), IF(ISBLANK(LogTable2023[[#This Row],[Original Description_i]]), "", LogTable2023[[#This Row],[Original Description_i]]), LogTable2023[[#This Row],[Original Description_o]])</f>
        <v>TST* Stoners Pizza Joint 720-667-2934 CO</v>
      </c>
      <c r="Q120" t="str">
        <f>IF( ISBLANK(LogTable2023[[#This Row],[Category_o]]), IF(ISBLANK(LogTable2023[[#This Row],[Category_i]]), "", LogTable2023[[#This Row],[Category_i]]), LogTable2023[[#This Row],[Category_o]])</f>
        <v>Food &amp; Dining</v>
      </c>
      <c r="R120" s="10">
        <f>IF( ISBLANK(LogTable2023[[#This Row],[Amount_o]]), IF(ISBLANK(LogTable2023[[#This Row],[Amount_i]]), "", LogTable2023[[#This Row],[Amount_i]]), LogTable2023[[#This Row],[Amount_o]])</f>
        <v>-48.12</v>
      </c>
      <c r="S120" s="1" t="str">
        <f>IF( ISBLANK(LogTable2023[[#This Row],[Status_o]]), IF(ISBLANK(LogTable2023[[#This Row],[Status_i]]), "", LogTable2023[[#This Row],[Status_i]]), LogTable2023[[#This Row],[Status_o]])</f>
        <v>Posted</v>
      </c>
      <c r="T120" t="s">
        <v>337</v>
      </c>
      <c r="U120" t="str">
        <f>IF( _xlfn.IFNA(MATCH(LogTable2023[[#This Row],[My Category]], Buckets!$D$4:$D$35, 0), FALSE), ".", "E")</f>
        <v>.</v>
      </c>
      <c r="V120" t="s">
        <v>349</v>
      </c>
    </row>
    <row r="121" spans="1:22" hidden="1" x14ac:dyDescent="0.25">
      <c r="A121" s="4">
        <v>45213</v>
      </c>
      <c r="B121" s="5" t="s">
        <v>45</v>
      </c>
      <c r="C121" s="5" t="s">
        <v>46</v>
      </c>
      <c r="D121" s="5" t="s">
        <v>47</v>
      </c>
      <c r="E121" s="5">
        <v>-19.64</v>
      </c>
      <c r="F121" s="5" t="s">
        <v>9</v>
      </c>
      <c r="G121" s="5" t="s">
        <v>195</v>
      </c>
      <c r="H121" s="5"/>
      <c r="I121" s="5"/>
      <c r="J121" s="5"/>
      <c r="K121" s="5"/>
      <c r="L121" s="5"/>
      <c r="M121" s="6"/>
      <c r="N121" s="1">
        <f>IF( ISBLANK(LogTable2023[[#This Row],[Date_o]]), IF(ISBLANK(LogTable2023[[#This Row],[Date_i]]), "", LogTable2023[[#This Row],[Date_i]]), LogTable2023[[#This Row],[Date_o]])</f>
        <v>45213</v>
      </c>
      <c r="O121" t="str">
        <f>IF( ISBLANK(LogTable2023[[#This Row],[Description_o]]), IF(ISBLANK(LogTable2023[[#This Row],[Description_i]]), "", LogTable2023[[#This Row],[Description_i]]), LogTable2023[[#This Row],[Description_o]])</f>
        <v>Lucy's Burger Bar</v>
      </c>
      <c r="P121" t="str">
        <f>IF( ISBLANK(LogTable2023[[#This Row],[Original Description_o]]), IF(ISBLANK(LogTable2023[[#This Row],[Original Description_i]]), "", LogTable2023[[#This Row],[Original Description_i]]), LogTable2023[[#This Row],[Original Description_o]])</f>
        <v>TST* LUCY'S BURGER BAR   612-202-3545 CO</v>
      </c>
      <c r="Q121" t="str">
        <f>IF( ISBLANK(LogTable2023[[#This Row],[Category_o]]), IF(ISBLANK(LogTable2023[[#This Row],[Category_i]]), "", LogTable2023[[#This Row],[Category_i]]), LogTable2023[[#This Row],[Category_o]])</f>
        <v>Food &amp; Dining</v>
      </c>
      <c r="R121" s="10">
        <f>IF( ISBLANK(LogTable2023[[#This Row],[Amount_o]]), IF(ISBLANK(LogTable2023[[#This Row],[Amount_i]]), "", LogTable2023[[#This Row],[Amount_i]]), LogTable2023[[#This Row],[Amount_o]])</f>
        <v>-19.64</v>
      </c>
      <c r="S121" s="1" t="str">
        <f>IF( ISBLANK(LogTable2023[[#This Row],[Status_o]]), IF(ISBLANK(LogTable2023[[#This Row],[Status_i]]), "", LogTable2023[[#This Row],[Status_i]]), LogTable2023[[#This Row],[Status_o]])</f>
        <v>Posted</v>
      </c>
      <c r="T121" t="s">
        <v>348</v>
      </c>
      <c r="U121" t="str">
        <f>IF( _xlfn.IFNA(MATCH(LogTable2023[[#This Row],[My Category]], Buckets!$D$4:$D$35, 0), FALSE), ".", "E")</f>
        <v>.</v>
      </c>
    </row>
    <row r="122" spans="1:22" x14ac:dyDescent="0.25">
      <c r="A122" s="4">
        <v>45213</v>
      </c>
      <c r="B122" s="5" t="s">
        <v>71</v>
      </c>
      <c r="C122" s="5" t="s">
        <v>72</v>
      </c>
      <c r="D122" s="5" t="s">
        <v>73</v>
      </c>
      <c r="E122" s="5">
        <v>2500</v>
      </c>
      <c r="F122" s="5" t="s">
        <v>9</v>
      </c>
      <c r="G122" s="5" t="s">
        <v>195</v>
      </c>
      <c r="H122" s="5"/>
      <c r="I122" s="5"/>
      <c r="J122" s="5"/>
      <c r="K122" s="5"/>
      <c r="L122" s="5"/>
      <c r="M122" s="6"/>
      <c r="N122" s="1">
        <f>IF( ISBLANK(LogTable2023[[#This Row],[Date_o]]), IF(ISBLANK(LogTable2023[[#This Row],[Date_i]]), "", LogTable2023[[#This Row],[Date_i]]), LogTable2023[[#This Row],[Date_o]])</f>
        <v>45213</v>
      </c>
      <c r="O122" t="str">
        <f>IF( ISBLANK(LogTable2023[[#This Row],[Description_o]]), IF(ISBLANK(LogTable2023[[#This Row],[Description_i]]), "", LogTable2023[[#This Row],[Description_i]]), LogTable2023[[#This Row],[Description_o]])</f>
        <v>USAA Credit Card</v>
      </c>
      <c r="P122" t="str">
        <f>IF( ISBLANK(LogTable2023[[#This Row],[Original Description_o]]), IF(ISBLANK(LogTable2023[[#This Row],[Original Description_i]]), "", LogTable2023[[#This Row],[Original Description_i]]), LogTable2023[[#This Row],[Original Description_o]])</f>
        <v>USAA CREDIT CARD PAYMENT SAN ANTONIO  TX</v>
      </c>
      <c r="Q122" t="str">
        <f>IF( ISBLANK(LogTable2023[[#This Row],[Category_o]]), IF(ISBLANK(LogTable2023[[#This Row],[Category_i]]), "", LogTable2023[[#This Row],[Category_i]]), LogTable2023[[#This Row],[Category_o]])</f>
        <v>Transfer</v>
      </c>
      <c r="R122" s="10">
        <f>IF( ISBLANK(LogTable2023[[#This Row],[Amount_o]]), IF(ISBLANK(LogTable2023[[#This Row],[Amount_i]]), "", LogTable2023[[#This Row],[Amount_i]]), LogTable2023[[#This Row],[Amount_o]])</f>
        <v>2500</v>
      </c>
      <c r="S122" s="1" t="str">
        <f>IF( ISBLANK(LogTable2023[[#This Row],[Status_o]]), IF(ISBLANK(LogTable2023[[#This Row],[Status_i]]), "", LogTable2023[[#This Row],[Status_i]]), LogTable2023[[#This Row],[Status_o]])</f>
        <v>Posted</v>
      </c>
      <c r="T122" t="s">
        <v>307</v>
      </c>
      <c r="U122" t="str">
        <f>IF( _xlfn.IFNA(MATCH(LogTable2023[[#This Row],[My Category]], Buckets!$D$4:$D$35, 0), FALSE), ".", "E")</f>
        <v>.</v>
      </c>
    </row>
    <row r="123" spans="1:22" x14ac:dyDescent="0.25">
      <c r="A123" s="4">
        <v>45212</v>
      </c>
      <c r="B123" s="5" t="s">
        <v>71</v>
      </c>
      <c r="C123" s="5" t="s">
        <v>234</v>
      </c>
      <c r="D123" s="5" t="s">
        <v>186</v>
      </c>
      <c r="E123" s="5">
        <v>-612.26</v>
      </c>
      <c r="F123" s="5" t="s">
        <v>9</v>
      </c>
      <c r="G123" s="5" t="s">
        <v>269</v>
      </c>
      <c r="H123" s="5"/>
      <c r="I123" s="5"/>
      <c r="J123" s="5"/>
      <c r="K123" s="5"/>
      <c r="L123" s="5"/>
      <c r="M123" s="6"/>
      <c r="N123" s="1">
        <f>IF( ISBLANK(LogTable2023[[#This Row],[Date_o]]), IF(ISBLANK(LogTable2023[[#This Row],[Date_i]]), "", LogTable2023[[#This Row],[Date_i]]), LogTable2023[[#This Row],[Date_o]])</f>
        <v>45212</v>
      </c>
      <c r="O123" t="str">
        <f>IF( ISBLANK(LogTable2023[[#This Row],[Description_o]]), IF(ISBLANK(LogTable2023[[#This Row],[Description_i]]), "", LogTable2023[[#This Row],[Description_i]]), LogTable2023[[#This Row],[Description_o]])</f>
        <v>USAA Credit Card</v>
      </c>
      <c r="P123" t="str">
        <f>IF( ISBLANK(LogTable2023[[#This Row],[Original Description_o]]), IF(ISBLANK(LogTable2023[[#This Row],[Original Description_i]]), "", LogTable2023[[#This Row],[Original Description_i]]), LogTable2023[[#This Row],[Original Description_o]])</f>
        <v>USAA CREDIT CARD PAYMENT    ***********0051</v>
      </c>
      <c r="Q123" t="str">
        <f>IF( ISBLANK(LogTable2023[[#This Row],[Category_o]]), IF(ISBLANK(LogTable2023[[#This Row],[Category_i]]), "", LogTable2023[[#This Row],[Category_i]]), LogTable2023[[#This Row],[Category_o]])</f>
        <v>Credit Card Payment</v>
      </c>
      <c r="R123" s="10">
        <f>IF( ISBLANK(LogTable2023[[#This Row],[Amount_o]]), IF(ISBLANK(LogTable2023[[#This Row],[Amount_i]]), "", LogTable2023[[#This Row],[Amount_i]]), LogTable2023[[#This Row],[Amount_o]])</f>
        <v>-612.26</v>
      </c>
      <c r="S123" s="1" t="str">
        <f>IF( ISBLANK(LogTable2023[[#This Row],[Status_o]]), IF(ISBLANK(LogTable2023[[#This Row],[Status_i]]), "", LogTable2023[[#This Row],[Status_i]]), LogTable2023[[#This Row],[Status_o]])</f>
        <v>Posted</v>
      </c>
      <c r="T123" t="s">
        <v>307</v>
      </c>
      <c r="U123" t="str">
        <f>IF( _xlfn.IFNA(MATCH(LogTable2023[[#This Row],[My Category]], Buckets!$D$4:$D$35, 0), FALSE), ".", "E")</f>
        <v>.</v>
      </c>
    </row>
    <row r="124" spans="1:22" hidden="1" x14ac:dyDescent="0.25">
      <c r="A124" s="4">
        <v>45211</v>
      </c>
      <c r="B124" s="5" t="s">
        <v>25</v>
      </c>
      <c r="C124" s="5" t="s">
        <v>26</v>
      </c>
      <c r="D124" s="5" t="s">
        <v>27</v>
      </c>
      <c r="E124" s="5">
        <v>-12.16</v>
      </c>
      <c r="F124" s="5" t="s">
        <v>9</v>
      </c>
      <c r="G124" s="5" t="s">
        <v>195</v>
      </c>
      <c r="H124" s="5"/>
      <c r="I124" s="5"/>
      <c r="J124" s="5"/>
      <c r="K124" s="5"/>
      <c r="L124" s="5"/>
      <c r="M124" s="6"/>
      <c r="N124" s="1">
        <f>IF( ISBLANK(LogTable2023[[#This Row],[Date_o]]), IF(ISBLANK(LogTable2023[[#This Row],[Date_i]]), "", LogTable2023[[#This Row],[Date_i]]), LogTable2023[[#This Row],[Date_o]])</f>
        <v>45211</v>
      </c>
      <c r="O124" t="str">
        <f>IF( ISBLANK(LogTable2023[[#This Row],[Description_o]]), IF(ISBLANK(LogTable2023[[#This Row],[Description_i]]), "", LogTable2023[[#This Row],[Description_i]]), LogTable2023[[#This Row],[Description_o]])</f>
        <v>Qdoba</v>
      </c>
      <c r="P124" t="str">
        <f>IF( ISBLANK(LogTable2023[[#This Row],[Original Description_o]]), IF(ISBLANK(LogTable2023[[#This Row],[Original Description_i]]), "", LogTable2023[[#This Row],[Original Description_i]]), LogTable2023[[#This Row],[Original Description_o]])</f>
        <v>QDOBA 2063               WESTMINSTER  CA</v>
      </c>
      <c r="Q124" t="str">
        <f>IF( ISBLANK(LogTable2023[[#This Row],[Category_o]]), IF(ISBLANK(LogTable2023[[#This Row],[Category_i]]), "", LogTable2023[[#This Row],[Category_i]]), LogTable2023[[#This Row],[Category_o]])</f>
        <v>Fast Food</v>
      </c>
      <c r="R124" s="10">
        <f>IF( ISBLANK(LogTable2023[[#This Row],[Amount_o]]), IF(ISBLANK(LogTable2023[[#This Row],[Amount_i]]), "", LogTable2023[[#This Row],[Amount_i]]), LogTable2023[[#This Row],[Amount_o]])</f>
        <v>-12.16</v>
      </c>
      <c r="S124" s="1" t="str">
        <f>IF( ISBLANK(LogTable2023[[#This Row],[Status_o]]), IF(ISBLANK(LogTable2023[[#This Row],[Status_i]]), "", LogTable2023[[#This Row],[Status_i]]), LogTable2023[[#This Row],[Status_o]])</f>
        <v>Posted</v>
      </c>
      <c r="T124" t="s">
        <v>348</v>
      </c>
      <c r="U124" t="str">
        <f>IF( _xlfn.IFNA(MATCH(LogTable2023[[#This Row],[My Category]], Buckets!$D$4:$D$35, 0), FALSE), ".", "E")</f>
        <v>.</v>
      </c>
    </row>
    <row r="125" spans="1:22" x14ac:dyDescent="0.25">
      <c r="A125" s="4">
        <v>45211</v>
      </c>
      <c r="B125" s="5">
        <v>127311211</v>
      </c>
      <c r="C125" s="5" t="s">
        <v>106</v>
      </c>
      <c r="D125" s="5" t="s">
        <v>107</v>
      </c>
      <c r="E125" s="5">
        <v>612.26</v>
      </c>
      <c r="F125" s="5" t="s">
        <v>9</v>
      </c>
      <c r="G125" s="5" t="s">
        <v>195</v>
      </c>
      <c r="H125" s="5"/>
      <c r="I125" s="5"/>
      <c r="J125" s="5"/>
      <c r="K125" s="5"/>
      <c r="L125" s="5"/>
      <c r="M125" s="6"/>
      <c r="N125" s="1">
        <f>IF( ISBLANK(LogTable2023[[#This Row],[Date_o]]), IF(ISBLANK(LogTable2023[[#This Row],[Date_i]]), "", LogTable2023[[#This Row],[Date_i]]), LogTable2023[[#This Row],[Date_o]])</f>
        <v>45211</v>
      </c>
      <c r="O125">
        <f>IF( ISBLANK(LogTable2023[[#This Row],[Description_o]]), IF(ISBLANK(LogTable2023[[#This Row],[Description_i]]), "", LogTable2023[[#This Row],[Description_i]]), LogTable2023[[#This Row],[Description_o]])</f>
        <v>127311211</v>
      </c>
      <c r="P125" t="str">
        <f>IF( ISBLANK(LogTable2023[[#This Row],[Original Description_o]]), IF(ISBLANK(LogTable2023[[#This Row],[Original Description_i]]), "", LogTable2023[[#This Row],[Original Description_i]]), LogTable2023[[#This Row],[Original Description_o]])</f>
        <v>AUTOMATIC PAYMENT - THANK YOU</v>
      </c>
      <c r="Q125" t="str">
        <f>IF( ISBLANK(LogTable2023[[#This Row],[Category_o]]), IF(ISBLANK(LogTable2023[[#This Row],[Category_i]]), "", LogTable2023[[#This Row],[Category_i]]), LogTable2023[[#This Row],[Category_o]])</f>
        <v>Uncategorized</v>
      </c>
      <c r="R125" s="10">
        <f>IF( ISBLANK(LogTable2023[[#This Row],[Amount_o]]), IF(ISBLANK(LogTable2023[[#This Row],[Amount_i]]), "", LogTable2023[[#This Row],[Amount_i]]), LogTable2023[[#This Row],[Amount_o]])</f>
        <v>612.26</v>
      </c>
      <c r="S125" s="1" t="str">
        <f>IF( ISBLANK(LogTable2023[[#This Row],[Status_o]]), IF(ISBLANK(LogTable2023[[#This Row],[Status_i]]), "", LogTable2023[[#This Row],[Status_i]]), LogTable2023[[#This Row],[Status_o]])</f>
        <v>Posted</v>
      </c>
      <c r="T125" t="s">
        <v>307</v>
      </c>
      <c r="U125" t="str">
        <f>IF( _xlfn.IFNA(MATCH(LogTable2023[[#This Row],[My Category]], Buckets!$D$4:$D$35, 0), FALSE), ".", "E")</f>
        <v>.</v>
      </c>
    </row>
    <row r="126" spans="1:22" hidden="1" x14ac:dyDescent="0.25">
      <c r="A126" s="4">
        <v>45211</v>
      </c>
      <c r="B126" s="5" t="s">
        <v>108</v>
      </c>
      <c r="C126" s="5" t="s">
        <v>109</v>
      </c>
      <c r="D126" s="5" t="s">
        <v>73</v>
      </c>
      <c r="E126" s="5">
        <v>25</v>
      </c>
      <c r="F126" s="5" t="s">
        <v>9</v>
      </c>
      <c r="G126" s="5" t="s">
        <v>195</v>
      </c>
      <c r="H126" s="5"/>
      <c r="I126" s="5"/>
      <c r="J126" s="5"/>
      <c r="K126" s="5"/>
      <c r="L126" s="5"/>
      <c r="M126" s="6"/>
      <c r="N126" s="1">
        <f>IF( ISBLANK(LogTable2023[[#This Row],[Date_o]]), IF(ISBLANK(LogTable2023[[#This Row],[Date_i]]), "", LogTable2023[[#This Row],[Date_i]]), LogTable2023[[#This Row],[Date_o]])</f>
        <v>45211</v>
      </c>
      <c r="O126" t="str">
        <f>IF( ISBLANK(LogTable2023[[#This Row],[Description_o]]), IF(ISBLANK(LogTable2023[[#This Row],[Description_i]]), "", LogTable2023[[#This Row],[Description_i]]), LogTable2023[[#This Row],[Description_o]])</f>
        <v>Recurring Reward Points Redemption</v>
      </c>
      <c r="P126" t="str">
        <f>IF( ISBLANK(LogTable2023[[#This Row],[Original Description_o]]), IF(ISBLANK(LogTable2023[[#This Row],[Original Description_i]]), "", LogTable2023[[#This Row],[Original Description_i]]), LogTable2023[[#This Row],[Original Description_o]])</f>
        <v>RECURRING REWARD POINTS REDEMPTION</v>
      </c>
      <c r="Q126" t="str">
        <f>IF( ISBLANK(LogTable2023[[#This Row],[Category_o]]), IF(ISBLANK(LogTable2023[[#This Row],[Category_i]]), "", LogTable2023[[#This Row],[Category_i]]), LogTable2023[[#This Row],[Category_o]])</f>
        <v>Transfer</v>
      </c>
      <c r="R126" s="10">
        <f>IF( ISBLANK(LogTable2023[[#This Row],[Amount_o]]), IF(ISBLANK(LogTable2023[[#This Row],[Amount_i]]), "", LogTable2023[[#This Row],[Amount_i]]), LogTable2023[[#This Row],[Amount_o]])</f>
        <v>25</v>
      </c>
      <c r="S126" s="1" t="str">
        <f>IF( ISBLANK(LogTable2023[[#This Row],[Status_o]]), IF(ISBLANK(LogTable2023[[#This Row],[Status_i]]), "", LogTable2023[[#This Row],[Status_i]]), LogTable2023[[#This Row],[Status_o]])</f>
        <v>Posted</v>
      </c>
      <c r="T126" t="s">
        <v>306</v>
      </c>
      <c r="U126" t="str">
        <f>IF( _xlfn.IFNA(MATCH(LogTable2023[[#This Row],[My Category]], Buckets!$D$4:$D$35, 0), FALSE), ".", "E")</f>
        <v>.</v>
      </c>
    </row>
    <row r="127" spans="1:22" hidden="1" x14ac:dyDescent="0.25">
      <c r="A127" s="4">
        <v>45210</v>
      </c>
      <c r="B127" s="5" t="s">
        <v>13</v>
      </c>
      <c r="C127" s="5" t="s">
        <v>14</v>
      </c>
      <c r="D127" s="5" t="s">
        <v>15</v>
      </c>
      <c r="E127" s="5">
        <v>-67.510000000000005</v>
      </c>
      <c r="F127" s="5" t="s">
        <v>9</v>
      </c>
      <c r="G127" s="5" t="s">
        <v>195</v>
      </c>
      <c r="H127" s="5"/>
      <c r="I127" s="5"/>
      <c r="J127" s="5"/>
      <c r="K127" s="5"/>
      <c r="L127" s="5"/>
      <c r="M127" s="6"/>
      <c r="N127" s="1">
        <f>IF( ISBLANK(LogTable2023[[#This Row],[Date_o]]), IF(ISBLANK(LogTable2023[[#This Row],[Date_i]]), "", LogTable2023[[#This Row],[Date_i]]), LogTable2023[[#This Row],[Date_o]])</f>
        <v>45210</v>
      </c>
      <c r="O127" t="str">
        <f>IF( ISBLANK(LogTable2023[[#This Row],[Description_o]]), IF(ISBLANK(LogTable2023[[#This Row],[Description_i]]), "", LogTable2023[[#This Row],[Description_i]]), LogTable2023[[#This Row],[Description_o]])</f>
        <v>King Soopers</v>
      </c>
      <c r="P127" t="str">
        <f>IF( ISBLANK(LogTable2023[[#This Row],[Original Description_o]]), IF(ISBLANK(LogTable2023[[#This Row],[Original Description_i]]), "", LogTable2023[[#This Row],[Original Description_i]]), LogTable2023[[#This Row],[Original Description_o]])</f>
        <v>KING SOOPERS #0057       WHEAT RIDGE  CO</v>
      </c>
      <c r="Q127" t="str">
        <f>IF( ISBLANK(LogTable2023[[#This Row],[Category_o]]), IF(ISBLANK(LogTable2023[[#This Row],[Category_i]]), "", LogTable2023[[#This Row],[Category_i]]), LogTable2023[[#This Row],[Category_o]])</f>
        <v>Groceries</v>
      </c>
      <c r="R127" s="10">
        <f>IF( ISBLANK(LogTable2023[[#This Row],[Amount_o]]), IF(ISBLANK(LogTable2023[[#This Row],[Amount_i]]), "", LogTable2023[[#This Row],[Amount_i]]), LogTable2023[[#This Row],[Amount_o]])</f>
        <v>-67.510000000000005</v>
      </c>
      <c r="S127" s="1" t="str">
        <f>IF( ISBLANK(LogTable2023[[#This Row],[Status_o]]), IF(ISBLANK(LogTable2023[[#This Row],[Status_i]]), "", LogTable2023[[#This Row],[Status_i]]), LogTable2023[[#This Row],[Status_o]])</f>
        <v>Posted</v>
      </c>
      <c r="T127" t="s">
        <v>15</v>
      </c>
      <c r="U127" t="str">
        <f>IF( _xlfn.IFNA(MATCH(LogTable2023[[#This Row],[My Category]], Buckets!$D$4:$D$35, 0), FALSE), ".", "E")</f>
        <v>.</v>
      </c>
    </row>
    <row r="128" spans="1:22" hidden="1" x14ac:dyDescent="0.25">
      <c r="A128" s="4">
        <v>45210</v>
      </c>
      <c r="B128" s="5" t="s">
        <v>204</v>
      </c>
      <c r="C128" s="5" t="s">
        <v>205</v>
      </c>
      <c r="D128" s="5" t="s">
        <v>206</v>
      </c>
      <c r="E128" s="5">
        <v>-136.07</v>
      </c>
      <c r="F128" s="5" t="s">
        <v>9</v>
      </c>
      <c r="G128" s="5" t="s">
        <v>269</v>
      </c>
      <c r="H128" s="5"/>
      <c r="I128" s="5"/>
      <c r="J128" s="5"/>
      <c r="K128" s="5"/>
      <c r="L128" s="5"/>
      <c r="M128" s="6"/>
      <c r="N128" s="1">
        <f>IF( ISBLANK(LogTable2023[[#This Row],[Date_o]]), IF(ISBLANK(LogTable2023[[#This Row],[Date_i]]), "", LogTable2023[[#This Row],[Date_i]]), LogTable2023[[#This Row],[Date_o]])</f>
        <v>45210</v>
      </c>
      <c r="O128" t="str">
        <f>IF( ISBLANK(LogTable2023[[#This Row],[Description_o]]), IF(ISBLANK(LogTable2023[[#This Row],[Description_i]]), "", LogTable2023[[#This Row],[Description_i]]), LogTable2023[[#This Row],[Description_o]])</f>
        <v>USAA Property and Casualty Insurance</v>
      </c>
      <c r="P128" t="str">
        <f>IF( ISBLANK(LogTable2023[[#This Row],[Original Description_o]]), IF(ISBLANK(LogTable2023[[#This Row],[Original Description_i]]), "", LogTable2023[[#This Row],[Original Description_i]]), LogTable2023[[#This Row],[Original Description_o]])</f>
        <v>USAA P&amp;C         AUTOPAY    ***********4530</v>
      </c>
      <c r="Q128" t="str">
        <f>IF( ISBLANK(LogTable2023[[#This Row],[Category_o]]), IF(ISBLANK(LogTable2023[[#This Row],[Category_i]]), "", LogTable2023[[#This Row],[Category_i]]), LogTable2023[[#This Row],[Category_o]])</f>
        <v>Financial</v>
      </c>
      <c r="R128" s="10">
        <f>IF( ISBLANK(LogTable2023[[#This Row],[Amount_o]]), IF(ISBLANK(LogTable2023[[#This Row],[Amount_i]]), "", LogTable2023[[#This Row],[Amount_i]]), LogTable2023[[#This Row],[Amount_o]])</f>
        <v>-136.07</v>
      </c>
      <c r="S128" s="1" t="str">
        <f>IF( ISBLANK(LogTable2023[[#This Row],[Status_o]]), IF(ISBLANK(LogTable2023[[#This Row],[Status_i]]), "", LogTable2023[[#This Row],[Status_i]]), LogTable2023[[#This Row],[Status_o]])</f>
        <v>Posted</v>
      </c>
      <c r="T128" t="s">
        <v>282</v>
      </c>
      <c r="U128" t="str">
        <f>IF( _xlfn.IFNA(MATCH(LogTable2023[[#This Row],[My Category]], Buckets!$D$4:$D$35, 0), FALSE), ".", "E")</f>
        <v>.</v>
      </c>
    </row>
    <row r="129" spans="1:22" hidden="1" x14ac:dyDescent="0.25">
      <c r="A129" s="4">
        <v>45209</v>
      </c>
      <c r="B129" s="5" t="s">
        <v>110</v>
      </c>
      <c r="C129" s="5" t="s">
        <v>111</v>
      </c>
      <c r="D129" s="5" t="s">
        <v>47</v>
      </c>
      <c r="E129" s="5">
        <v>-30.05</v>
      </c>
      <c r="F129" s="5" t="s">
        <v>9</v>
      </c>
      <c r="G129" s="5" t="s">
        <v>195</v>
      </c>
      <c r="H129" s="5"/>
      <c r="I129" s="5"/>
      <c r="J129" s="5"/>
      <c r="K129" s="5"/>
      <c r="L129" s="5"/>
      <c r="M129" s="6"/>
      <c r="N129" s="1">
        <f>IF( ISBLANK(LogTable2023[[#This Row],[Date_o]]), IF(ISBLANK(LogTable2023[[#This Row],[Date_i]]), "", LogTable2023[[#This Row],[Date_i]]), LogTable2023[[#This Row],[Date_o]])</f>
        <v>45209</v>
      </c>
      <c r="O129" t="str">
        <f>IF( ISBLANK(LogTable2023[[#This Row],[Description_o]]), IF(ISBLANK(LogTable2023[[#This Row],[Description_i]]), "", LogTable2023[[#This Row],[Description_i]]), LogTable2023[[#This Row],[Description_o]])</f>
        <v>Cosmos Pizza</v>
      </c>
      <c r="P129" t="str">
        <f>IF( ISBLANK(LogTable2023[[#This Row],[Original Description_o]]), IF(ISBLANK(LogTable2023[[#This Row],[Original Description_i]]), "", LogTable2023[[#This Row],[Original Description_i]]), LogTable2023[[#This Row],[Original Description_o]])</f>
        <v>COSMOS PIZZA - DENVER CO DENVER       CO</v>
      </c>
      <c r="Q129" t="str">
        <f>IF( ISBLANK(LogTable2023[[#This Row],[Category_o]]), IF(ISBLANK(LogTable2023[[#This Row],[Category_i]]), "", LogTable2023[[#This Row],[Category_i]]), LogTable2023[[#This Row],[Category_o]])</f>
        <v>Food &amp; Dining</v>
      </c>
      <c r="R129" s="10">
        <f>IF( ISBLANK(LogTable2023[[#This Row],[Amount_o]]), IF(ISBLANK(LogTable2023[[#This Row],[Amount_i]]), "", LogTable2023[[#This Row],[Amount_i]]), LogTable2023[[#This Row],[Amount_o]])</f>
        <v>-30.05</v>
      </c>
      <c r="S129" s="1" t="str">
        <f>IF( ISBLANK(LogTable2023[[#This Row],[Status_o]]), IF(ISBLANK(LogTable2023[[#This Row],[Status_i]]), "", LogTable2023[[#This Row],[Status_i]]), LogTable2023[[#This Row],[Status_o]])</f>
        <v>Posted</v>
      </c>
      <c r="T129" t="s">
        <v>348</v>
      </c>
      <c r="U129" t="str">
        <f>IF( _xlfn.IFNA(MATCH(LogTable2023[[#This Row],[My Category]], Buckets!$D$4:$D$35, 0), FALSE), ".", "E")</f>
        <v>.</v>
      </c>
    </row>
    <row r="130" spans="1:22" hidden="1" x14ac:dyDescent="0.25">
      <c r="A130" s="4">
        <v>45209</v>
      </c>
      <c r="B130" s="5" t="s">
        <v>207</v>
      </c>
      <c r="C130" s="5" t="s">
        <v>208</v>
      </c>
      <c r="D130" s="5" t="s">
        <v>209</v>
      </c>
      <c r="E130" s="5">
        <v>-11.9</v>
      </c>
      <c r="F130" s="5" t="s">
        <v>9</v>
      </c>
      <c r="G130" s="5" t="s">
        <v>269</v>
      </c>
      <c r="H130" s="5"/>
      <c r="I130" s="5"/>
      <c r="J130" s="5"/>
      <c r="K130" s="5"/>
      <c r="L130" s="5"/>
      <c r="M130" s="6"/>
      <c r="N130" s="1">
        <f>IF( ISBLANK(LogTable2023[[#This Row],[Date_o]]), IF(ISBLANK(LogTable2023[[#This Row],[Date_i]]), "", LogTable2023[[#This Row],[Date_i]]), LogTable2023[[#This Row],[Date_o]])</f>
        <v>45209</v>
      </c>
      <c r="O130" t="str">
        <f>IF( ISBLANK(LogTable2023[[#This Row],[Description_o]]), IF(ISBLANK(LogTable2023[[#This Row],[Description_i]]), "", LogTable2023[[#This Row],[Description_i]]), LogTable2023[[#This Row],[Description_o]])</f>
        <v>Spotify</v>
      </c>
      <c r="P130" t="str">
        <f>IF( ISBLANK(LogTable2023[[#This Row],[Original Description_o]]), IF(ISBLANK(LogTable2023[[#This Row],[Original Description_i]]), "", LogTable2023[[#This Row],[Original Description_i]]), LogTable2023[[#This Row],[Original Description_o]])</f>
        <v>PAYPAL           INST XFER  ***********USAI</v>
      </c>
      <c r="Q130" t="str">
        <f>IF( ISBLANK(LogTable2023[[#This Row],[Category_o]]), IF(ISBLANK(LogTable2023[[#This Row],[Category_i]]), "", LogTable2023[[#This Row],[Category_i]]), LogTable2023[[#This Row],[Category_o]])</f>
        <v>Music</v>
      </c>
      <c r="R130" s="10">
        <f>IF( ISBLANK(LogTable2023[[#This Row],[Amount_o]]), IF(ISBLANK(LogTable2023[[#This Row],[Amount_i]]), "", LogTable2023[[#This Row],[Amount_i]]), LogTable2023[[#This Row],[Amount_o]])</f>
        <v>-11.9</v>
      </c>
      <c r="S130" s="1" t="str">
        <f>IF( ISBLANK(LogTable2023[[#This Row],[Status_o]]), IF(ISBLANK(LogTable2023[[#This Row],[Status_i]]), "", LogTable2023[[#This Row],[Status_i]]), LogTable2023[[#This Row],[Status_o]])</f>
        <v>Posted</v>
      </c>
      <c r="T130" t="s">
        <v>288</v>
      </c>
      <c r="U130" t="str">
        <f>IF( _xlfn.IFNA(MATCH(LogTable2023[[#This Row],[My Category]], Buckets!$D$4:$D$35, 0), FALSE), ".", "E")</f>
        <v>.</v>
      </c>
      <c r="V130" t="s">
        <v>207</v>
      </c>
    </row>
    <row r="131" spans="1:22" hidden="1" x14ac:dyDescent="0.25">
      <c r="A131" s="4">
        <v>45209</v>
      </c>
      <c r="B131" s="5" t="s">
        <v>235</v>
      </c>
      <c r="C131" s="5" t="s">
        <v>236</v>
      </c>
      <c r="D131" s="5" t="s">
        <v>237</v>
      </c>
      <c r="E131" s="5">
        <v>-103.5</v>
      </c>
      <c r="F131" s="5" t="s">
        <v>9</v>
      </c>
      <c r="G131" s="5" t="s">
        <v>269</v>
      </c>
      <c r="H131" s="5"/>
      <c r="I131" s="5"/>
      <c r="J131" s="5"/>
      <c r="K131" s="5"/>
      <c r="L131" s="5"/>
      <c r="M131" s="6"/>
      <c r="N131" s="1">
        <f>IF( ISBLANK(LogTable2023[[#This Row],[Date_o]]), IF(ISBLANK(LogTable2023[[#This Row],[Date_i]]), "", LogTable2023[[#This Row],[Date_i]]), LogTable2023[[#This Row],[Date_o]])</f>
        <v>45209</v>
      </c>
      <c r="O131" t="str">
        <f>IF( ISBLANK(LogTable2023[[#This Row],[Description_o]]), IF(ISBLANK(LogTable2023[[#This Row],[Description_i]]), "", LogTable2023[[#This Row],[Description_i]]), LogTable2023[[#This Row],[Description_o]])</f>
        <v>Bank Chestnut</v>
      </c>
      <c r="P131" t="str">
        <f>IF( ISBLANK(LogTable2023[[#This Row],[Original Description_o]]), IF(ISBLANK(LogTable2023[[#This Row],[Original Description_i]]), "", LogTable2023[[#This Row],[Original Description_i]]), LogTable2023[[#This Row],[Original Description_o]])</f>
        <v>TD BANK3250 CHESTNUT ST  PHILADELPHIA PA</v>
      </c>
      <c r="Q131" t="str">
        <f>IF( ISBLANK(LogTable2023[[#This Row],[Category_o]]), IF(ISBLANK(LogTable2023[[#This Row],[Category_i]]), "", LogTable2023[[#This Row],[Category_i]]), LogTable2023[[#This Row],[Category_o]])</f>
        <v>Cash</v>
      </c>
      <c r="R131" s="10">
        <f>IF( ISBLANK(LogTable2023[[#This Row],[Amount_o]]), IF(ISBLANK(LogTable2023[[#This Row],[Amount_i]]), "", LogTable2023[[#This Row],[Amount_i]]), LogTable2023[[#This Row],[Amount_o]])</f>
        <v>-103.5</v>
      </c>
      <c r="S131" s="1" t="str">
        <f>IF( ISBLANK(LogTable2023[[#This Row],[Status_o]]), IF(ISBLANK(LogTable2023[[#This Row],[Status_i]]), "", LogTable2023[[#This Row],[Status_i]]), LogTable2023[[#This Row],[Status_o]])</f>
        <v>Posted</v>
      </c>
      <c r="T131" t="s">
        <v>303</v>
      </c>
      <c r="U131" t="str">
        <f>IF( _xlfn.IFNA(MATCH(LogTable2023[[#This Row],[My Category]], Buckets!$D$4:$D$35, 0), FALSE), ".", "E")</f>
        <v>.</v>
      </c>
    </row>
    <row r="132" spans="1:22" hidden="1" x14ac:dyDescent="0.25">
      <c r="A132" s="4">
        <v>45209</v>
      </c>
      <c r="B132" s="5" t="s">
        <v>238</v>
      </c>
      <c r="C132" s="5" t="s">
        <v>239</v>
      </c>
      <c r="D132" s="5" t="s">
        <v>240</v>
      </c>
      <c r="E132" s="5">
        <v>3.5</v>
      </c>
      <c r="F132" s="5" t="s">
        <v>9</v>
      </c>
      <c r="G132" s="5" t="s">
        <v>269</v>
      </c>
      <c r="H132" s="5"/>
      <c r="I132" s="5"/>
      <c r="J132" s="5"/>
      <c r="K132" s="5"/>
      <c r="L132" s="5"/>
      <c r="M132" s="6"/>
      <c r="N132" s="1">
        <f>IF( ISBLANK(LogTable2023[[#This Row],[Date_o]]), IF(ISBLANK(LogTable2023[[#This Row],[Date_i]]), "", LogTable2023[[#This Row],[Date_i]]), LogTable2023[[#This Row],[Date_o]])</f>
        <v>45209</v>
      </c>
      <c r="O132" t="str">
        <f>IF( ISBLANK(LogTable2023[[#This Row],[Description_o]]), IF(ISBLANK(LogTable2023[[#This Row],[Description_i]]), "", LogTable2023[[#This Row],[Description_i]]), LogTable2023[[#This Row],[Description_o]])</f>
        <v>ATM Fee Rebate</v>
      </c>
      <c r="P132" t="str">
        <f>IF( ISBLANK(LogTable2023[[#This Row],[Original Description_o]]), IF(ISBLANK(LogTable2023[[#This Row],[Original Description_i]]), "", LogTable2023[[#This Row],[Original Description_i]]), LogTable2023[[#This Row],[Original Description_o]])</f>
        <v>ATM REBATE</v>
      </c>
      <c r="Q132" t="str">
        <f>IF( ISBLANK(LogTable2023[[#This Row],[Category_o]]), IF(ISBLANK(LogTable2023[[#This Row],[Category_i]]), "", LogTable2023[[#This Row],[Category_i]]), LogTable2023[[#This Row],[Category_o]])</f>
        <v>Atm Fee</v>
      </c>
      <c r="R132" s="10">
        <f>IF( ISBLANK(LogTable2023[[#This Row],[Amount_o]]), IF(ISBLANK(LogTable2023[[#This Row],[Amount_i]]), "", LogTable2023[[#This Row],[Amount_i]]), LogTable2023[[#This Row],[Amount_o]])</f>
        <v>3.5</v>
      </c>
      <c r="S132" s="1" t="str">
        <f>IF( ISBLANK(LogTable2023[[#This Row],[Status_o]]), IF(ISBLANK(LogTable2023[[#This Row],[Status_i]]), "", LogTable2023[[#This Row],[Status_i]]), LogTable2023[[#This Row],[Status_o]])</f>
        <v>Posted</v>
      </c>
      <c r="T132" t="s">
        <v>303</v>
      </c>
      <c r="U132" t="str">
        <f>IF( _xlfn.IFNA(MATCH(LogTable2023[[#This Row],[My Category]], Buckets!$D$4:$D$35, 0), FALSE), ".", "E")</f>
        <v>.</v>
      </c>
    </row>
    <row r="133" spans="1:22" hidden="1" x14ac:dyDescent="0.25">
      <c r="A133" s="4">
        <v>45208</v>
      </c>
      <c r="B133" s="5" t="s">
        <v>112</v>
      </c>
      <c r="C133" s="5" t="s">
        <v>113</v>
      </c>
      <c r="D133" s="5" t="s">
        <v>81</v>
      </c>
      <c r="E133" s="5">
        <v>-20</v>
      </c>
      <c r="F133" s="5" t="s">
        <v>9</v>
      </c>
      <c r="G133" s="5" t="s">
        <v>195</v>
      </c>
      <c r="H133" s="5"/>
      <c r="I133" s="5"/>
      <c r="J133" s="5"/>
      <c r="K133" s="5"/>
      <c r="L133" s="5"/>
      <c r="M133" s="6"/>
      <c r="N133" s="1">
        <f>IF( ISBLANK(LogTable2023[[#This Row],[Date_o]]), IF(ISBLANK(LogTable2023[[#This Row],[Date_i]]), "", LogTable2023[[#This Row],[Date_i]]), LogTable2023[[#This Row],[Date_o]])</f>
        <v>45208</v>
      </c>
      <c r="O133" t="str">
        <f>IF( ISBLANK(LogTable2023[[#This Row],[Description_o]]), IF(ISBLANK(LogTable2023[[#This Row],[Description_i]]), "", LogTable2023[[#This Row],[Description_i]]), LogTable2023[[#This Row],[Description_o]])</f>
        <v>Parcel Pending</v>
      </c>
      <c r="P133" t="str">
        <f>IF( ISBLANK(LogTable2023[[#This Row],[Original Description_o]]), IF(ISBLANK(LogTable2023[[#This Row],[Original Description_i]]), "", LogTable2023[[#This Row],[Original Description_i]]), LogTable2023[[#This Row],[Original Description_o]])</f>
        <v>PARCEL PENDING           855-977-1676 CA</v>
      </c>
      <c r="Q133" t="str">
        <f>IF( ISBLANK(LogTable2023[[#This Row],[Category_o]]), IF(ISBLANK(LogTable2023[[#This Row],[Category_i]]), "", LogTable2023[[#This Row],[Category_i]]), LogTable2023[[#This Row],[Category_o]])</f>
        <v>Business Services</v>
      </c>
      <c r="R133" s="10">
        <f>IF( ISBLANK(LogTable2023[[#This Row],[Amount_o]]), IF(ISBLANK(LogTable2023[[#This Row],[Amount_i]]), "", LogTable2023[[#This Row],[Amount_i]]), LogTable2023[[#This Row],[Amount_o]])</f>
        <v>-20</v>
      </c>
      <c r="S133" s="1" t="str">
        <f>IF( ISBLANK(LogTable2023[[#This Row],[Status_o]]), IF(ISBLANK(LogTable2023[[#This Row],[Status_i]]), "", LogTable2023[[#This Row],[Status_i]]), LogTable2023[[#This Row],[Status_o]])</f>
        <v>Posted</v>
      </c>
      <c r="T133" t="s">
        <v>295</v>
      </c>
      <c r="U133" t="str">
        <f>IF( _xlfn.IFNA(MATCH(LogTable2023[[#This Row],[My Category]], Buckets!$D$4:$D$35, 0), FALSE), ".", "E")</f>
        <v>.</v>
      </c>
    </row>
    <row r="134" spans="1:22" hidden="1" x14ac:dyDescent="0.25">
      <c r="A134" s="4">
        <v>45208</v>
      </c>
      <c r="B134" s="5" t="s">
        <v>55</v>
      </c>
      <c r="C134" s="5" t="s">
        <v>56</v>
      </c>
      <c r="D134" s="5" t="s">
        <v>27</v>
      </c>
      <c r="E134" s="5">
        <v>-23.74</v>
      </c>
      <c r="F134" s="5" t="s">
        <v>9</v>
      </c>
      <c r="G134" s="5" t="s">
        <v>195</v>
      </c>
      <c r="H134" s="5"/>
      <c r="I134" s="5"/>
      <c r="J134" s="5"/>
      <c r="K134" s="5"/>
      <c r="L134" s="5"/>
      <c r="M134" s="6"/>
      <c r="N134" s="1">
        <f>IF( ISBLANK(LogTable2023[[#This Row],[Date_o]]), IF(ISBLANK(LogTable2023[[#This Row],[Date_i]]), "", LogTable2023[[#This Row],[Date_i]]), LogTable2023[[#This Row],[Date_o]])</f>
        <v>45208</v>
      </c>
      <c r="O134" t="str">
        <f>IF( ISBLANK(LogTable2023[[#This Row],[Description_o]]), IF(ISBLANK(LogTable2023[[#This Row],[Description_i]]), "", LogTable2023[[#This Row],[Description_i]]), LogTable2023[[#This Row],[Description_o]])</f>
        <v>The Pasty Republic</v>
      </c>
      <c r="P134" t="str">
        <f>IF( ISBLANK(LogTable2023[[#This Row],[Original Description_o]]), IF(ISBLANK(LogTable2023[[#This Row],[Original Description_i]]), "", LogTable2023[[#This Row],[Original Description_i]]), LogTable2023[[#This Row],[Original Description_o]])</f>
        <v>SQ *THE PASTY REPUBLIC   Denver       CO</v>
      </c>
      <c r="Q134" t="str">
        <f>IF( ISBLANK(LogTable2023[[#This Row],[Category_o]]), IF(ISBLANK(LogTable2023[[#This Row],[Category_i]]), "", LogTable2023[[#This Row],[Category_i]]), LogTable2023[[#This Row],[Category_o]])</f>
        <v>Fast Food</v>
      </c>
      <c r="R134" s="10">
        <f>IF( ISBLANK(LogTable2023[[#This Row],[Amount_o]]), IF(ISBLANK(LogTable2023[[#This Row],[Amount_i]]), "", LogTable2023[[#This Row],[Amount_i]]), LogTable2023[[#This Row],[Amount_o]])</f>
        <v>-23.74</v>
      </c>
      <c r="S134" s="1" t="str">
        <f>IF( ISBLANK(LogTable2023[[#This Row],[Status_o]]), IF(ISBLANK(LogTable2023[[#This Row],[Status_i]]), "", LogTable2023[[#This Row],[Status_i]]), LogTable2023[[#This Row],[Status_o]])</f>
        <v>Posted</v>
      </c>
      <c r="T134" t="s">
        <v>348</v>
      </c>
      <c r="U134" t="str">
        <f>IF( _xlfn.IFNA(MATCH(LogTable2023[[#This Row],[My Category]], Buckets!$D$4:$D$35, 0), FALSE), ".", "E")</f>
        <v>.</v>
      </c>
    </row>
    <row r="135" spans="1:22" hidden="1" x14ac:dyDescent="0.25">
      <c r="A135" s="4">
        <v>45208</v>
      </c>
      <c r="B135" s="5" t="s">
        <v>114</v>
      </c>
      <c r="C135" s="5" t="s">
        <v>115</v>
      </c>
      <c r="D135" s="5" t="s">
        <v>116</v>
      </c>
      <c r="E135" s="5">
        <v>-90</v>
      </c>
      <c r="F135" s="5" t="s">
        <v>9</v>
      </c>
      <c r="G135" s="5" t="s">
        <v>195</v>
      </c>
      <c r="H135" s="5"/>
      <c r="I135" s="5"/>
      <c r="J135" s="5"/>
      <c r="K135" s="5"/>
      <c r="L135" s="5"/>
      <c r="M135" s="6"/>
      <c r="N135" s="1">
        <f>IF( ISBLANK(LogTable2023[[#This Row],[Date_o]]), IF(ISBLANK(LogTable2023[[#This Row],[Date_i]]), "", LogTable2023[[#This Row],[Date_i]]), LogTable2023[[#This Row],[Date_o]])</f>
        <v>45208</v>
      </c>
      <c r="O135" t="str">
        <f>IF( ISBLANK(LogTable2023[[#This Row],[Description_o]]), IF(ISBLANK(LogTable2023[[#This Row],[Description_i]]), "", LogTable2023[[#This Row],[Description_i]]), LogTable2023[[#This Row],[Description_o]])</f>
        <v>Den Public Parking</v>
      </c>
      <c r="P135" t="str">
        <f>IF( ISBLANK(LogTable2023[[#This Row],[Original Description_o]]), IF(ISBLANK(LogTable2023[[#This Row],[Original Description_i]]), "", LogTable2023[[#This Row],[Original Description_i]]), LogTable2023[[#This Row],[Original Description_o]])</f>
        <v>DEN PUBLIC PARKING       DENVER       CO</v>
      </c>
      <c r="Q135" t="str">
        <f>IF( ISBLANK(LogTable2023[[#This Row],[Category_o]]), IF(ISBLANK(LogTable2023[[#This Row],[Category_i]]), "", LogTable2023[[#This Row],[Category_i]]), LogTable2023[[#This Row],[Category_o]])</f>
        <v>Parking</v>
      </c>
      <c r="R135" s="10">
        <f>IF( ISBLANK(LogTable2023[[#This Row],[Amount_o]]), IF(ISBLANK(LogTable2023[[#This Row],[Amount_i]]), "", LogTable2023[[#This Row],[Amount_i]]), LogTable2023[[#This Row],[Amount_o]])</f>
        <v>-90</v>
      </c>
      <c r="S135" s="1" t="str">
        <f>IF( ISBLANK(LogTable2023[[#This Row],[Status_o]]), IF(ISBLANK(LogTable2023[[#This Row],[Status_i]]), "", LogTable2023[[#This Row],[Status_i]]), LogTable2023[[#This Row],[Status_o]])</f>
        <v>Posted</v>
      </c>
      <c r="T135" t="s">
        <v>291</v>
      </c>
      <c r="U135" t="str">
        <f>IF( _xlfn.IFNA(MATCH(LogTable2023[[#This Row],[My Category]], Buckets!$D$4:$D$35, 0), FALSE), ".", "E")</f>
        <v>.</v>
      </c>
      <c r="V135" t="s">
        <v>335</v>
      </c>
    </row>
    <row r="136" spans="1:22" hidden="1" x14ac:dyDescent="0.25">
      <c r="A136" s="4">
        <v>45207</v>
      </c>
      <c r="B136" s="5" t="s">
        <v>74</v>
      </c>
      <c r="C136" s="5" t="s">
        <v>117</v>
      </c>
      <c r="D136" s="5" t="s">
        <v>76</v>
      </c>
      <c r="E136" s="5">
        <v>-10.44</v>
      </c>
      <c r="F136" s="5" t="s">
        <v>9</v>
      </c>
      <c r="G136" s="5" t="s">
        <v>195</v>
      </c>
      <c r="H136" s="5"/>
      <c r="I136" s="5"/>
      <c r="J136" s="5"/>
      <c r="K136" s="5"/>
      <c r="L136" s="5"/>
      <c r="M136" s="6"/>
      <c r="N136" s="1">
        <f>IF( ISBLANK(LogTable2023[[#This Row],[Date_o]]), IF(ISBLANK(LogTable2023[[#This Row],[Date_i]]), "", LogTable2023[[#This Row],[Date_i]]), LogTable2023[[#This Row],[Date_o]])</f>
        <v>45207</v>
      </c>
      <c r="O136" t="str">
        <f>IF( ISBLANK(LogTable2023[[#This Row],[Description_o]]), IF(ISBLANK(LogTable2023[[#This Row],[Description_i]]), "", LogTable2023[[#This Row],[Description_i]]), LogTable2023[[#This Row],[Description_o]])</f>
        <v>Lyft</v>
      </c>
      <c r="P136" t="str">
        <f>IF( ISBLANK(LogTable2023[[#This Row],[Original Description_o]]), IF(ISBLANK(LogTable2023[[#This Row],[Original Description_i]]), "", LogTable2023[[#This Row],[Original Description_i]]), LogTable2023[[#This Row],[Original Description_o]])</f>
        <v>PAYPAL *LYFT RIDE SUN 2PM402-935-7733 CA</v>
      </c>
      <c r="Q136" t="str">
        <f>IF( ISBLANK(LogTable2023[[#This Row],[Category_o]]), IF(ISBLANK(LogTable2023[[#This Row],[Category_i]]), "", LogTable2023[[#This Row],[Category_i]]), LogTable2023[[#This Row],[Category_o]])</f>
        <v>Rental Car &amp; Taxi</v>
      </c>
      <c r="R136" s="10">
        <f>IF( ISBLANK(LogTable2023[[#This Row],[Amount_o]]), IF(ISBLANK(LogTable2023[[#This Row],[Amount_i]]), "", LogTable2023[[#This Row],[Amount_i]]), LogTable2023[[#This Row],[Amount_o]])</f>
        <v>-10.44</v>
      </c>
      <c r="S136" s="1" t="str">
        <f>IF( ISBLANK(LogTable2023[[#This Row],[Status_o]]), IF(ISBLANK(LogTable2023[[#This Row],[Status_i]]), "", LogTable2023[[#This Row],[Status_i]]), LogTable2023[[#This Row],[Status_o]])</f>
        <v>Posted</v>
      </c>
      <c r="T136" t="s">
        <v>291</v>
      </c>
      <c r="U136" t="str">
        <f>IF( _xlfn.IFNA(MATCH(LogTable2023[[#This Row],[My Category]], Buckets!$D$4:$D$35, 0), FALSE), ".", "E")</f>
        <v>.</v>
      </c>
      <c r="V136" t="s">
        <v>335</v>
      </c>
    </row>
    <row r="137" spans="1:22" hidden="1" x14ac:dyDescent="0.25">
      <c r="A137" s="4">
        <v>45207</v>
      </c>
      <c r="B137" s="5" t="s">
        <v>118</v>
      </c>
      <c r="C137" s="5" t="s">
        <v>119</v>
      </c>
      <c r="D137" s="5" t="s">
        <v>120</v>
      </c>
      <c r="E137" s="5">
        <v>-6.75</v>
      </c>
      <c r="F137" s="5" t="s">
        <v>9</v>
      </c>
      <c r="G137" s="5" t="s">
        <v>195</v>
      </c>
      <c r="H137" s="5"/>
      <c r="I137" s="5"/>
      <c r="J137" s="5"/>
      <c r="K137" s="5"/>
      <c r="L137" s="5"/>
      <c r="M137" s="6"/>
      <c r="N137" s="1">
        <f>IF( ISBLANK(LogTable2023[[#This Row],[Date_o]]), IF(ISBLANK(LogTable2023[[#This Row],[Date_i]]), "", LogTable2023[[#This Row],[Date_i]]), LogTable2023[[#This Row],[Date_o]])</f>
        <v>45207</v>
      </c>
      <c r="O137" t="str">
        <f>IF( ISBLANK(LogTable2023[[#This Row],[Description_o]]), IF(ISBLANK(LogTable2023[[#This Row],[Description_i]]), "", LogTable2023[[#This Row],[Description_i]]), LogTable2023[[#This Row],[Description_o]])</f>
        <v>SEPTA</v>
      </c>
      <c r="P137" t="str">
        <f>IF( ISBLANK(LogTable2023[[#This Row],[Original Description_o]]), IF(ISBLANK(LogTable2023[[#This Row],[Original Description_i]]), "", LogTable2023[[#This Row],[Original Description_i]]), LogTable2023[[#This Row],[Original Description_o]])</f>
        <v>SEPTA FARE MACHINE       2155618231   PA</v>
      </c>
      <c r="Q137" t="str">
        <f>IF( ISBLANK(LogTable2023[[#This Row],[Category_o]]), IF(ISBLANK(LogTable2023[[#This Row],[Category_i]]), "", LogTable2023[[#This Row],[Category_i]]), LogTable2023[[#This Row],[Category_o]])</f>
        <v>Public Transportation</v>
      </c>
      <c r="R137" s="10">
        <f>IF( ISBLANK(LogTable2023[[#This Row],[Amount_o]]), IF(ISBLANK(LogTable2023[[#This Row],[Amount_i]]), "", LogTable2023[[#This Row],[Amount_i]]), LogTable2023[[#This Row],[Amount_o]])</f>
        <v>-6.75</v>
      </c>
      <c r="S137" s="1" t="str">
        <f>IF( ISBLANK(LogTable2023[[#This Row],[Status_o]]), IF(ISBLANK(LogTable2023[[#This Row],[Status_i]]), "", LogTable2023[[#This Row],[Status_i]]), LogTable2023[[#This Row],[Status_o]])</f>
        <v>Posted</v>
      </c>
      <c r="T137" t="s">
        <v>291</v>
      </c>
      <c r="U137" t="str">
        <f>IF( _xlfn.IFNA(MATCH(LogTable2023[[#This Row],[My Category]], Buckets!$D$4:$D$35, 0), FALSE), ".", "E")</f>
        <v>.</v>
      </c>
      <c r="V137" t="s">
        <v>335</v>
      </c>
    </row>
    <row r="138" spans="1:22" hidden="1" x14ac:dyDescent="0.25">
      <c r="A138" s="4">
        <v>45207</v>
      </c>
      <c r="B138" s="5" t="s">
        <v>121</v>
      </c>
      <c r="C138" s="5" t="s">
        <v>122</v>
      </c>
      <c r="D138" s="5" t="s">
        <v>27</v>
      </c>
      <c r="E138" s="5">
        <v>-9.51</v>
      </c>
      <c r="F138" s="5" t="s">
        <v>9</v>
      </c>
      <c r="G138" s="5" t="s">
        <v>195</v>
      </c>
      <c r="H138" s="5"/>
      <c r="I138" s="5"/>
      <c r="J138" s="5"/>
      <c r="K138" s="5"/>
      <c r="L138" s="5"/>
      <c r="M138" s="6"/>
      <c r="N138" s="1">
        <f>IF( ISBLANK(LogTable2023[[#This Row],[Date_o]]), IF(ISBLANK(LogTable2023[[#This Row],[Date_i]]), "", LogTable2023[[#This Row],[Date_i]]), LogTable2023[[#This Row],[Date_o]])</f>
        <v>45207</v>
      </c>
      <c r="O138" t="str">
        <f>IF( ISBLANK(LogTable2023[[#This Row],[Description_o]]), IF(ISBLANK(LogTable2023[[#This Row],[Description_i]]), "", LogTable2023[[#This Row],[Description_i]]), LogTable2023[[#This Row],[Description_o]])</f>
        <v>Auntie Anne's</v>
      </c>
      <c r="P138" t="str">
        <f>IF( ISBLANK(LogTable2023[[#This Row],[Original Description_o]]), IF(ISBLANK(LogTable2023[[#This Row],[Original Description_i]]), "", LogTable2023[[#This Row],[Original Description_i]]), LogTable2023[[#This Row],[Original Description_o]])</f>
        <v>AUNTIE ANNES PA194       PHILADELPHIA PA</v>
      </c>
      <c r="Q138" t="str">
        <f>IF( ISBLANK(LogTable2023[[#This Row],[Category_o]]), IF(ISBLANK(LogTable2023[[#This Row],[Category_i]]), "", LogTable2023[[#This Row],[Category_i]]), LogTable2023[[#This Row],[Category_o]])</f>
        <v>Fast Food</v>
      </c>
      <c r="R138" s="10">
        <f>IF( ISBLANK(LogTable2023[[#This Row],[Amount_o]]), IF(ISBLANK(LogTable2023[[#This Row],[Amount_i]]), "", LogTable2023[[#This Row],[Amount_i]]), LogTable2023[[#This Row],[Amount_o]])</f>
        <v>-9.51</v>
      </c>
      <c r="S138" s="1" t="str">
        <f>IF( ISBLANK(LogTable2023[[#This Row],[Status_o]]), IF(ISBLANK(LogTable2023[[#This Row],[Status_i]]), "", LogTable2023[[#This Row],[Status_i]]), LogTable2023[[#This Row],[Status_o]])</f>
        <v>Posted</v>
      </c>
      <c r="T138" t="s">
        <v>348</v>
      </c>
      <c r="U138" t="str">
        <f>IF( _xlfn.IFNA(MATCH(LogTable2023[[#This Row],[My Category]], Buckets!$D$4:$D$35, 0), FALSE), ".", "E")</f>
        <v>.</v>
      </c>
    </row>
    <row r="139" spans="1:22" hidden="1" x14ac:dyDescent="0.25">
      <c r="A139" s="4">
        <v>45207</v>
      </c>
      <c r="B139" s="5" t="s">
        <v>123</v>
      </c>
      <c r="C139" s="5" t="s">
        <v>124</v>
      </c>
      <c r="D139" s="5" t="s">
        <v>125</v>
      </c>
      <c r="E139" s="5">
        <v>-11.03</v>
      </c>
      <c r="F139" s="5" t="s">
        <v>9</v>
      </c>
      <c r="G139" s="5" t="s">
        <v>195</v>
      </c>
      <c r="H139" s="5"/>
      <c r="I139" s="5"/>
      <c r="J139" s="5"/>
      <c r="K139" s="5"/>
      <c r="L139" s="5"/>
      <c r="M139" s="6"/>
      <c r="N139" s="1">
        <f>IF( ISBLANK(LogTable2023[[#This Row],[Date_o]]), IF(ISBLANK(LogTable2023[[#This Row],[Date_i]]), "", LogTable2023[[#This Row],[Date_i]]), LogTable2023[[#This Row],[Date_o]])</f>
        <v>45207</v>
      </c>
      <c r="O139" t="str">
        <f>IF( ISBLANK(LogTable2023[[#This Row],[Description_o]]), IF(ISBLANK(LogTable2023[[#This Row],[Description_i]]), "", LogTable2023[[#This Row],[Description_i]]), LogTable2023[[#This Row],[Description_o]])</f>
        <v>Drexel Umain Bkstore</v>
      </c>
      <c r="P139" t="str">
        <f>IF( ISBLANK(LogTable2023[[#This Row],[Original Description_o]]), IF(ISBLANK(LogTable2023[[#This Row],[Original Description_i]]), "", LogTable2023[[#This Row],[Original Description_i]]), LogTable2023[[#This Row],[Original Description_o]])</f>
        <v>DREXEL-UMAIN-BKSTORE#4570PHILADELPHIA PA</v>
      </c>
      <c r="Q139" t="str">
        <f>IF( ISBLANK(LogTable2023[[#This Row],[Category_o]]), IF(ISBLANK(LogTable2023[[#This Row],[Category_i]]), "", LogTable2023[[#This Row],[Category_i]]), LogTable2023[[#This Row],[Category_o]])</f>
        <v>Books</v>
      </c>
      <c r="R139" s="10">
        <f>IF( ISBLANK(LogTable2023[[#This Row],[Amount_o]]), IF(ISBLANK(LogTable2023[[#This Row],[Amount_i]]), "", LogTable2023[[#This Row],[Amount_i]]), LogTable2023[[#This Row],[Amount_o]])</f>
        <v>-11.03</v>
      </c>
      <c r="S139" s="1" t="str">
        <f>IF( ISBLANK(LogTable2023[[#This Row],[Status_o]]), IF(ISBLANK(LogTable2023[[#This Row],[Status_i]]), "", LogTable2023[[#This Row],[Status_i]]), LogTable2023[[#This Row],[Status_o]])</f>
        <v>Posted</v>
      </c>
      <c r="T139" t="s">
        <v>304</v>
      </c>
      <c r="U139" t="str">
        <f>IF( _xlfn.IFNA(MATCH(LogTable2023[[#This Row],[My Category]], Buckets!$D$4:$D$35, 0), FALSE), ".", "E")</f>
        <v>.</v>
      </c>
      <c r="V139" t="s">
        <v>339</v>
      </c>
    </row>
    <row r="140" spans="1:22" hidden="1" x14ac:dyDescent="0.25">
      <c r="A140" s="4">
        <v>45206</v>
      </c>
      <c r="B140" s="5" t="s">
        <v>59</v>
      </c>
      <c r="C140" s="5" t="s">
        <v>60</v>
      </c>
      <c r="D140" s="5" t="s">
        <v>61</v>
      </c>
      <c r="E140" s="5">
        <v>-30</v>
      </c>
      <c r="F140" s="5" t="s">
        <v>9</v>
      </c>
      <c r="G140" s="5" t="s">
        <v>195</v>
      </c>
      <c r="H140" s="5"/>
      <c r="I140" s="5"/>
      <c r="J140" s="5"/>
      <c r="K140" s="5"/>
      <c r="L140" s="5"/>
      <c r="M140" s="6"/>
      <c r="N140" s="1">
        <f>IF( ISBLANK(LogTable2023[[#This Row],[Date_o]]), IF(ISBLANK(LogTable2023[[#This Row],[Date_i]]), "", LogTable2023[[#This Row],[Date_i]]), LogTable2023[[#This Row],[Date_o]])</f>
        <v>45206</v>
      </c>
      <c r="O140" t="str">
        <f>IF( ISBLANK(LogTable2023[[#This Row],[Description_o]]), IF(ISBLANK(LogTable2023[[#This Row],[Description_i]]), "", LogTable2023[[#This Row],[Description_i]]), LogTable2023[[#This Row],[Description_o]])</f>
        <v>Nature Conservancy</v>
      </c>
      <c r="P140" t="str">
        <f>IF( ISBLANK(LogTable2023[[#This Row],[Original Description_o]]), IF(ISBLANK(LogTable2023[[#This Row],[Original Description_i]]), "", LogTable2023[[#This Row],[Original Description_i]]), LogTable2023[[#This Row],[Original Description_o]])</f>
        <v>Nature Conservancy       800-6286860  VA</v>
      </c>
      <c r="Q140" t="str">
        <f>IF( ISBLANK(LogTable2023[[#This Row],[Category_o]]), IF(ISBLANK(LogTable2023[[#This Row],[Category_i]]), "", LogTable2023[[#This Row],[Category_i]]), LogTable2023[[#This Row],[Category_o]])</f>
        <v>Gifts &amp; Donations</v>
      </c>
      <c r="R140" s="10">
        <f>IF( ISBLANK(LogTable2023[[#This Row],[Amount_o]]), IF(ISBLANK(LogTable2023[[#This Row],[Amount_i]]), "", LogTable2023[[#This Row],[Amount_i]]), LogTable2023[[#This Row],[Amount_o]])</f>
        <v>-30</v>
      </c>
      <c r="S140" s="1" t="str">
        <f>IF( ISBLANK(LogTable2023[[#This Row],[Status_o]]), IF(ISBLANK(LogTable2023[[#This Row],[Status_i]]), "", LogTable2023[[#This Row],[Status_i]]), LogTable2023[[#This Row],[Status_o]])</f>
        <v>Posted</v>
      </c>
      <c r="T140" t="s">
        <v>304</v>
      </c>
      <c r="U140" t="str">
        <f>IF( _xlfn.IFNA(MATCH(LogTable2023[[#This Row],[My Category]], Buckets!$D$4:$D$35, 0), FALSE), ".", "E")</f>
        <v>.</v>
      </c>
    </row>
    <row r="141" spans="1:22" hidden="1" x14ac:dyDescent="0.25">
      <c r="A141" s="4">
        <v>45206</v>
      </c>
      <c r="B141" s="5" t="s">
        <v>74</v>
      </c>
      <c r="C141" s="5" t="s">
        <v>126</v>
      </c>
      <c r="D141" s="5" t="s">
        <v>76</v>
      </c>
      <c r="E141" s="5">
        <v>-10.81</v>
      </c>
      <c r="F141" s="5" t="s">
        <v>9</v>
      </c>
      <c r="G141" s="5" t="s">
        <v>195</v>
      </c>
      <c r="H141" s="5"/>
      <c r="I141" s="5"/>
      <c r="J141" s="5"/>
      <c r="K141" s="5"/>
      <c r="L141" s="5"/>
      <c r="M141" s="6"/>
      <c r="N141" s="1">
        <f>IF( ISBLANK(LogTable2023[[#This Row],[Date_o]]), IF(ISBLANK(LogTable2023[[#This Row],[Date_i]]), "", LogTable2023[[#This Row],[Date_i]]), LogTable2023[[#This Row],[Date_o]])</f>
        <v>45206</v>
      </c>
      <c r="O141" t="str">
        <f>IF( ISBLANK(LogTable2023[[#This Row],[Description_o]]), IF(ISBLANK(LogTable2023[[#This Row],[Description_i]]), "", LogTable2023[[#This Row],[Description_i]]), LogTable2023[[#This Row],[Description_o]])</f>
        <v>Lyft</v>
      </c>
      <c r="P141" t="str">
        <f>IF( ISBLANK(LogTable2023[[#This Row],[Original Description_o]]), IF(ISBLANK(LogTable2023[[#This Row],[Original Description_i]]), "", LogTable2023[[#This Row],[Original Description_i]]), LogTable2023[[#This Row],[Original Description_o]])</f>
        <v>PAYPAL *LYFT RIDE SAT 3PM402-935-7733 CA</v>
      </c>
      <c r="Q141" t="str">
        <f>IF( ISBLANK(LogTable2023[[#This Row],[Category_o]]), IF(ISBLANK(LogTable2023[[#This Row],[Category_i]]), "", LogTable2023[[#This Row],[Category_i]]), LogTable2023[[#This Row],[Category_o]])</f>
        <v>Rental Car &amp; Taxi</v>
      </c>
      <c r="R141" s="10">
        <f>IF( ISBLANK(LogTable2023[[#This Row],[Amount_o]]), IF(ISBLANK(LogTable2023[[#This Row],[Amount_i]]), "", LogTable2023[[#This Row],[Amount_i]]), LogTable2023[[#This Row],[Amount_o]])</f>
        <v>-10.81</v>
      </c>
      <c r="S141" s="1" t="str">
        <f>IF( ISBLANK(LogTable2023[[#This Row],[Status_o]]), IF(ISBLANK(LogTable2023[[#This Row],[Status_i]]), "", LogTable2023[[#This Row],[Status_i]]), LogTable2023[[#This Row],[Status_o]])</f>
        <v>Posted</v>
      </c>
      <c r="T141" t="s">
        <v>291</v>
      </c>
      <c r="U141" t="str">
        <f>IF( _xlfn.IFNA(MATCH(LogTable2023[[#This Row],[My Category]], Buckets!$D$4:$D$35, 0), FALSE), ".", "E")</f>
        <v>.</v>
      </c>
      <c r="V141" t="s">
        <v>335</v>
      </c>
    </row>
    <row r="142" spans="1:22" hidden="1" x14ac:dyDescent="0.25">
      <c r="A142" s="4">
        <v>45206</v>
      </c>
      <c r="B142" s="5" t="s">
        <v>127</v>
      </c>
      <c r="C142" s="5" t="s">
        <v>128</v>
      </c>
      <c r="D142" s="5" t="s">
        <v>18</v>
      </c>
      <c r="E142" s="5">
        <v>-30</v>
      </c>
      <c r="F142" s="5" t="s">
        <v>9</v>
      </c>
      <c r="G142" s="5" t="s">
        <v>195</v>
      </c>
      <c r="H142" s="5"/>
      <c r="I142" s="5"/>
      <c r="J142" s="5"/>
      <c r="K142" s="5"/>
      <c r="L142" s="5"/>
      <c r="M142" s="6"/>
      <c r="N142" s="1">
        <f>IF( ISBLANK(LogTable2023[[#This Row],[Date_o]]), IF(ISBLANK(LogTable2023[[#This Row],[Date_i]]), "", LogTable2023[[#This Row],[Date_i]]), LogTable2023[[#This Row],[Date_o]])</f>
        <v>45206</v>
      </c>
      <c r="O142" t="str">
        <f>IF( ISBLANK(LogTable2023[[#This Row],[Description_o]]), IF(ISBLANK(LogTable2023[[#This Row],[Description_i]]), "", LogTable2023[[#This Row],[Description_i]]), LogTable2023[[#This Row],[Description_o]])</f>
        <v>Macy's</v>
      </c>
      <c r="P142" t="str">
        <f>IF( ISBLANK(LogTable2023[[#This Row],[Original Description_o]]), IF(ISBLANK(LogTable2023[[#This Row],[Original Description_i]]), "", LogTable2023[[#This Row],[Original Description_i]]), LogTable2023[[#This Row],[Original Description_o]])</f>
        <v>MACYS  CENTER CITY       PHILADELPHIA PA</v>
      </c>
      <c r="Q142" t="str">
        <f>IF( ISBLANK(LogTable2023[[#This Row],[Category_o]]), IF(ISBLANK(LogTable2023[[#This Row],[Category_i]]), "", LogTable2023[[#This Row],[Category_i]]), LogTable2023[[#This Row],[Category_o]])</f>
        <v>Clothing</v>
      </c>
      <c r="R142" s="10">
        <f>IF( ISBLANK(LogTable2023[[#This Row],[Amount_o]]), IF(ISBLANK(LogTable2023[[#This Row],[Amount_i]]), "", LogTable2023[[#This Row],[Amount_i]]), LogTable2023[[#This Row],[Amount_o]])</f>
        <v>-30</v>
      </c>
      <c r="S142" s="1" t="str">
        <f>IF( ISBLANK(LogTable2023[[#This Row],[Status_o]]), IF(ISBLANK(LogTable2023[[#This Row],[Status_i]]), "", LogTable2023[[#This Row],[Status_i]]), LogTable2023[[#This Row],[Status_o]])</f>
        <v>Posted</v>
      </c>
      <c r="T142" t="s">
        <v>286</v>
      </c>
      <c r="U142" t="str">
        <f>IF( _xlfn.IFNA(MATCH(LogTable2023[[#This Row],[My Category]], Buckets!$D$4:$D$35, 0), FALSE), ".", "E")</f>
        <v>.</v>
      </c>
      <c r="V142" t="s">
        <v>343</v>
      </c>
    </row>
    <row r="143" spans="1:22" hidden="1" x14ac:dyDescent="0.25">
      <c r="A143" s="4">
        <v>45206</v>
      </c>
      <c r="B143" s="5" t="s">
        <v>118</v>
      </c>
      <c r="C143" s="5" t="s">
        <v>119</v>
      </c>
      <c r="D143" s="5" t="s">
        <v>120</v>
      </c>
      <c r="E143" s="5">
        <v>-5</v>
      </c>
      <c r="F143" s="5" t="s">
        <v>9</v>
      </c>
      <c r="G143" s="5" t="s">
        <v>195</v>
      </c>
      <c r="H143" s="5"/>
      <c r="I143" s="5"/>
      <c r="J143" s="5"/>
      <c r="K143" s="5"/>
      <c r="L143" s="5"/>
      <c r="M143" s="6"/>
      <c r="N143" s="1">
        <f>IF( ISBLANK(LogTable2023[[#This Row],[Date_o]]), IF(ISBLANK(LogTable2023[[#This Row],[Date_i]]), "", LogTable2023[[#This Row],[Date_i]]), LogTable2023[[#This Row],[Date_o]])</f>
        <v>45206</v>
      </c>
      <c r="O143" t="str">
        <f>IF( ISBLANK(LogTable2023[[#This Row],[Description_o]]), IF(ISBLANK(LogTable2023[[#This Row],[Description_i]]), "", LogTable2023[[#This Row],[Description_i]]), LogTable2023[[#This Row],[Description_o]])</f>
        <v>SEPTA</v>
      </c>
      <c r="P143" t="str">
        <f>IF( ISBLANK(LogTable2023[[#This Row],[Original Description_o]]), IF(ISBLANK(LogTable2023[[#This Row],[Original Description_i]]), "", LogTable2023[[#This Row],[Original Description_i]]), LogTable2023[[#This Row],[Original Description_o]])</f>
        <v>SEPTA FARE MACHINE       2155618231   PA</v>
      </c>
      <c r="Q143" t="str">
        <f>IF( ISBLANK(LogTable2023[[#This Row],[Category_o]]), IF(ISBLANK(LogTable2023[[#This Row],[Category_i]]), "", LogTable2023[[#This Row],[Category_i]]), LogTable2023[[#This Row],[Category_o]])</f>
        <v>Public Transportation</v>
      </c>
      <c r="R143" s="10">
        <f>IF( ISBLANK(LogTable2023[[#This Row],[Amount_o]]), IF(ISBLANK(LogTable2023[[#This Row],[Amount_i]]), "", LogTable2023[[#This Row],[Amount_i]]), LogTable2023[[#This Row],[Amount_o]])</f>
        <v>-5</v>
      </c>
      <c r="S143" s="1" t="str">
        <f>IF( ISBLANK(LogTable2023[[#This Row],[Status_o]]), IF(ISBLANK(LogTable2023[[#This Row],[Status_i]]), "", LogTable2023[[#This Row],[Status_i]]), LogTable2023[[#This Row],[Status_o]])</f>
        <v>Posted</v>
      </c>
      <c r="T143" t="s">
        <v>291</v>
      </c>
      <c r="U143" t="str">
        <f>IF( _xlfn.IFNA(MATCH(LogTable2023[[#This Row],[My Category]], Buckets!$D$4:$D$35, 0), FALSE), ".", "E")</f>
        <v>.</v>
      </c>
      <c r="V143" t="s">
        <v>335</v>
      </c>
    </row>
    <row r="144" spans="1:22" hidden="1" x14ac:dyDescent="0.25">
      <c r="A144" s="4">
        <v>45206</v>
      </c>
      <c r="B144" s="5" t="s">
        <v>129</v>
      </c>
      <c r="C144" s="5" t="s">
        <v>130</v>
      </c>
      <c r="D144" s="5" t="s">
        <v>27</v>
      </c>
      <c r="E144" s="5">
        <v>-17.75</v>
      </c>
      <c r="F144" s="5" t="s">
        <v>9</v>
      </c>
      <c r="G144" s="5" t="s">
        <v>195</v>
      </c>
      <c r="H144" s="5"/>
      <c r="I144" s="5"/>
      <c r="J144" s="5"/>
      <c r="K144" s="5"/>
      <c r="L144" s="5"/>
      <c r="M144" s="6"/>
      <c r="N144" s="1">
        <f>IF( ISBLANK(LogTable2023[[#This Row],[Date_o]]), IF(ISBLANK(LogTable2023[[#This Row],[Date_i]]), "", LogTable2023[[#This Row],[Date_i]]), LogTable2023[[#This Row],[Date_o]])</f>
        <v>45206</v>
      </c>
      <c r="O144" t="str">
        <f>IF( ISBLANK(LogTable2023[[#This Row],[Description_o]]), IF(ISBLANK(LogTable2023[[#This Row],[Description_i]]), "", LogTable2023[[#This Row],[Description_i]]), LogTable2023[[#This Row],[Description_o]])</f>
        <v>Wawa</v>
      </c>
      <c r="P144" t="str">
        <f>IF( ISBLANK(LogTable2023[[#This Row],[Original Description_o]]), IF(ISBLANK(LogTable2023[[#This Row],[Original Description_i]]), "", LogTable2023[[#This Row],[Original Description_i]]), LogTable2023[[#This Row],[Original Description_o]])</f>
        <v>WAWA 55                  PHILADELPHIA PA</v>
      </c>
      <c r="Q144" t="str">
        <f>IF( ISBLANK(LogTable2023[[#This Row],[Category_o]]), IF(ISBLANK(LogTable2023[[#This Row],[Category_i]]), "", LogTable2023[[#This Row],[Category_i]]), LogTable2023[[#This Row],[Category_o]])</f>
        <v>Fast Food</v>
      </c>
      <c r="R144" s="10">
        <f>IF( ISBLANK(LogTable2023[[#This Row],[Amount_o]]), IF(ISBLANK(LogTable2023[[#This Row],[Amount_i]]), "", LogTable2023[[#This Row],[Amount_i]]), LogTable2023[[#This Row],[Amount_o]])</f>
        <v>-17.75</v>
      </c>
      <c r="S144" s="1" t="str">
        <f>IF( ISBLANK(LogTable2023[[#This Row],[Status_o]]), IF(ISBLANK(LogTable2023[[#This Row],[Status_i]]), "", LogTable2023[[#This Row],[Status_i]]), LogTable2023[[#This Row],[Status_o]])</f>
        <v>Posted</v>
      </c>
      <c r="T144" t="s">
        <v>348</v>
      </c>
      <c r="U144" t="str">
        <f>IF( _xlfn.IFNA(MATCH(LogTable2023[[#This Row],[My Category]], Buckets!$D$4:$D$35, 0), FALSE), ".", "E")</f>
        <v>.</v>
      </c>
    </row>
    <row r="145" spans="1:22" hidden="1" x14ac:dyDescent="0.25">
      <c r="A145" s="4">
        <v>45205</v>
      </c>
      <c r="B145" s="5" t="s">
        <v>131</v>
      </c>
      <c r="C145" s="5" t="s">
        <v>132</v>
      </c>
      <c r="D145" s="5" t="s">
        <v>125</v>
      </c>
      <c r="E145" s="5">
        <v>-16.23</v>
      </c>
      <c r="F145" s="5" t="s">
        <v>9</v>
      </c>
      <c r="G145" s="5" t="s">
        <v>195</v>
      </c>
      <c r="H145" s="5"/>
      <c r="I145" s="5"/>
      <c r="J145" s="5"/>
      <c r="K145" s="5"/>
      <c r="L145" s="5"/>
      <c r="M145" s="6"/>
      <c r="N145" s="1">
        <f>IF( ISBLANK(LogTable2023[[#This Row],[Date_o]]), IF(ISBLANK(LogTable2023[[#This Row],[Date_i]]), "", LogTable2023[[#This Row],[Date_i]]), LogTable2023[[#This Row],[Date_o]])</f>
        <v>45205</v>
      </c>
      <c r="O145" t="str">
        <f>IF( ISBLANK(LogTable2023[[#This Row],[Description_o]]), IF(ISBLANK(LogTable2023[[#This Row],[Description_i]]), "", LogTable2023[[#This Row],[Description_i]]), LogTable2023[[#This Row],[Description_o]])</f>
        <v>Kindle</v>
      </c>
      <c r="P145" t="str">
        <f>IF( ISBLANK(LogTable2023[[#This Row],[Original Description_o]]), IF(ISBLANK(LogTable2023[[#This Row],[Original Description_i]]), "", LogTable2023[[#This Row],[Original Description_i]]), LogTable2023[[#This Row],[Original Description_o]])</f>
        <v>Kindle Svcs*TE3DF3LB0    888-802-3080 WA</v>
      </c>
      <c r="Q145" t="str">
        <f>IF( ISBLANK(LogTable2023[[#This Row],[Category_o]]), IF(ISBLANK(LogTable2023[[#This Row],[Category_i]]), "", LogTable2023[[#This Row],[Category_i]]), LogTable2023[[#This Row],[Category_o]])</f>
        <v>Books</v>
      </c>
      <c r="R145" s="10">
        <f>IF( ISBLANK(LogTable2023[[#This Row],[Amount_o]]), IF(ISBLANK(LogTable2023[[#This Row],[Amount_i]]), "", LogTable2023[[#This Row],[Amount_i]]), LogTable2023[[#This Row],[Amount_o]])</f>
        <v>-16.23</v>
      </c>
      <c r="S145" s="1" t="str">
        <f>IF( ISBLANK(LogTable2023[[#This Row],[Status_o]]), IF(ISBLANK(LogTable2023[[#This Row],[Status_i]]), "", LogTable2023[[#This Row],[Status_i]]), LogTable2023[[#This Row],[Status_o]])</f>
        <v>Posted</v>
      </c>
      <c r="T145" t="s">
        <v>125</v>
      </c>
      <c r="U145" t="str">
        <f>IF( _xlfn.IFNA(MATCH(LogTable2023[[#This Row],[My Category]], Buckets!$D$4:$D$35, 0), FALSE), ".", "E")</f>
        <v>.</v>
      </c>
    </row>
    <row r="146" spans="1:22" hidden="1" x14ac:dyDescent="0.25">
      <c r="A146" s="4">
        <v>45205</v>
      </c>
      <c r="B146" s="5" t="s">
        <v>133</v>
      </c>
      <c r="C146" s="5" t="s">
        <v>134</v>
      </c>
      <c r="D146" s="5" t="s">
        <v>12</v>
      </c>
      <c r="E146" s="5">
        <v>-9.25</v>
      </c>
      <c r="F146" s="5" t="s">
        <v>9</v>
      </c>
      <c r="G146" s="5" t="s">
        <v>195</v>
      </c>
      <c r="H146" s="5"/>
      <c r="I146" s="5"/>
      <c r="J146" s="5"/>
      <c r="K146" s="5"/>
      <c r="L146" s="5"/>
      <c r="M146" s="6"/>
      <c r="N146" s="1">
        <f>IF( ISBLANK(LogTable2023[[#This Row],[Date_o]]), IF(ISBLANK(LogTable2023[[#This Row],[Date_i]]), "", LogTable2023[[#This Row],[Date_i]]), LogTable2023[[#This Row],[Date_o]])</f>
        <v>45205</v>
      </c>
      <c r="O146" t="str">
        <f>IF( ISBLANK(LogTable2023[[#This Row],[Description_o]]), IF(ISBLANK(LogTable2023[[#This Row],[Description_i]]), "", LogTable2023[[#This Row],[Description_i]]), LogTable2023[[#This Row],[Description_o]])</f>
        <v>Sky Market Center</v>
      </c>
      <c r="P146" t="str">
        <f>IF( ISBLANK(LogTable2023[[#This Row],[Original Description_o]]), IF(ISBLANK(LogTable2023[[#This Row],[Original Description_i]]), "", LogTable2023[[#This Row],[Original Description_i]]), LogTable2023[[#This Row],[Original Description_o]])</f>
        <v>SKY MARKET CENTER C      303-3429000  CO</v>
      </c>
      <c r="Q146" t="str">
        <f>IF( ISBLANK(LogTable2023[[#This Row],[Category_o]]), IF(ISBLANK(LogTable2023[[#This Row],[Category_i]]), "", LogTable2023[[#This Row],[Category_i]]), LogTable2023[[#This Row],[Category_o]])</f>
        <v>Shopping</v>
      </c>
      <c r="R146" s="10">
        <f>IF( ISBLANK(LogTable2023[[#This Row],[Amount_o]]), IF(ISBLANK(LogTable2023[[#This Row],[Amount_i]]), "", LogTable2023[[#This Row],[Amount_i]]), LogTable2023[[#This Row],[Amount_o]])</f>
        <v>-9.25</v>
      </c>
      <c r="S146" s="1" t="str">
        <f>IF( ISBLANK(LogTable2023[[#This Row],[Status_o]]), IF(ISBLANK(LogTable2023[[#This Row],[Status_i]]), "", LogTable2023[[#This Row],[Status_i]]), LogTable2023[[#This Row],[Status_o]])</f>
        <v>Posted</v>
      </c>
      <c r="T146" t="s">
        <v>301</v>
      </c>
      <c r="U146" t="str">
        <f>IF( _xlfn.IFNA(MATCH(LogTable2023[[#This Row],[My Category]], Buckets!$D$4:$D$35, 0), FALSE), ".", "E")</f>
        <v>.</v>
      </c>
      <c r="V146" t="s">
        <v>359</v>
      </c>
    </row>
    <row r="147" spans="1:22" hidden="1" x14ac:dyDescent="0.25">
      <c r="A147" s="4">
        <v>45205</v>
      </c>
      <c r="B147" s="5" t="s">
        <v>118</v>
      </c>
      <c r="C147" s="5" t="s">
        <v>119</v>
      </c>
      <c r="D147" s="5" t="s">
        <v>120</v>
      </c>
      <c r="E147" s="5">
        <v>-6.75</v>
      </c>
      <c r="F147" s="5" t="s">
        <v>9</v>
      </c>
      <c r="G147" s="5" t="s">
        <v>195</v>
      </c>
      <c r="H147" s="5"/>
      <c r="I147" s="5"/>
      <c r="J147" s="5"/>
      <c r="K147" s="5"/>
      <c r="L147" s="5"/>
      <c r="M147" s="6"/>
      <c r="N147" s="1">
        <f>IF( ISBLANK(LogTable2023[[#This Row],[Date_o]]), IF(ISBLANK(LogTable2023[[#This Row],[Date_i]]), "", LogTable2023[[#This Row],[Date_i]]), LogTable2023[[#This Row],[Date_o]])</f>
        <v>45205</v>
      </c>
      <c r="O147" t="str">
        <f>IF( ISBLANK(LogTable2023[[#This Row],[Description_o]]), IF(ISBLANK(LogTable2023[[#This Row],[Description_i]]), "", LogTable2023[[#This Row],[Description_i]]), LogTable2023[[#This Row],[Description_o]])</f>
        <v>SEPTA</v>
      </c>
      <c r="P147" t="str">
        <f>IF( ISBLANK(LogTable2023[[#This Row],[Original Description_o]]), IF(ISBLANK(LogTable2023[[#This Row],[Original Description_i]]), "", LogTable2023[[#This Row],[Original Description_i]]), LogTable2023[[#This Row],[Original Description_o]])</f>
        <v>SEPTA FARE MACHINE       2155618231   PA</v>
      </c>
      <c r="Q147" t="str">
        <f>IF( ISBLANK(LogTable2023[[#This Row],[Category_o]]), IF(ISBLANK(LogTable2023[[#This Row],[Category_i]]), "", LogTable2023[[#This Row],[Category_i]]), LogTable2023[[#This Row],[Category_o]])</f>
        <v>Public Transportation</v>
      </c>
      <c r="R147" s="10">
        <f>IF( ISBLANK(LogTable2023[[#This Row],[Amount_o]]), IF(ISBLANK(LogTable2023[[#This Row],[Amount_i]]), "", LogTable2023[[#This Row],[Amount_i]]), LogTable2023[[#This Row],[Amount_o]])</f>
        <v>-6.75</v>
      </c>
      <c r="S147" s="1" t="str">
        <f>IF( ISBLANK(LogTable2023[[#This Row],[Status_o]]), IF(ISBLANK(LogTable2023[[#This Row],[Status_i]]), "", LogTable2023[[#This Row],[Status_i]]), LogTable2023[[#This Row],[Status_o]])</f>
        <v>Posted</v>
      </c>
      <c r="T147" t="s">
        <v>291</v>
      </c>
      <c r="U147" t="str">
        <f>IF( _xlfn.IFNA(MATCH(LogTable2023[[#This Row],[My Category]], Buckets!$D$4:$D$35, 0), FALSE), ".", "E")</f>
        <v>.</v>
      </c>
      <c r="V147" t="s">
        <v>335</v>
      </c>
    </row>
    <row r="148" spans="1:22" hidden="1" x14ac:dyDescent="0.25">
      <c r="A148" s="4">
        <v>45205</v>
      </c>
      <c r="B148" s="5" t="s">
        <v>135</v>
      </c>
      <c r="C148" s="5" t="s">
        <v>136</v>
      </c>
      <c r="D148" s="5" t="s">
        <v>137</v>
      </c>
      <c r="E148" s="5">
        <v>-19.48</v>
      </c>
      <c r="F148" s="5" t="s">
        <v>9</v>
      </c>
      <c r="G148" s="5" t="s">
        <v>195</v>
      </c>
      <c r="H148" s="5"/>
      <c r="I148" s="5"/>
      <c r="J148" s="5"/>
      <c r="K148" s="5"/>
      <c r="L148" s="5"/>
      <c r="M148" s="6"/>
      <c r="N148" s="1">
        <f>IF( ISBLANK(LogTable2023[[#This Row],[Date_o]]), IF(ISBLANK(LogTable2023[[#This Row],[Date_i]]), "", LogTable2023[[#This Row],[Date_i]]), LogTable2023[[#This Row],[Date_o]])</f>
        <v>45205</v>
      </c>
      <c r="O148" t="str">
        <f>IF( ISBLANK(LogTable2023[[#This Row],[Description_o]]), IF(ISBLANK(LogTable2023[[#This Row],[Description_i]]), "", LogTable2023[[#This Row],[Description_i]]), LogTable2023[[#This Row],[Description_o]])</f>
        <v>Tide Cleaners</v>
      </c>
      <c r="P148" t="str">
        <f>IF( ISBLANK(LogTable2023[[#This Row],[Original Description_o]]), IF(ISBLANK(LogTable2023[[#This Row],[Original Description_i]]), "", LogTable2023[[#This Row],[Original Description_i]]), LogTable2023[[#This Row],[Original Description_o]])</f>
        <v>Tide Cleaners            Denver       CO</v>
      </c>
      <c r="Q148" t="str">
        <f>IF( ISBLANK(LogTable2023[[#This Row],[Category_o]]), IF(ISBLANK(LogTable2023[[#This Row],[Category_i]]), "", LogTable2023[[#This Row],[Category_i]]), LogTable2023[[#This Row],[Category_o]])</f>
        <v>Laundry</v>
      </c>
      <c r="R148" s="10">
        <f>IF( ISBLANK(LogTable2023[[#This Row],[Amount_o]]), IF(ISBLANK(LogTable2023[[#This Row],[Amount_i]]), "", LogTable2023[[#This Row],[Amount_i]]), LogTable2023[[#This Row],[Amount_o]])</f>
        <v>-19.48</v>
      </c>
      <c r="S148" s="1" t="str">
        <f>IF( ISBLANK(LogTable2023[[#This Row],[Status_o]]), IF(ISBLANK(LogTable2023[[#This Row],[Status_i]]), "", LogTable2023[[#This Row],[Status_i]]), LogTable2023[[#This Row],[Status_o]])</f>
        <v>Posted</v>
      </c>
      <c r="T148" t="s">
        <v>286</v>
      </c>
      <c r="U148" t="str">
        <f>IF( _xlfn.IFNA(MATCH(LogTable2023[[#This Row],[My Category]], Buckets!$D$4:$D$35, 0), FALSE), ".", "E")</f>
        <v>.</v>
      </c>
      <c r="V148" t="s">
        <v>352</v>
      </c>
    </row>
    <row r="149" spans="1:22" hidden="1" x14ac:dyDescent="0.25">
      <c r="A149" s="4">
        <v>45204</v>
      </c>
      <c r="B149" s="5" t="s">
        <v>82</v>
      </c>
      <c r="C149" s="5" t="s">
        <v>83</v>
      </c>
      <c r="D149" s="5" t="s">
        <v>21</v>
      </c>
      <c r="E149" s="5">
        <v>-27.84</v>
      </c>
      <c r="F149" s="5" t="s">
        <v>9</v>
      </c>
      <c r="G149" s="5" t="s">
        <v>195</v>
      </c>
      <c r="H149" s="5"/>
      <c r="I149" s="5"/>
      <c r="J149" s="5"/>
      <c r="K149" s="5"/>
      <c r="L149" s="5"/>
      <c r="M149" s="6"/>
      <c r="N149" s="1">
        <f>IF( ISBLANK(LogTable2023[[#This Row],[Date_o]]), IF(ISBLANK(LogTable2023[[#This Row],[Date_i]]), "", LogTable2023[[#This Row],[Date_i]]), LogTable2023[[#This Row],[Date_o]])</f>
        <v>45204</v>
      </c>
      <c r="O149" t="str">
        <f>IF( ISBLANK(LogTable2023[[#This Row],[Description_o]]), IF(ISBLANK(LogTable2023[[#This Row],[Description_i]]), "", LogTable2023[[#This Row],[Description_i]]), LogTable2023[[#This Row],[Description_o]])</f>
        <v>Babajoon's Kabobs &amp; More</v>
      </c>
      <c r="P149" t="str">
        <f>IF( ISBLANK(LogTable2023[[#This Row],[Original Description_o]]), IF(ISBLANK(LogTable2023[[#This Row],[Original Description_i]]), "", LogTable2023[[#This Row],[Original Description_i]]), LogTable2023[[#This Row],[Original Description_o]])</f>
        <v>BABAJOON`S KABOBS &amp; MORE WESTMINSTER  CO</v>
      </c>
      <c r="Q149" t="str">
        <f>IF( ISBLANK(LogTable2023[[#This Row],[Category_o]]), IF(ISBLANK(LogTable2023[[#This Row],[Category_i]]), "", LogTable2023[[#This Row],[Category_i]]), LogTable2023[[#This Row],[Category_o]])</f>
        <v>Restaurants</v>
      </c>
      <c r="R149" s="10">
        <f>IF( ISBLANK(LogTable2023[[#This Row],[Amount_o]]), IF(ISBLANK(LogTable2023[[#This Row],[Amount_i]]), "", LogTable2023[[#This Row],[Amount_i]]), LogTable2023[[#This Row],[Amount_o]])</f>
        <v>-27.84</v>
      </c>
      <c r="S149" s="1" t="str">
        <f>IF( ISBLANK(LogTable2023[[#This Row],[Status_o]]), IF(ISBLANK(LogTable2023[[#This Row],[Status_i]]), "", LogTable2023[[#This Row],[Status_i]]), LogTable2023[[#This Row],[Status_o]])</f>
        <v>Posted</v>
      </c>
      <c r="T149" t="s">
        <v>348</v>
      </c>
      <c r="U149" t="str">
        <f>IF( _xlfn.IFNA(MATCH(LogTable2023[[#This Row],[My Category]], Buckets!$D$4:$D$35, 0), FALSE), ".", "E")</f>
        <v>.</v>
      </c>
    </row>
    <row r="150" spans="1:22" hidden="1" x14ac:dyDescent="0.25">
      <c r="A150" s="4">
        <v>45203</v>
      </c>
      <c r="B150" s="5" t="s">
        <v>66</v>
      </c>
      <c r="C150" s="5" t="s">
        <v>67</v>
      </c>
      <c r="D150" s="5" t="s">
        <v>68</v>
      </c>
      <c r="E150" s="5">
        <v>-35</v>
      </c>
      <c r="F150" s="5" t="s">
        <v>9</v>
      </c>
      <c r="G150" s="5" t="s">
        <v>195</v>
      </c>
      <c r="H150" s="5"/>
      <c r="I150" s="5"/>
      <c r="J150" s="5"/>
      <c r="K150" s="5"/>
      <c r="L150" s="5"/>
      <c r="M150" s="6"/>
      <c r="N150" s="1">
        <f>IF( ISBLANK(LogTable2023[[#This Row],[Date_o]]), IF(ISBLANK(LogTable2023[[#This Row],[Date_i]]), "", LogTable2023[[#This Row],[Date_i]]), LogTable2023[[#This Row],[Date_o]])</f>
        <v>45203</v>
      </c>
      <c r="O150" t="str">
        <f>IF( ISBLANK(LogTable2023[[#This Row],[Description_o]]), IF(ISBLANK(LogTable2023[[#This Row],[Description_i]]), "", LogTable2023[[#This Row],[Description_i]]), LogTable2023[[#This Row],[Description_o]])</f>
        <v>T-Mobile</v>
      </c>
      <c r="P150" t="str">
        <f>IF( ISBLANK(LogTable2023[[#This Row],[Original Description_o]]), IF(ISBLANK(LogTable2023[[#This Row],[Original Description_i]]), "", LogTable2023[[#This Row],[Original Description_i]]), LogTable2023[[#This Row],[Original Description_o]])</f>
        <v>TMOBILE*AUTO PAY         800-937-8997 WA</v>
      </c>
      <c r="Q150" t="str">
        <f>IF( ISBLANK(LogTable2023[[#This Row],[Category_o]]), IF(ISBLANK(LogTable2023[[#This Row],[Category_i]]), "", LogTable2023[[#This Row],[Category_i]]), LogTable2023[[#This Row],[Category_o]])</f>
        <v>Mobile Phone</v>
      </c>
      <c r="R150" s="10">
        <f>IF( ISBLANK(LogTable2023[[#This Row],[Amount_o]]), IF(ISBLANK(LogTable2023[[#This Row],[Amount_i]]), "", LogTable2023[[#This Row],[Amount_i]]), LogTable2023[[#This Row],[Amount_o]])</f>
        <v>-35</v>
      </c>
      <c r="S150" s="1" t="str">
        <f>IF( ISBLANK(LogTable2023[[#This Row],[Status_o]]), IF(ISBLANK(LogTable2023[[#This Row],[Status_i]]), "", LogTable2023[[#This Row],[Status_i]]), LogTable2023[[#This Row],[Status_o]])</f>
        <v>Posted</v>
      </c>
      <c r="T150" t="s">
        <v>215</v>
      </c>
      <c r="U150" t="str">
        <f>IF( _xlfn.IFNA(MATCH(LogTable2023[[#This Row],[My Category]], Buckets!$D$4:$D$35, 0), FALSE), ".", "E")</f>
        <v>.</v>
      </c>
    </row>
    <row r="151" spans="1:22" hidden="1" x14ac:dyDescent="0.25">
      <c r="A151" s="4">
        <v>45203</v>
      </c>
      <c r="B151" s="5" t="s">
        <v>13</v>
      </c>
      <c r="C151" s="5" t="s">
        <v>14</v>
      </c>
      <c r="D151" s="5" t="s">
        <v>15</v>
      </c>
      <c r="E151" s="5">
        <v>-70.27</v>
      </c>
      <c r="F151" s="5" t="s">
        <v>9</v>
      </c>
      <c r="G151" s="5" t="s">
        <v>195</v>
      </c>
      <c r="H151" s="5"/>
      <c r="I151" s="5"/>
      <c r="J151" s="5"/>
      <c r="K151" s="5"/>
      <c r="L151" s="5"/>
      <c r="M151" s="6"/>
      <c r="N151" s="1">
        <f>IF( ISBLANK(LogTable2023[[#This Row],[Date_o]]), IF(ISBLANK(LogTable2023[[#This Row],[Date_i]]), "", LogTable2023[[#This Row],[Date_i]]), LogTable2023[[#This Row],[Date_o]])</f>
        <v>45203</v>
      </c>
      <c r="O151" t="str">
        <f>IF( ISBLANK(LogTable2023[[#This Row],[Description_o]]), IF(ISBLANK(LogTable2023[[#This Row],[Description_i]]), "", LogTable2023[[#This Row],[Description_i]]), LogTable2023[[#This Row],[Description_o]])</f>
        <v>King Soopers</v>
      </c>
      <c r="P151" t="str">
        <f>IF( ISBLANK(LogTable2023[[#This Row],[Original Description_o]]), IF(ISBLANK(LogTable2023[[#This Row],[Original Description_i]]), "", LogTable2023[[#This Row],[Original Description_i]]), LogTable2023[[#This Row],[Original Description_o]])</f>
        <v>KING SOOPERS #0057       WHEAT RIDGE  CO</v>
      </c>
      <c r="Q151" t="str">
        <f>IF( ISBLANK(LogTable2023[[#This Row],[Category_o]]), IF(ISBLANK(LogTable2023[[#This Row],[Category_i]]), "", LogTable2023[[#This Row],[Category_i]]), LogTable2023[[#This Row],[Category_o]])</f>
        <v>Groceries</v>
      </c>
      <c r="R151" s="10">
        <f>IF( ISBLANK(LogTable2023[[#This Row],[Amount_o]]), IF(ISBLANK(LogTable2023[[#This Row],[Amount_i]]), "", LogTable2023[[#This Row],[Amount_i]]), LogTable2023[[#This Row],[Amount_o]])</f>
        <v>-70.27</v>
      </c>
      <c r="S151" s="1" t="str">
        <f>IF( ISBLANK(LogTable2023[[#This Row],[Status_o]]), IF(ISBLANK(LogTable2023[[#This Row],[Status_i]]), "", LogTable2023[[#This Row],[Status_i]]), LogTable2023[[#This Row],[Status_o]])</f>
        <v>Posted</v>
      </c>
      <c r="T151" t="s">
        <v>15</v>
      </c>
      <c r="U151" t="str">
        <f>IF( _xlfn.IFNA(MATCH(LogTable2023[[#This Row],[My Category]], Buckets!$D$4:$D$35, 0), FALSE), ".", "E")</f>
        <v>.</v>
      </c>
    </row>
    <row r="152" spans="1:22" hidden="1" x14ac:dyDescent="0.25">
      <c r="A152" s="4">
        <v>45203</v>
      </c>
      <c r="B152" s="5" t="s">
        <v>45</v>
      </c>
      <c r="C152" s="5" t="s">
        <v>138</v>
      </c>
      <c r="D152" s="5" t="s">
        <v>47</v>
      </c>
      <c r="E152" s="5">
        <v>-21.38</v>
      </c>
      <c r="F152" s="5" t="s">
        <v>9</v>
      </c>
      <c r="G152" s="5" t="s">
        <v>195</v>
      </c>
      <c r="H152" s="5"/>
      <c r="I152" s="5"/>
      <c r="J152" s="5"/>
      <c r="K152" s="5"/>
      <c r="L152" s="5"/>
      <c r="M152" s="6"/>
      <c r="N152" s="1">
        <f>IF( ISBLANK(LogTable2023[[#This Row],[Date_o]]), IF(ISBLANK(LogTable2023[[#This Row],[Date_i]]), "", LogTable2023[[#This Row],[Date_i]]), LogTable2023[[#This Row],[Date_o]])</f>
        <v>45203</v>
      </c>
      <c r="O152" t="str">
        <f>IF( ISBLANK(LogTable2023[[#This Row],[Description_o]]), IF(ISBLANK(LogTable2023[[#This Row],[Description_i]]), "", LogTable2023[[#This Row],[Description_i]]), LogTable2023[[#This Row],[Description_o]])</f>
        <v>Lucy's Burger Bar</v>
      </c>
      <c r="P152" t="str">
        <f>IF( ISBLANK(LogTable2023[[#This Row],[Original Description_o]]), IF(ISBLANK(LogTable2023[[#This Row],[Original Description_i]]), "", LogTable2023[[#This Row],[Original Description_i]]), LogTable2023[[#This Row],[Original Description_o]])</f>
        <v>TST* LUCY'S BURGER BAR   DENVER       CO</v>
      </c>
      <c r="Q152" t="str">
        <f>IF( ISBLANK(LogTable2023[[#This Row],[Category_o]]), IF(ISBLANK(LogTable2023[[#This Row],[Category_i]]), "", LogTable2023[[#This Row],[Category_i]]), LogTable2023[[#This Row],[Category_o]])</f>
        <v>Food &amp; Dining</v>
      </c>
      <c r="R152" s="10">
        <f>IF( ISBLANK(LogTable2023[[#This Row],[Amount_o]]), IF(ISBLANK(LogTable2023[[#This Row],[Amount_i]]), "", LogTable2023[[#This Row],[Amount_i]]), LogTable2023[[#This Row],[Amount_o]])</f>
        <v>-21.38</v>
      </c>
      <c r="S152" s="1" t="str">
        <f>IF( ISBLANK(LogTable2023[[#This Row],[Status_o]]), IF(ISBLANK(LogTable2023[[#This Row],[Status_i]]), "", LogTable2023[[#This Row],[Status_i]]), LogTable2023[[#This Row],[Status_o]])</f>
        <v>Posted</v>
      </c>
      <c r="T152" t="s">
        <v>348</v>
      </c>
      <c r="U152" t="str">
        <f>IF( _xlfn.IFNA(MATCH(LogTable2023[[#This Row],[My Category]], Buckets!$D$4:$D$35, 0), FALSE), ".", "E")</f>
        <v>.</v>
      </c>
    </row>
    <row r="153" spans="1:22" hidden="1" x14ac:dyDescent="0.25">
      <c r="A153" s="4">
        <v>45202</v>
      </c>
      <c r="B153" s="5" t="s">
        <v>139</v>
      </c>
      <c r="C153" s="5" t="s">
        <v>140</v>
      </c>
      <c r="D153" s="5" t="s">
        <v>27</v>
      </c>
      <c r="E153" s="5">
        <v>-12.39</v>
      </c>
      <c r="F153" s="5" t="s">
        <v>9</v>
      </c>
      <c r="G153" s="5" t="s">
        <v>195</v>
      </c>
      <c r="H153" s="5"/>
      <c r="I153" s="5"/>
      <c r="J153" s="5"/>
      <c r="K153" s="5"/>
      <c r="L153" s="5"/>
      <c r="M153" s="6"/>
      <c r="N153" s="1">
        <f>IF( ISBLANK(LogTable2023[[#This Row],[Date_o]]), IF(ISBLANK(LogTable2023[[#This Row],[Date_i]]), "", LogTable2023[[#This Row],[Date_i]]), LogTable2023[[#This Row],[Date_o]])</f>
        <v>45202</v>
      </c>
      <c r="O153" t="str">
        <f>IF( ISBLANK(LogTable2023[[#This Row],[Description_o]]), IF(ISBLANK(LogTable2023[[#This Row],[Description_i]]), "", LogTable2023[[#This Row],[Description_i]]), LogTable2023[[#This Row],[Description_o]])</f>
        <v>Arby's</v>
      </c>
      <c r="P153" t="str">
        <f>IF( ISBLANK(LogTable2023[[#This Row],[Original Description_o]]), IF(ISBLANK(LogTable2023[[#This Row],[Original Description_i]]), "", LogTable2023[[#This Row],[Original Description_i]]), LogTable2023[[#This Row],[Original Description_o]])</f>
        <v>ARBY'S 5009023           NORTHGLENN   CO</v>
      </c>
      <c r="Q153" t="str">
        <f>IF( ISBLANK(LogTable2023[[#This Row],[Category_o]]), IF(ISBLANK(LogTable2023[[#This Row],[Category_i]]), "", LogTable2023[[#This Row],[Category_i]]), LogTable2023[[#This Row],[Category_o]])</f>
        <v>Fast Food</v>
      </c>
      <c r="R153" s="10">
        <f>IF( ISBLANK(LogTable2023[[#This Row],[Amount_o]]), IF(ISBLANK(LogTable2023[[#This Row],[Amount_i]]), "", LogTable2023[[#This Row],[Amount_i]]), LogTable2023[[#This Row],[Amount_o]])</f>
        <v>-12.39</v>
      </c>
      <c r="S153" s="1" t="str">
        <f>IF( ISBLANK(LogTable2023[[#This Row],[Status_o]]), IF(ISBLANK(LogTable2023[[#This Row],[Status_i]]), "", LogTable2023[[#This Row],[Status_i]]), LogTable2023[[#This Row],[Status_o]])</f>
        <v>Posted</v>
      </c>
      <c r="T153" t="s">
        <v>348</v>
      </c>
      <c r="U153" t="str">
        <f>IF( _xlfn.IFNA(MATCH(LogTable2023[[#This Row],[My Category]], Buckets!$D$4:$D$35, 0), FALSE), ".", "E")</f>
        <v>.</v>
      </c>
    </row>
    <row r="154" spans="1:22" hidden="1" x14ac:dyDescent="0.25">
      <c r="A154" s="4">
        <v>45202</v>
      </c>
      <c r="B154" s="5" t="s">
        <v>241</v>
      </c>
      <c r="C154" s="5" t="s">
        <v>242</v>
      </c>
      <c r="D154" s="5" t="s">
        <v>107</v>
      </c>
      <c r="E154" s="5">
        <v>-1945</v>
      </c>
      <c r="F154" s="5" t="s">
        <v>9</v>
      </c>
      <c r="G154" s="5" t="s">
        <v>269</v>
      </c>
      <c r="H154" s="5"/>
      <c r="I154" s="5"/>
      <c r="J154" s="5"/>
      <c r="K154" s="5"/>
      <c r="L154" s="5"/>
      <c r="M154" s="6"/>
      <c r="N154" s="1">
        <f>IF( ISBLANK(LogTable2023[[#This Row],[Date_o]]), IF(ISBLANK(LogTable2023[[#This Row],[Date_i]]), "", LogTable2023[[#This Row],[Date_i]]), LogTable2023[[#This Row],[Date_o]])</f>
        <v>45202</v>
      </c>
      <c r="O154" t="str">
        <f>IF( ISBLANK(LogTable2023[[#This Row],[Description_o]]), IF(ISBLANK(LogTable2023[[#This Row],[Description_i]]), "", LogTable2023[[#This Row],[Description_i]]), LogTable2023[[#This Row],[Description_o]])</f>
        <v>Cornerstoneapart Web Zfyd</v>
      </c>
      <c r="P154" t="str">
        <f>IF( ISBLANK(LogTable2023[[#This Row],[Original Description_o]]), IF(ISBLANK(LogTable2023[[#This Row],[Original Description_i]]), "", LogTable2023[[#This Row],[Original Description_i]]), LogTable2023[[#This Row],[Original Description_o]])</f>
        <v>CORNERSTONEAPART WEB PMTS   ***********ZFYD</v>
      </c>
      <c r="Q154" t="str">
        <f>IF( ISBLANK(LogTable2023[[#This Row],[Category_o]]), IF(ISBLANK(LogTable2023[[#This Row],[Category_i]]), "", LogTable2023[[#This Row],[Category_i]]), LogTable2023[[#This Row],[Category_o]])</f>
        <v>Uncategorized</v>
      </c>
      <c r="R154" s="10">
        <f>IF( ISBLANK(LogTable2023[[#This Row],[Amount_o]]), IF(ISBLANK(LogTable2023[[#This Row],[Amount_i]]), "", LogTable2023[[#This Row],[Amount_i]]), LogTable2023[[#This Row],[Amount_o]])</f>
        <v>-1945</v>
      </c>
      <c r="S154" s="1" t="str">
        <f>IF( ISBLANK(LogTable2023[[#This Row],[Status_o]]), IF(ISBLANK(LogTable2023[[#This Row],[Status_i]]), "", LogTable2023[[#This Row],[Status_i]]), LogTable2023[[#This Row],[Status_o]])</f>
        <v>Posted</v>
      </c>
      <c r="T154" t="s">
        <v>293</v>
      </c>
      <c r="U154" t="str">
        <f>IF( _xlfn.IFNA(MATCH(LogTable2023[[#This Row],[My Category]], Buckets!$D$4:$D$35, 0), FALSE), ".", "E")</f>
        <v>.</v>
      </c>
    </row>
    <row r="155" spans="1:22" hidden="1" x14ac:dyDescent="0.25">
      <c r="A155" s="4">
        <v>45202</v>
      </c>
      <c r="B155" s="5" t="s">
        <v>224</v>
      </c>
      <c r="C155" s="5" t="s">
        <v>243</v>
      </c>
      <c r="D155" s="5" t="s">
        <v>226</v>
      </c>
      <c r="E155" s="5">
        <v>-320</v>
      </c>
      <c r="F155" s="5" t="s">
        <v>9</v>
      </c>
      <c r="G155" s="5" t="s">
        <v>269</v>
      </c>
      <c r="H155" s="5"/>
      <c r="I155" s="5"/>
      <c r="J155" s="5"/>
      <c r="K155" s="5"/>
      <c r="L155" s="5"/>
      <c r="M155" s="6"/>
      <c r="N155" s="1">
        <f>IF( ISBLANK(LogTable2023[[#This Row],[Date_o]]), IF(ISBLANK(LogTable2023[[#This Row],[Date_i]]), "", LogTable2023[[#This Row],[Date_i]]), LogTable2023[[#This Row],[Date_o]])</f>
        <v>45202</v>
      </c>
      <c r="O155" t="str">
        <f>IF( ISBLANK(LogTable2023[[#This Row],[Description_o]]), IF(ISBLANK(LogTable2023[[#This Row],[Description_i]]), "", LogTable2023[[#This Row],[Description_i]]), LogTable2023[[#This Row],[Description_o]])</f>
        <v>Honda Financial</v>
      </c>
      <c r="P155" t="str">
        <f>IF( ISBLANK(LogTable2023[[#This Row],[Original Description_o]]), IF(ISBLANK(LogTable2023[[#This Row],[Original Description_i]]), "", LogTable2023[[#This Row],[Original Description_i]]), LogTable2023[[#This Row],[Original Description_o]])</f>
        <v>HONDA PMT        8004489307 ***********JESA</v>
      </c>
      <c r="Q155" t="str">
        <f>IF( ISBLANK(LogTable2023[[#This Row],[Category_o]]), IF(ISBLANK(LogTable2023[[#This Row],[Category_i]]), "", LogTable2023[[#This Row],[Category_i]]), LogTable2023[[#This Row],[Category_o]])</f>
        <v>Auto Payment</v>
      </c>
      <c r="R155" s="10">
        <f>IF( ISBLANK(LogTable2023[[#This Row],[Amount_o]]), IF(ISBLANK(LogTable2023[[#This Row],[Amount_i]]), "", LogTable2023[[#This Row],[Amount_i]]), LogTable2023[[#This Row],[Amount_o]])</f>
        <v>-320</v>
      </c>
      <c r="S155" s="1" t="str">
        <f>IF( ISBLANK(LogTable2023[[#This Row],[Status_o]]), IF(ISBLANK(LogTable2023[[#This Row],[Status_i]]), "", LogTable2023[[#This Row],[Status_i]]), LogTable2023[[#This Row],[Status_o]])</f>
        <v>Posted</v>
      </c>
      <c r="T155" t="s">
        <v>281</v>
      </c>
      <c r="U155" t="str">
        <f>IF( _xlfn.IFNA(MATCH(LogTable2023[[#This Row],[My Category]], Buckets!$D$4:$D$35, 0), FALSE), ".", "E")</f>
        <v>.</v>
      </c>
    </row>
    <row r="156" spans="1:22" hidden="1" x14ac:dyDescent="0.25">
      <c r="A156" s="4">
        <v>45202</v>
      </c>
      <c r="B156" s="5" t="s">
        <v>221</v>
      </c>
      <c r="C156" s="5" t="s">
        <v>244</v>
      </c>
      <c r="D156" s="5" t="s">
        <v>177</v>
      </c>
      <c r="E156" s="5">
        <v>-0.95</v>
      </c>
      <c r="F156" s="5" t="s">
        <v>9</v>
      </c>
      <c r="G156" s="5" t="s">
        <v>269</v>
      </c>
      <c r="H156" s="5"/>
      <c r="I156" s="5"/>
      <c r="J156" s="5"/>
      <c r="K156" s="5"/>
      <c r="L156" s="5"/>
      <c r="M156" s="6"/>
      <c r="N156" s="1">
        <f>IF( ISBLANK(LogTable2023[[#This Row],[Date_o]]), IF(ISBLANK(LogTable2023[[#This Row],[Date_i]]), "", LogTable2023[[#This Row],[Date_i]]), LogTable2023[[#This Row],[Date_o]])</f>
        <v>45202</v>
      </c>
      <c r="O156" t="str">
        <f>IF( ISBLANK(LogTable2023[[#This Row],[Description_o]]), IF(ISBLANK(LogTable2023[[#This Row],[Description_i]]), "", LogTable2023[[#This Row],[Description_i]]), LogTable2023[[#This Row],[Description_o]])</f>
        <v>Yardi</v>
      </c>
      <c r="P156" t="str">
        <f>IF( ISBLANK(LogTable2023[[#This Row],[Original Description_o]]), IF(ISBLANK(LogTable2023[[#This Row],[Original Description_i]]), "", LogTable2023[[#This Row],[Original Description_i]]), LogTable2023[[#This Row],[Original Description_o]])</f>
        <v>YARDI SERVICECHG WEB PMTS   ***********VDYD</v>
      </c>
      <c r="Q156" t="str">
        <f>IF( ISBLANK(LogTable2023[[#This Row],[Category_o]]), IF(ISBLANK(LogTable2023[[#This Row],[Category_i]]), "", LogTable2023[[#This Row],[Category_i]]), LogTable2023[[#This Row],[Category_o]])</f>
        <v>Mortgage &amp; Rent</v>
      </c>
      <c r="R156" s="10">
        <f>IF( ISBLANK(LogTable2023[[#This Row],[Amount_o]]), IF(ISBLANK(LogTable2023[[#This Row],[Amount_i]]), "", LogTable2023[[#This Row],[Amount_i]]), LogTable2023[[#This Row],[Amount_o]])</f>
        <v>-0.95</v>
      </c>
      <c r="S156" s="1" t="str">
        <f>IF( ISBLANK(LogTable2023[[#This Row],[Status_o]]), IF(ISBLANK(LogTable2023[[#This Row],[Status_i]]), "", LogTable2023[[#This Row],[Status_i]]), LogTable2023[[#This Row],[Status_o]])</f>
        <v>Posted</v>
      </c>
      <c r="T156" t="s">
        <v>295</v>
      </c>
      <c r="U156" t="str">
        <f>IF( _xlfn.IFNA(MATCH(LogTable2023[[#This Row],[My Category]], Buckets!$D$4:$D$35, 0), FALSE), ".", "E")</f>
        <v>.</v>
      </c>
    </row>
    <row r="157" spans="1:22" hidden="1" x14ac:dyDescent="0.25">
      <c r="A157" s="4">
        <v>45201</v>
      </c>
      <c r="B157" s="5" t="s">
        <v>141</v>
      </c>
      <c r="C157" s="5" t="s">
        <v>142</v>
      </c>
      <c r="D157" s="5" t="s">
        <v>27</v>
      </c>
      <c r="E157" s="5">
        <v>-7.08</v>
      </c>
      <c r="F157" s="5" t="s">
        <v>9</v>
      </c>
      <c r="G157" s="5" t="s">
        <v>195</v>
      </c>
      <c r="H157" s="5"/>
      <c r="I157" s="5"/>
      <c r="J157" s="5"/>
      <c r="K157" s="5"/>
      <c r="L157" s="5"/>
      <c r="M157" s="6"/>
      <c r="N157" s="1">
        <f>IF( ISBLANK(LogTable2023[[#This Row],[Date_o]]), IF(ISBLANK(LogTable2023[[#This Row],[Date_i]]), "", LogTable2023[[#This Row],[Date_i]]), LogTable2023[[#This Row],[Date_o]])</f>
        <v>45201</v>
      </c>
      <c r="O157" t="str">
        <f>IF( ISBLANK(LogTable2023[[#This Row],[Description_o]]), IF(ISBLANK(LogTable2023[[#This Row],[Description_i]]), "", LogTable2023[[#This Row],[Description_i]]), LogTable2023[[#This Row],[Description_o]])</f>
        <v>High Point Creamery</v>
      </c>
      <c r="P157" t="str">
        <f>IF( ISBLANK(LogTable2023[[#This Row],[Original Description_o]]), IF(ISBLANK(LogTable2023[[#This Row],[Original Description_i]]), "", LogTable2023[[#This Row],[Original Description_i]]), LogTable2023[[#This Row],[Original Description_o]])</f>
        <v>SQ *HIGH POINT CREAMERY  Denver       CO</v>
      </c>
      <c r="Q157" t="str">
        <f>IF( ISBLANK(LogTable2023[[#This Row],[Category_o]]), IF(ISBLANK(LogTable2023[[#This Row],[Category_i]]), "", LogTable2023[[#This Row],[Category_i]]), LogTable2023[[#This Row],[Category_o]])</f>
        <v>Fast Food</v>
      </c>
      <c r="R157" s="10">
        <f>IF( ISBLANK(LogTable2023[[#This Row],[Amount_o]]), IF(ISBLANK(LogTable2023[[#This Row],[Amount_i]]), "", LogTable2023[[#This Row],[Amount_i]]), LogTable2023[[#This Row],[Amount_o]])</f>
        <v>-7.08</v>
      </c>
      <c r="S157" s="1" t="str">
        <f>IF( ISBLANK(LogTable2023[[#This Row],[Status_o]]), IF(ISBLANK(LogTable2023[[#This Row],[Status_i]]), "", LogTable2023[[#This Row],[Status_i]]), LogTable2023[[#This Row],[Status_o]])</f>
        <v>Posted</v>
      </c>
      <c r="T157" t="s">
        <v>348</v>
      </c>
      <c r="U157" t="str">
        <f>IF( _xlfn.IFNA(MATCH(LogTable2023[[#This Row],[My Category]], Buckets!$D$4:$D$35, 0), FALSE), ".", "E")</f>
        <v>.</v>
      </c>
    </row>
    <row r="158" spans="1:22" hidden="1" x14ac:dyDescent="0.25">
      <c r="A158" s="4">
        <v>45201</v>
      </c>
      <c r="B158" s="5" t="s">
        <v>55</v>
      </c>
      <c r="C158" s="5" t="s">
        <v>56</v>
      </c>
      <c r="D158" s="5" t="s">
        <v>27</v>
      </c>
      <c r="E158" s="5">
        <v>-19.43</v>
      </c>
      <c r="F158" s="5" t="s">
        <v>9</v>
      </c>
      <c r="G158" s="5" t="s">
        <v>195</v>
      </c>
      <c r="H158" s="5"/>
      <c r="I158" s="5"/>
      <c r="J158" s="5"/>
      <c r="K158" s="5"/>
      <c r="L158" s="5"/>
      <c r="M158" s="6"/>
      <c r="N158" s="1">
        <f>IF( ISBLANK(LogTable2023[[#This Row],[Date_o]]), IF(ISBLANK(LogTable2023[[#This Row],[Date_i]]), "", LogTable2023[[#This Row],[Date_i]]), LogTable2023[[#This Row],[Date_o]])</f>
        <v>45201</v>
      </c>
      <c r="O158" t="str">
        <f>IF( ISBLANK(LogTable2023[[#This Row],[Description_o]]), IF(ISBLANK(LogTable2023[[#This Row],[Description_i]]), "", LogTable2023[[#This Row],[Description_i]]), LogTable2023[[#This Row],[Description_o]])</f>
        <v>The Pasty Republic</v>
      </c>
      <c r="P158" t="str">
        <f>IF( ISBLANK(LogTable2023[[#This Row],[Original Description_o]]), IF(ISBLANK(LogTable2023[[#This Row],[Original Description_i]]), "", LogTable2023[[#This Row],[Original Description_i]]), LogTable2023[[#This Row],[Original Description_o]])</f>
        <v>SQ *THE PASTY REPUBLIC   Denver       CO</v>
      </c>
      <c r="Q158" t="str">
        <f>IF( ISBLANK(LogTable2023[[#This Row],[Category_o]]), IF(ISBLANK(LogTable2023[[#This Row],[Category_i]]), "", LogTable2023[[#This Row],[Category_i]]), LogTable2023[[#This Row],[Category_o]])</f>
        <v>Fast Food</v>
      </c>
      <c r="R158" s="10">
        <f>IF( ISBLANK(LogTable2023[[#This Row],[Amount_o]]), IF(ISBLANK(LogTable2023[[#This Row],[Amount_i]]), "", LogTable2023[[#This Row],[Amount_i]]), LogTable2023[[#This Row],[Amount_o]])</f>
        <v>-19.43</v>
      </c>
      <c r="S158" s="1" t="str">
        <f>IF( ISBLANK(LogTable2023[[#This Row],[Status_o]]), IF(ISBLANK(LogTable2023[[#This Row],[Status_i]]), "", LogTable2023[[#This Row],[Status_i]]), LogTable2023[[#This Row],[Status_o]])</f>
        <v>Posted</v>
      </c>
      <c r="T158" t="s">
        <v>348</v>
      </c>
      <c r="U158" t="str">
        <f>IF( _xlfn.IFNA(MATCH(LogTable2023[[#This Row],[My Category]], Buckets!$D$4:$D$35, 0), FALSE), ".", "E")</f>
        <v>.</v>
      </c>
    </row>
    <row r="159" spans="1:22" hidden="1" x14ac:dyDescent="0.25">
      <c r="A159" s="4">
        <v>45201</v>
      </c>
      <c r="B159" s="5" t="s">
        <v>143</v>
      </c>
      <c r="C159" s="5" t="s">
        <v>144</v>
      </c>
      <c r="D159" s="5" t="s">
        <v>18</v>
      </c>
      <c r="E159" s="5">
        <v>-25</v>
      </c>
      <c r="F159" s="5" t="s">
        <v>9</v>
      </c>
      <c r="G159" s="5" t="s">
        <v>195</v>
      </c>
      <c r="H159" s="5"/>
      <c r="I159" s="5"/>
      <c r="J159" s="5"/>
      <c r="K159" s="5"/>
      <c r="L159" s="5"/>
      <c r="M159" s="6"/>
      <c r="N159" s="1">
        <f>IF( ISBLANK(LogTable2023[[#This Row],[Date_o]]), IF(ISBLANK(LogTable2023[[#This Row],[Date_i]]), "", LogTable2023[[#This Row],[Date_i]]), LogTable2023[[#This Row],[Date_o]])</f>
        <v>45201</v>
      </c>
      <c r="O159" t="str">
        <f>IF( ISBLANK(LogTable2023[[#This Row],[Description_o]]), IF(ISBLANK(LogTable2023[[#This Row],[Description_i]]), "", LogTable2023[[#This Row],[Description_i]]), LogTable2023[[#This Row],[Description_o]])</f>
        <v>Pear Ring</v>
      </c>
      <c r="P159" t="str">
        <f>IF( ISBLANK(LogTable2023[[#This Row],[Original Description_o]]), IF(ISBLANK(LogTable2023[[#This Row],[Original Description_i]]), "", LogTable2023[[#This Row],[Original Description_i]]), LogTable2023[[#This Row],[Original Description_o]])</f>
        <v>PAYPAL *PEAR RING        35314369001  GB</v>
      </c>
      <c r="Q159" t="str">
        <f>IF( ISBLANK(LogTable2023[[#This Row],[Category_o]]), IF(ISBLANK(LogTable2023[[#This Row],[Category_i]]), "", LogTable2023[[#This Row],[Category_i]]), LogTable2023[[#This Row],[Category_o]])</f>
        <v>Clothing</v>
      </c>
      <c r="R159" s="10">
        <f>IF( ISBLANK(LogTable2023[[#This Row],[Amount_o]]), IF(ISBLANK(LogTable2023[[#This Row],[Amount_i]]), "", LogTable2023[[#This Row],[Amount_i]]), LogTable2023[[#This Row],[Amount_o]])</f>
        <v>-25</v>
      </c>
      <c r="S159" s="1" t="str">
        <f>IF( ISBLANK(LogTable2023[[#This Row],[Status_o]]), IF(ISBLANK(LogTable2023[[#This Row],[Status_i]]), "", LogTable2023[[#This Row],[Status_i]]), LogTable2023[[#This Row],[Status_o]])</f>
        <v>Posted</v>
      </c>
      <c r="T159" t="s">
        <v>287</v>
      </c>
      <c r="U159" t="str">
        <f>IF( _xlfn.IFNA(MATCH(LogTable2023[[#This Row],[My Category]], Buckets!$D$4:$D$35, 0), FALSE), ".", "E")</f>
        <v>.</v>
      </c>
    </row>
    <row r="160" spans="1:22" hidden="1" x14ac:dyDescent="0.25">
      <c r="A160" s="4">
        <v>45201</v>
      </c>
      <c r="B160" s="5" t="s">
        <v>145</v>
      </c>
      <c r="C160" s="5" t="s">
        <v>146</v>
      </c>
      <c r="D160" s="5" t="s">
        <v>47</v>
      </c>
      <c r="E160" s="5">
        <v>-12.28</v>
      </c>
      <c r="F160" s="5" t="s">
        <v>9</v>
      </c>
      <c r="G160" s="5" t="s">
        <v>195</v>
      </c>
      <c r="H160" s="5"/>
      <c r="I160" s="5"/>
      <c r="J160" s="5"/>
      <c r="K160" s="5"/>
      <c r="L160" s="5"/>
      <c r="M160" s="6"/>
      <c r="N160" s="1">
        <f>IF( ISBLANK(LogTable2023[[#This Row],[Date_o]]), IF(ISBLANK(LogTable2023[[#This Row],[Date_i]]), "", LogTable2023[[#This Row],[Date_i]]), LogTable2023[[#This Row],[Date_o]])</f>
        <v>45201</v>
      </c>
      <c r="O160" t="str">
        <f>IF( ISBLANK(LogTable2023[[#This Row],[Description_o]]), IF(ISBLANK(LogTable2023[[#This Row],[Description_i]]), "", LogTable2023[[#This Row],[Description_i]]), LogTable2023[[#This Row],[Description_o]])</f>
        <v>Bakery Four</v>
      </c>
      <c r="P160" t="str">
        <f>IF( ISBLANK(LogTable2023[[#This Row],[Original Description_o]]), IF(ISBLANK(LogTable2023[[#This Row],[Original Description_i]]), "", LogTable2023[[#This Row],[Original Description_i]]), LogTable2023[[#This Row],[Original Description_o]])</f>
        <v>TST* BAKERY FOUR         DENVER       CO</v>
      </c>
      <c r="Q160" t="str">
        <f>IF( ISBLANK(LogTable2023[[#This Row],[Category_o]]), IF(ISBLANK(LogTable2023[[#This Row],[Category_i]]), "", LogTable2023[[#This Row],[Category_i]]), LogTable2023[[#This Row],[Category_o]])</f>
        <v>Food &amp; Dining</v>
      </c>
      <c r="R160" s="10">
        <f>IF( ISBLANK(LogTable2023[[#This Row],[Amount_o]]), IF(ISBLANK(LogTable2023[[#This Row],[Amount_i]]), "", LogTable2023[[#This Row],[Amount_i]]), LogTable2023[[#This Row],[Amount_o]])</f>
        <v>-12.28</v>
      </c>
      <c r="S160" s="1" t="str">
        <f>IF( ISBLANK(LogTable2023[[#This Row],[Status_o]]), IF(ISBLANK(LogTable2023[[#This Row],[Status_i]]), "", LogTable2023[[#This Row],[Status_i]]), LogTable2023[[#This Row],[Status_o]])</f>
        <v>Posted</v>
      </c>
      <c r="T160" t="s">
        <v>348</v>
      </c>
      <c r="U160" t="str">
        <f>IF( _xlfn.IFNA(MATCH(LogTable2023[[#This Row],[My Category]], Buckets!$D$4:$D$35, 0), FALSE), ".", "E")</f>
        <v>.</v>
      </c>
    </row>
    <row r="161" spans="1:22" hidden="1" x14ac:dyDescent="0.25">
      <c r="A161" s="4">
        <v>45200</v>
      </c>
      <c r="B161" s="5" t="s">
        <v>147</v>
      </c>
      <c r="C161" s="5" t="s">
        <v>148</v>
      </c>
      <c r="D161" s="5" t="s">
        <v>15</v>
      </c>
      <c r="E161" s="5">
        <v>-13</v>
      </c>
      <c r="F161" s="5" t="s">
        <v>9</v>
      </c>
      <c r="G161" s="5" t="s">
        <v>195</v>
      </c>
      <c r="H161" s="5"/>
      <c r="I161" s="5"/>
      <c r="J161" s="5"/>
      <c r="K161" s="5"/>
      <c r="L161" s="5"/>
      <c r="M161" s="6"/>
      <c r="N161" s="1">
        <f>IF( ISBLANK(LogTable2023[[#This Row],[Date_o]]), IF(ISBLANK(LogTable2023[[#This Row],[Date_i]]), "", LogTable2023[[#This Row],[Date_i]]), LogTable2023[[#This Row],[Date_o]])</f>
        <v>45200</v>
      </c>
      <c r="O161" t="str">
        <f>IF( ISBLANK(LogTable2023[[#This Row],[Description_o]]), IF(ISBLANK(LogTable2023[[#This Row],[Description_i]]), "", LogTable2023[[#This Row],[Description_i]]), LogTable2023[[#This Row],[Description_o]])</f>
        <v>Denver Cat Company</v>
      </c>
      <c r="P161" t="str">
        <f>IF( ISBLANK(LogTable2023[[#This Row],[Original Description_o]]), IF(ISBLANK(LogTable2023[[#This Row],[Original Description_i]]), "", LogTable2023[[#This Row],[Original Description_i]]), LogTable2023[[#This Row],[Original Description_o]])</f>
        <v>SQ *DENVER CAT COMPANY   Denver       CO</v>
      </c>
      <c r="Q161" t="str">
        <f>IF( ISBLANK(LogTable2023[[#This Row],[Category_o]]), IF(ISBLANK(LogTable2023[[#This Row],[Category_i]]), "", LogTable2023[[#This Row],[Category_i]]), LogTable2023[[#This Row],[Category_o]])</f>
        <v>Groceries</v>
      </c>
      <c r="R161" s="10">
        <f>IF( ISBLANK(LogTable2023[[#This Row],[Amount_o]]), IF(ISBLANK(LogTable2023[[#This Row],[Amount_i]]), "", LogTable2023[[#This Row],[Amount_i]]), LogTable2023[[#This Row],[Amount_o]])</f>
        <v>-13</v>
      </c>
      <c r="S161" s="1" t="str">
        <f>IF( ISBLANK(LogTable2023[[#This Row],[Status_o]]), IF(ISBLANK(LogTable2023[[#This Row],[Status_i]]), "", LogTable2023[[#This Row],[Status_i]]), LogTable2023[[#This Row],[Status_o]])</f>
        <v>Posted</v>
      </c>
      <c r="T161" t="s">
        <v>337</v>
      </c>
      <c r="U161" t="str">
        <f>IF( _xlfn.IFNA(MATCH(LogTable2023[[#This Row],[My Category]], Buckets!$D$4:$D$35, 0), FALSE), ".", "E")</f>
        <v>.</v>
      </c>
      <c r="V161" t="s">
        <v>350</v>
      </c>
    </row>
    <row r="162" spans="1:22" hidden="1" x14ac:dyDescent="0.25">
      <c r="A162" s="4">
        <v>45200</v>
      </c>
      <c r="B162" s="5" t="s">
        <v>69</v>
      </c>
      <c r="C162" s="5" t="s">
        <v>70</v>
      </c>
      <c r="D162" s="5" t="s">
        <v>21</v>
      </c>
      <c r="E162" s="5">
        <v>-33.81</v>
      </c>
      <c r="F162" s="5" t="s">
        <v>9</v>
      </c>
      <c r="G162" s="5" t="s">
        <v>195</v>
      </c>
      <c r="H162" s="5"/>
      <c r="I162" s="5"/>
      <c r="J162" s="5"/>
      <c r="K162" s="5"/>
      <c r="L162" s="5"/>
      <c r="M162" s="6"/>
      <c r="N162" s="1">
        <f>IF( ISBLANK(LogTable2023[[#This Row],[Date_o]]), IF(ISBLANK(LogTable2023[[#This Row],[Date_i]]), "", LogTable2023[[#This Row],[Date_i]]), LogTable2023[[#This Row],[Date_o]])</f>
        <v>45200</v>
      </c>
      <c r="O162" t="str">
        <f>IF( ISBLANK(LogTable2023[[#This Row],[Description_o]]), IF(ISBLANK(LogTable2023[[#This Row],[Description_i]]), "", LogTable2023[[#This Row],[Description_i]]), LogTable2023[[#This Row],[Description_o]])</f>
        <v>Post Oak Bbq</v>
      </c>
      <c r="P162" t="str">
        <f>IF( ISBLANK(LogTable2023[[#This Row],[Original Description_o]]), IF(ISBLANK(LogTable2023[[#This Row],[Original Description_i]]), "", LogTable2023[[#This Row],[Original Description_i]]), LogTable2023[[#This Row],[Original Description_o]])</f>
        <v>TST* POST OAK BBQ        DENVER       CO</v>
      </c>
      <c r="Q162" t="str">
        <f>IF( ISBLANK(LogTable2023[[#This Row],[Category_o]]), IF(ISBLANK(LogTable2023[[#This Row],[Category_i]]), "", LogTable2023[[#This Row],[Category_i]]), LogTable2023[[#This Row],[Category_o]])</f>
        <v>Restaurants</v>
      </c>
      <c r="R162" s="10">
        <f>IF( ISBLANK(LogTable2023[[#This Row],[Amount_o]]), IF(ISBLANK(LogTable2023[[#This Row],[Amount_i]]), "", LogTable2023[[#This Row],[Amount_i]]), LogTable2023[[#This Row],[Amount_o]])</f>
        <v>-33.81</v>
      </c>
      <c r="S162" s="1" t="str">
        <f>IF( ISBLANK(LogTable2023[[#This Row],[Status_o]]), IF(ISBLANK(LogTable2023[[#This Row],[Status_i]]), "", LogTable2023[[#This Row],[Status_i]]), LogTable2023[[#This Row],[Status_o]])</f>
        <v>Posted</v>
      </c>
      <c r="T162" t="s">
        <v>348</v>
      </c>
      <c r="U162" t="str">
        <f>IF( _xlfn.IFNA(MATCH(LogTable2023[[#This Row],[My Category]], Buckets!$D$4:$D$35, 0), FALSE), ".", "E")</f>
        <v>.</v>
      </c>
    </row>
    <row r="163" spans="1:22" hidden="1" x14ac:dyDescent="0.25">
      <c r="A163" s="4">
        <v>45199</v>
      </c>
      <c r="B163" s="5" t="s">
        <v>108</v>
      </c>
      <c r="C163" s="5" t="s">
        <v>109</v>
      </c>
      <c r="D163" s="5" t="s">
        <v>73</v>
      </c>
      <c r="E163" s="5">
        <v>25</v>
      </c>
      <c r="F163" s="5" t="s">
        <v>9</v>
      </c>
      <c r="G163" s="5" t="s">
        <v>195</v>
      </c>
      <c r="H163" s="5"/>
      <c r="I163" s="5"/>
      <c r="J163" s="5"/>
      <c r="K163" s="5"/>
      <c r="L163" s="5"/>
      <c r="M163" s="6"/>
      <c r="N163" s="1">
        <f>IF( ISBLANK(LogTable2023[[#This Row],[Date_o]]), IF(ISBLANK(LogTable2023[[#This Row],[Date_i]]), "", LogTable2023[[#This Row],[Date_i]]), LogTable2023[[#This Row],[Date_o]])</f>
        <v>45199</v>
      </c>
      <c r="O163" t="str">
        <f>IF( ISBLANK(LogTable2023[[#This Row],[Description_o]]), IF(ISBLANK(LogTable2023[[#This Row],[Description_i]]), "", LogTable2023[[#This Row],[Description_i]]), LogTable2023[[#This Row],[Description_o]])</f>
        <v>Recurring Reward Points Redemption</v>
      </c>
      <c r="P163" t="str">
        <f>IF( ISBLANK(LogTable2023[[#This Row],[Original Description_o]]), IF(ISBLANK(LogTable2023[[#This Row],[Original Description_i]]), "", LogTable2023[[#This Row],[Original Description_i]]), LogTable2023[[#This Row],[Original Description_o]])</f>
        <v>RECURRING REWARD POINTS REDEMPTION</v>
      </c>
      <c r="Q163" t="str">
        <f>IF( ISBLANK(LogTable2023[[#This Row],[Category_o]]), IF(ISBLANK(LogTable2023[[#This Row],[Category_i]]), "", LogTable2023[[#This Row],[Category_i]]), LogTable2023[[#This Row],[Category_o]])</f>
        <v>Transfer</v>
      </c>
      <c r="R163" s="10">
        <f>IF( ISBLANK(LogTable2023[[#This Row],[Amount_o]]), IF(ISBLANK(LogTable2023[[#This Row],[Amount_i]]), "", LogTable2023[[#This Row],[Amount_i]]), LogTable2023[[#This Row],[Amount_o]])</f>
        <v>25</v>
      </c>
      <c r="S163" s="1" t="str">
        <f>IF( ISBLANK(LogTable2023[[#This Row],[Status_o]]), IF(ISBLANK(LogTable2023[[#This Row],[Status_i]]), "", LogTable2023[[#This Row],[Status_i]]), LogTable2023[[#This Row],[Status_o]])</f>
        <v>Posted</v>
      </c>
      <c r="T163" t="s">
        <v>306</v>
      </c>
      <c r="U163" t="str">
        <f>IF( _xlfn.IFNA(MATCH(LogTable2023[[#This Row],[My Category]], Buckets!$D$4:$D$35, 0), FALSE), ".", "E")</f>
        <v>.</v>
      </c>
    </row>
    <row r="164" spans="1:22" hidden="1" x14ac:dyDescent="0.25">
      <c r="A164" s="4">
        <v>45198</v>
      </c>
      <c r="B164" s="5" t="s">
        <v>149</v>
      </c>
      <c r="C164" s="5" t="s">
        <v>150</v>
      </c>
      <c r="D164" s="5" t="s">
        <v>151</v>
      </c>
      <c r="E164" s="5">
        <v>-176.25</v>
      </c>
      <c r="F164" s="5" t="s">
        <v>9</v>
      </c>
      <c r="G164" s="5" t="s">
        <v>195</v>
      </c>
      <c r="H164" s="5"/>
      <c r="I164" s="5"/>
      <c r="J164" s="5"/>
      <c r="K164" s="5"/>
      <c r="L164" s="5"/>
      <c r="M164" s="6"/>
      <c r="N164" s="1">
        <f>IF( ISBLANK(LogTable2023[[#This Row],[Date_o]]), IF(ISBLANK(LogTable2023[[#This Row],[Date_i]]), "", LogTable2023[[#This Row],[Date_i]]), LogTable2023[[#This Row],[Date_o]])</f>
        <v>45198</v>
      </c>
      <c r="O164" t="str">
        <f>IF( ISBLANK(LogTable2023[[#This Row],[Description_o]]), IF(ISBLANK(LogTable2023[[#This Row],[Description_i]]), "", LogTable2023[[#This Row],[Description_i]]), LogTable2023[[#This Row],[Description_o]])</f>
        <v>Buckets Cleaning</v>
      </c>
      <c r="P164" t="str">
        <f>IF( ISBLANK(LogTable2023[[#This Row],[Original Description_o]]), IF(ISBLANK(LogTable2023[[#This Row],[Original Description_i]]), "", LogTable2023[[#This Row],[Original Description_i]]), LogTable2023[[#This Row],[Original Description_o]])</f>
        <v>SQ *2 BUCKETS CLEANING   gosq.com     CO</v>
      </c>
      <c r="Q164" t="str">
        <f>IF( ISBLANK(LogTable2023[[#This Row],[Category_o]]), IF(ISBLANK(LogTable2023[[#This Row],[Category_i]]), "", LogTable2023[[#This Row],[Category_i]]), LogTable2023[[#This Row],[Category_o]])</f>
        <v>Home</v>
      </c>
      <c r="R164" s="10">
        <f>IF( ISBLANK(LogTable2023[[#This Row],[Amount_o]]), IF(ISBLANK(LogTable2023[[#This Row],[Amount_i]]), "", LogTable2023[[#This Row],[Amount_i]]), LogTable2023[[#This Row],[Amount_o]])</f>
        <v>-176.25</v>
      </c>
      <c r="S164" s="1" t="str">
        <f>IF( ISBLANK(LogTable2023[[#This Row],[Status_o]]), IF(ISBLANK(LogTable2023[[#This Row],[Status_i]]), "", LogTable2023[[#This Row],[Status_i]]), LogTable2023[[#This Row],[Status_o]])</f>
        <v>Posted</v>
      </c>
      <c r="T164" t="s">
        <v>295</v>
      </c>
      <c r="U164" t="str">
        <f>IF( _xlfn.IFNA(MATCH(LogTable2023[[#This Row],[My Category]], Buckets!$D$4:$D$35, 0), FALSE), ".", "E")</f>
        <v>.</v>
      </c>
      <c r="V164" t="s">
        <v>351</v>
      </c>
    </row>
    <row r="165" spans="1:22" hidden="1" x14ac:dyDescent="0.25">
      <c r="A165" s="4">
        <v>45198</v>
      </c>
      <c r="B165" s="5" t="s">
        <v>19</v>
      </c>
      <c r="C165" s="5" t="s">
        <v>20</v>
      </c>
      <c r="D165" s="5" t="s">
        <v>21</v>
      </c>
      <c r="E165" s="5">
        <v>-14.09</v>
      </c>
      <c r="F165" s="5" t="s">
        <v>9</v>
      </c>
      <c r="G165" s="5" t="s">
        <v>195</v>
      </c>
      <c r="H165" s="5"/>
      <c r="I165" s="5"/>
      <c r="J165" s="5"/>
      <c r="K165" s="5"/>
      <c r="L165" s="5"/>
      <c r="M165" s="6"/>
      <c r="N165" s="1">
        <f>IF( ISBLANK(LogTable2023[[#This Row],[Date_o]]), IF(ISBLANK(LogTable2023[[#This Row],[Date_i]]), "", LogTable2023[[#This Row],[Date_i]]), LogTable2023[[#This Row],[Date_o]])</f>
        <v>45198</v>
      </c>
      <c r="O165" t="str">
        <f>IF( ISBLANK(LogTable2023[[#This Row],[Description_o]]), IF(ISBLANK(LogTable2023[[#This Row],[Description_i]]), "", LogTable2023[[#This Row],[Description_i]]), LogTable2023[[#This Row],[Description_o]])</f>
        <v>Mad Greens</v>
      </c>
      <c r="P165" t="str">
        <f>IF( ISBLANK(LogTable2023[[#This Row],[Original Description_o]]), IF(ISBLANK(LogTable2023[[#This Row],[Original Description_i]]), "", LogTable2023[[#This Row],[Original Description_i]]), LogTable2023[[#This Row],[Original Description_o]])</f>
        <v>MAD GREENS MG0115        WESTMINSTER  CO</v>
      </c>
      <c r="Q165" t="str">
        <f>IF( ISBLANK(LogTable2023[[#This Row],[Category_o]]), IF(ISBLANK(LogTable2023[[#This Row],[Category_i]]), "", LogTable2023[[#This Row],[Category_i]]), LogTable2023[[#This Row],[Category_o]])</f>
        <v>Restaurants</v>
      </c>
      <c r="R165" s="10">
        <f>IF( ISBLANK(LogTable2023[[#This Row],[Amount_o]]), IF(ISBLANK(LogTable2023[[#This Row],[Amount_i]]), "", LogTable2023[[#This Row],[Amount_i]]), LogTable2023[[#This Row],[Amount_o]])</f>
        <v>-14.09</v>
      </c>
      <c r="S165" s="1" t="str">
        <f>IF( ISBLANK(LogTable2023[[#This Row],[Status_o]]), IF(ISBLANK(LogTable2023[[#This Row],[Status_i]]), "", LogTable2023[[#This Row],[Status_i]]), LogTable2023[[#This Row],[Status_o]])</f>
        <v>Posted</v>
      </c>
      <c r="T165" t="s">
        <v>348</v>
      </c>
      <c r="U165" t="str">
        <f>IF( _xlfn.IFNA(MATCH(LogTable2023[[#This Row],[My Category]], Buckets!$D$4:$D$35, 0), FALSE), ".", "E")</f>
        <v>.</v>
      </c>
    </row>
    <row r="166" spans="1:22" hidden="1" x14ac:dyDescent="0.25">
      <c r="A166" s="4">
        <v>45197</v>
      </c>
      <c r="B166" s="5" t="s">
        <v>57</v>
      </c>
      <c r="C166" s="5" t="s">
        <v>58</v>
      </c>
      <c r="D166" s="5" t="s">
        <v>47</v>
      </c>
      <c r="E166" s="5">
        <v>-16.170000000000002</v>
      </c>
      <c r="F166" s="5" t="s">
        <v>9</v>
      </c>
      <c r="G166" s="5" t="s">
        <v>195</v>
      </c>
      <c r="H166" s="5"/>
      <c r="I166" s="5"/>
      <c r="J166" s="5"/>
      <c r="K166" s="5"/>
      <c r="L166" s="5"/>
      <c r="M166" s="6"/>
      <c r="N166" s="1">
        <f>IF( ISBLANK(LogTable2023[[#This Row],[Date_o]]), IF(ISBLANK(LogTable2023[[#This Row],[Date_i]]), "", LogTable2023[[#This Row],[Date_i]]), LogTable2023[[#This Row],[Date_o]])</f>
        <v>45197</v>
      </c>
      <c r="O166" t="str">
        <f>IF( ISBLANK(LogTable2023[[#This Row],[Description_o]]), IF(ISBLANK(LogTable2023[[#This Row],[Description_i]]), "", LogTable2023[[#This Row],[Description_i]]), LogTable2023[[#This Row],[Description_o]])</f>
        <v>Mugi Ramen and Poke</v>
      </c>
      <c r="P166" t="str">
        <f>IF( ISBLANK(LogTable2023[[#This Row],[Original Description_o]]), IF(ISBLANK(LogTable2023[[#This Row],[Original Description_i]]), "", LogTable2023[[#This Row],[Original Description_i]]), LogTable2023[[#This Row],[Original Description_o]])</f>
        <v>MUGI RAMEN AND POKE      WESTMINSTER  CO</v>
      </c>
      <c r="Q166" t="str">
        <f>IF( ISBLANK(LogTable2023[[#This Row],[Category_o]]), IF(ISBLANK(LogTable2023[[#This Row],[Category_i]]), "", LogTable2023[[#This Row],[Category_i]]), LogTable2023[[#This Row],[Category_o]])</f>
        <v>Food &amp; Dining</v>
      </c>
      <c r="R166" s="10">
        <f>IF( ISBLANK(LogTable2023[[#This Row],[Amount_o]]), IF(ISBLANK(LogTable2023[[#This Row],[Amount_i]]), "", LogTable2023[[#This Row],[Amount_i]]), LogTable2023[[#This Row],[Amount_o]])</f>
        <v>-16.170000000000002</v>
      </c>
      <c r="S166" s="1" t="str">
        <f>IF( ISBLANK(LogTable2023[[#This Row],[Status_o]]), IF(ISBLANK(LogTable2023[[#This Row],[Status_i]]), "", LogTable2023[[#This Row],[Status_i]]), LogTable2023[[#This Row],[Status_o]])</f>
        <v>Posted</v>
      </c>
      <c r="T166" t="s">
        <v>348</v>
      </c>
      <c r="U166" t="str">
        <f>IF( _xlfn.IFNA(MATCH(LogTable2023[[#This Row],[My Category]], Buckets!$D$4:$D$35, 0), FALSE), ".", "E")</f>
        <v>.</v>
      </c>
    </row>
    <row r="167" spans="1:22" hidden="1" x14ac:dyDescent="0.25">
      <c r="A167" s="4">
        <v>45197</v>
      </c>
      <c r="B167" s="5" t="s">
        <v>64</v>
      </c>
      <c r="C167" s="5" t="s">
        <v>65</v>
      </c>
      <c r="D167" s="5" t="s">
        <v>39</v>
      </c>
      <c r="E167" s="5">
        <v>-37.159999999999997</v>
      </c>
      <c r="F167" s="5" t="s">
        <v>9</v>
      </c>
      <c r="G167" s="5" t="s">
        <v>195</v>
      </c>
      <c r="H167" s="5"/>
      <c r="I167" s="5"/>
      <c r="J167" s="5"/>
      <c r="K167" s="5"/>
      <c r="L167" s="5"/>
      <c r="M167" s="6"/>
      <c r="N167" s="1">
        <f>IF( ISBLANK(LogTable2023[[#This Row],[Date_o]]), IF(ISBLANK(LogTable2023[[#This Row],[Date_i]]), "", LogTable2023[[#This Row],[Date_i]]), LogTable2023[[#This Row],[Date_o]])</f>
        <v>45197</v>
      </c>
      <c r="O167" t="str">
        <f>IF( ISBLANK(LogTable2023[[#This Row],[Description_o]]), IF(ISBLANK(LogTable2023[[#This Row],[Description_i]]), "", LogTable2023[[#This Row],[Description_i]]), LogTable2023[[#This Row],[Description_o]])</f>
        <v>Conoco</v>
      </c>
      <c r="P167" t="str">
        <f>IF( ISBLANK(LogTable2023[[#This Row],[Original Description_o]]), IF(ISBLANK(LogTable2023[[#This Row],[Original Description_i]]), "", LogTable2023[[#This Row],[Original Description_i]]), LogTable2023[[#This Row],[Original Description_o]])</f>
        <v>CONOCO - SEI 25325       WESTMINSTER  CO</v>
      </c>
      <c r="Q167" t="str">
        <f>IF( ISBLANK(LogTable2023[[#This Row],[Category_o]]), IF(ISBLANK(LogTable2023[[#This Row],[Category_i]]), "", LogTable2023[[#This Row],[Category_i]]), LogTable2023[[#This Row],[Category_o]])</f>
        <v>Gas</v>
      </c>
      <c r="R167" s="10">
        <f>IF( ISBLANK(LogTable2023[[#This Row],[Amount_o]]), IF(ISBLANK(LogTable2023[[#This Row],[Amount_i]]), "", LogTable2023[[#This Row],[Amount_i]]), LogTable2023[[#This Row],[Amount_o]])</f>
        <v>-37.159999999999997</v>
      </c>
      <c r="S167" s="1" t="str">
        <f>IF( ISBLANK(LogTable2023[[#This Row],[Status_o]]), IF(ISBLANK(LogTable2023[[#This Row],[Status_i]]), "", LogTable2023[[#This Row],[Status_i]]), LogTable2023[[#This Row],[Status_o]])</f>
        <v>Posted</v>
      </c>
      <c r="T167" t="s">
        <v>283</v>
      </c>
      <c r="U167" t="str">
        <f>IF( _xlfn.IFNA(MATCH(LogTable2023[[#This Row],[My Category]], Buckets!$D$4:$D$35, 0), FALSE), ".", "E")</f>
        <v>.</v>
      </c>
    </row>
    <row r="168" spans="1:22" hidden="1" x14ac:dyDescent="0.25">
      <c r="A168" s="4">
        <v>45197</v>
      </c>
      <c r="B168" s="5" t="s">
        <v>196</v>
      </c>
      <c r="C168" s="5" t="s">
        <v>197</v>
      </c>
      <c r="D168" s="5" t="s">
        <v>198</v>
      </c>
      <c r="E168" s="5">
        <v>5579.1</v>
      </c>
      <c r="F168" s="5" t="s">
        <v>9</v>
      </c>
      <c r="G168" s="5" t="s">
        <v>269</v>
      </c>
      <c r="H168" s="5"/>
      <c r="I168" s="5"/>
      <c r="J168" s="5"/>
      <c r="K168" s="5"/>
      <c r="L168" s="5"/>
      <c r="M168" s="6"/>
      <c r="N168" s="1">
        <f>IF( ISBLANK(LogTable2023[[#This Row],[Date_o]]), IF(ISBLANK(LogTable2023[[#This Row],[Date_i]]), "", LogTable2023[[#This Row],[Date_i]]), LogTable2023[[#This Row],[Date_o]])</f>
        <v>45197</v>
      </c>
      <c r="O168" t="str">
        <f>IF( ISBLANK(LogTable2023[[#This Row],[Description_o]]), IF(ISBLANK(LogTable2023[[#This Row],[Description_i]]), "", LogTable2023[[#This Row],[Description_i]]), LogTable2023[[#This Row],[Description_o]])</f>
        <v>Insperity</v>
      </c>
      <c r="P168" t="str">
        <f>IF( ISBLANK(LogTable2023[[#This Row],[Original Description_o]]), IF(ISBLANK(LogTable2023[[#This Row],[Original Description_i]]), "", LogTable2023[[#This Row],[Original Description_i]]), LogTable2023[[#This Row],[Original Description_o]])</f>
        <v>ASF, DBA Insperi PAYROLL    ***********5626</v>
      </c>
      <c r="Q168" t="str">
        <f>IF( ISBLANK(LogTable2023[[#This Row],[Category_o]]), IF(ISBLANK(LogTable2023[[#This Row],[Category_i]]), "", LogTable2023[[#This Row],[Category_i]]), LogTable2023[[#This Row],[Category_o]])</f>
        <v>Paycheck</v>
      </c>
      <c r="R168" s="10">
        <f>IF( ISBLANK(LogTable2023[[#This Row],[Amount_o]]), IF(ISBLANK(LogTable2023[[#This Row],[Amount_i]]), "", LogTable2023[[#This Row],[Amount_i]]), LogTable2023[[#This Row],[Amount_o]])</f>
        <v>5579.1</v>
      </c>
      <c r="S168" s="1" t="str">
        <f>IF( ISBLANK(LogTable2023[[#This Row],[Status_o]]), IF(ISBLANK(LogTable2023[[#This Row],[Status_i]]), "", LogTable2023[[#This Row],[Status_i]]), LogTable2023[[#This Row],[Status_o]])</f>
        <v>Posted</v>
      </c>
      <c r="T168" t="s">
        <v>305</v>
      </c>
      <c r="U168" t="str">
        <f>IF( _xlfn.IFNA(MATCH(LogTable2023[[#This Row],[My Category]], Buckets!$D$4:$D$35, 0), FALSE), ".", "E")</f>
        <v>.</v>
      </c>
    </row>
    <row r="169" spans="1:22" hidden="1" x14ac:dyDescent="0.25">
      <c r="A169" s="4">
        <v>45196</v>
      </c>
      <c r="B169" s="5" t="s">
        <v>152</v>
      </c>
      <c r="C169" s="5" t="s">
        <v>153</v>
      </c>
      <c r="D169" s="5" t="s">
        <v>154</v>
      </c>
      <c r="E169" s="5">
        <v>-34.869999999999997</v>
      </c>
      <c r="F169" s="5" t="s">
        <v>9</v>
      </c>
      <c r="G169" s="5" t="s">
        <v>195</v>
      </c>
      <c r="H169" s="5"/>
      <c r="I169" s="5"/>
      <c r="J169" s="5"/>
      <c r="K169" s="5"/>
      <c r="L169" s="5"/>
      <c r="M169" s="6"/>
      <c r="N169" s="1">
        <f>IF( ISBLANK(LogTable2023[[#This Row],[Date_o]]), IF(ISBLANK(LogTable2023[[#This Row],[Date_i]]), "", LogTable2023[[#This Row],[Date_i]]), LogTable2023[[#This Row],[Date_o]])</f>
        <v>45196</v>
      </c>
      <c r="O169" t="str">
        <f>IF( ISBLANK(LogTable2023[[#This Row],[Description_o]]), IF(ISBLANK(LogTable2023[[#This Row],[Description_i]]), "", LogTable2023[[#This Row],[Description_i]]), LogTable2023[[#This Row],[Description_o]])</f>
        <v>Mcguckin Hardware</v>
      </c>
      <c r="P169" t="str">
        <f>IF( ISBLANK(LogTable2023[[#This Row],[Original Description_o]]), IF(ISBLANK(LogTable2023[[#This Row],[Original Description_i]]), "", LogTable2023[[#This Row],[Original Description_i]]), LogTable2023[[#This Row],[Original Description_o]])</f>
        <v>MCGUCKIN HARDWARE        BOULDER      CO</v>
      </c>
      <c r="Q169" t="str">
        <f>IF( ISBLANK(LogTable2023[[#This Row],[Category_o]]), IF(ISBLANK(LogTable2023[[#This Row],[Category_i]]), "", LogTable2023[[#This Row],[Category_i]]), LogTable2023[[#This Row],[Category_o]])</f>
        <v>Home Improvement</v>
      </c>
      <c r="R169" s="10">
        <f>IF( ISBLANK(LogTable2023[[#This Row],[Amount_o]]), IF(ISBLANK(LogTable2023[[#This Row],[Amount_i]]), "", LogTable2023[[#This Row],[Amount_i]]), LogTable2023[[#This Row],[Amount_o]])</f>
        <v>-34.869999999999997</v>
      </c>
      <c r="S169" s="1" t="str">
        <f>IF( ISBLANK(LogTable2023[[#This Row],[Status_o]]), IF(ISBLANK(LogTable2023[[#This Row],[Status_i]]), "", LogTable2023[[#This Row],[Status_i]]), LogTable2023[[#This Row],[Status_o]])</f>
        <v>Posted</v>
      </c>
      <c r="T169" t="s">
        <v>295</v>
      </c>
      <c r="U169" t="str">
        <f>IF( _xlfn.IFNA(MATCH(LogTable2023[[#This Row],[My Category]], Buckets!$D$4:$D$35, 0), FALSE), ".", "E")</f>
        <v>.</v>
      </c>
    </row>
    <row r="170" spans="1:22" hidden="1" x14ac:dyDescent="0.25">
      <c r="A170" s="4">
        <v>45196</v>
      </c>
      <c r="B170" s="5" t="s">
        <v>155</v>
      </c>
      <c r="C170" s="5" t="s">
        <v>156</v>
      </c>
      <c r="D170" s="5" t="s">
        <v>157</v>
      </c>
      <c r="E170" s="5">
        <v>-370</v>
      </c>
      <c r="F170" s="5" t="s">
        <v>9</v>
      </c>
      <c r="G170" s="5" t="s">
        <v>195</v>
      </c>
      <c r="H170" s="5"/>
      <c r="I170" s="5"/>
      <c r="J170" s="5"/>
      <c r="K170" s="5"/>
      <c r="L170" s="5"/>
      <c r="M170" s="6"/>
      <c r="N170" s="1">
        <f>IF( ISBLANK(LogTable2023[[#This Row],[Date_o]]), IF(ISBLANK(LogTable2023[[#This Row],[Date_i]]), "", LogTable2023[[#This Row],[Date_i]]), LogTable2023[[#This Row],[Date_o]])</f>
        <v>45196</v>
      </c>
      <c r="O170" t="str">
        <f>IF( ISBLANK(LogTable2023[[#This Row],[Description_o]]), IF(ISBLANK(LogTable2023[[#This Row],[Description_i]]), "", LogTable2023[[#This Row],[Description_i]]), LogTable2023[[#This Row],[Description_o]])</f>
        <v>Aaron George</v>
      </c>
      <c r="P170" t="str">
        <f>IF( ISBLANK(LogTable2023[[#This Row],[Original Description_o]]), IF(ISBLANK(LogTable2023[[#This Row],[Original Description_i]]), "", LogTable2023[[#This Row],[Original Description_i]]), LogTable2023[[#This Row],[Original Description_o]])</f>
        <v>IN *AARON GEORGE         719-6801538  CO</v>
      </c>
      <c r="Q170" t="str">
        <f>IF( ISBLANK(LogTable2023[[#This Row],[Category_o]]), IF(ISBLANK(LogTable2023[[#This Row],[Category_i]]), "", LogTable2023[[#This Row],[Category_i]]), LogTable2023[[#This Row],[Category_o]])</f>
        <v>Shipping</v>
      </c>
      <c r="R170" s="10">
        <f>IF( ISBLANK(LogTable2023[[#This Row],[Amount_o]]), IF(ISBLANK(LogTable2023[[#This Row],[Amount_i]]), "", LogTable2023[[#This Row],[Amount_i]]), LogTable2023[[#This Row],[Amount_o]])</f>
        <v>-370</v>
      </c>
      <c r="S170" s="1" t="str">
        <f>IF( ISBLANK(LogTable2023[[#This Row],[Status_o]]), IF(ISBLANK(LogTable2023[[#This Row],[Status_i]]), "", LogTable2023[[#This Row],[Status_i]]), LogTable2023[[#This Row],[Status_o]])</f>
        <v>Posted</v>
      </c>
      <c r="T170" t="s">
        <v>295</v>
      </c>
      <c r="U170" t="str">
        <f>IF( _xlfn.IFNA(MATCH(LogTable2023[[#This Row],[My Category]], Buckets!$D$4:$D$35, 0), FALSE), ".", "E")</f>
        <v>.</v>
      </c>
      <c r="V170" t="s">
        <v>351</v>
      </c>
    </row>
    <row r="171" spans="1:22" hidden="1" x14ac:dyDescent="0.25">
      <c r="A171" s="4">
        <v>45196</v>
      </c>
      <c r="B171" s="5" t="s">
        <v>149</v>
      </c>
      <c r="C171" s="5" t="s">
        <v>150</v>
      </c>
      <c r="D171" s="5" t="s">
        <v>151</v>
      </c>
      <c r="E171" s="5">
        <v>-156.25</v>
      </c>
      <c r="F171" s="5" t="s">
        <v>9</v>
      </c>
      <c r="G171" s="5" t="s">
        <v>195</v>
      </c>
      <c r="H171" s="5"/>
      <c r="I171" s="5"/>
      <c r="J171" s="5"/>
      <c r="K171" s="5"/>
      <c r="L171" s="5"/>
      <c r="M171" s="6"/>
      <c r="N171" s="1">
        <f>IF( ISBLANK(LogTable2023[[#This Row],[Date_o]]), IF(ISBLANK(LogTable2023[[#This Row],[Date_i]]), "", LogTable2023[[#This Row],[Date_i]]), LogTable2023[[#This Row],[Date_o]])</f>
        <v>45196</v>
      </c>
      <c r="O171" t="str">
        <f>IF( ISBLANK(LogTable2023[[#This Row],[Description_o]]), IF(ISBLANK(LogTable2023[[#This Row],[Description_i]]), "", LogTable2023[[#This Row],[Description_i]]), LogTable2023[[#This Row],[Description_o]])</f>
        <v>Buckets Cleaning</v>
      </c>
      <c r="P171" t="str">
        <f>IF( ISBLANK(LogTable2023[[#This Row],[Original Description_o]]), IF(ISBLANK(LogTable2023[[#This Row],[Original Description_i]]), "", LogTable2023[[#This Row],[Original Description_i]]), LogTable2023[[#This Row],[Original Description_o]])</f>
        <v>SQ *2 BUCKETS CLEANING   gosq.com     CO</v>
      </c>
      <c r="Q171" t="str">
        <f>IF( ISBLANK(LogTable2023[[#This Row],[Category_o]]), IF(ISBLANK(LogTable2023[[#This Row],[Category_i]]), "", LogTable2023[[#This Row],[Category_i]]), LogTable2023[[#This Row],[Category_o]])</f>
        <v>Home</v>
      </c>
      <c r="R171" s="10">
        <f>IF( ISBLANK(LogTable2023[[#This Row],[Amount_o]]), IF(ISBLANK(LogTable2023[[#This Row],[Amount_i]]), "", LogTable2023[[#This Row],[Amount_i]]), LogTable2023[[#This Row],[Amount_o]])</f>
        <v>-156.25</v>
      </c>
      <c r="S171" s="1" t="str">
        <f>IF( ISBLANK(LogTable2023[[#This Row],[Status_o]]), IF(ISBLANK(LogTable2023[[#This Row],[Status_i]]), "", LogTable2023[[#This Row],[Status_i]]), LogTable2023[[#This Row],[Status_o]])</f>
        <v>Posted</v>
      </c>
      <c r="T171" t="s">
        <v>295</v>
      </c>
      <c r="U171" t="str">
        <f>IF( _xlfn.IFNA(MATCH(LogTable2023[[#This Row],[My Category]], Buckets!$D$4:$D$35, 0), FALSE), ".", "E")</f>
        <v>.</v>
      </c>
      <c r="V171" t="s">
        <v>351</v>
      </c>
    </row>
    <row r="172" spans="1:22" hidden="1" x14ac:dyDescent="0.25">
      <c r="A172" s="4">
        <v>45196</v>
      </c>
      <c r="B172" s="5" t="s">
        <v>84</v>
      </c>
      <c r="C172" s="5" t="s">
        <v>158</v>
      </c>
      <c r="D172" s="5" t="s">
        <v>27</v>
      </c>
      <c r="E172" s="5">
        <v>-7</v>
      </c>
      <c r="F172" s="5" t="s">
        <v>9</v>
      </c>
      <c r="G172" s="5" t="s">
        <v>195</v>
      </c>
      <c r="H172" s="5"/>
      <c r="I172" s="5"/>
      <c r="J172" s="5"/>
      <c r="K172" s="5"/>
      <c r="L172" s="5"/>
      <c r="M172" s="6"/>
      <c r="N172" s="1">
        <f>IF( ISBLANK(LogTable2023[[#This Row],[Date_o]]), IF(ISBLANK(LogTable2023[[#This Row],[Date_i]]), "", LogTable2023[[#This Row],[Date_i]]), LogTable2023[[#This Row],[Date_o]])</f>
        <v>45196</v>
      </c>
      <c r="O172" t="str">
        <f>IF( ISBLANK(LogTable2023[[#This Row],[Description_o]]), IF(ISBLANK(LogTable2023[[#This Row],[Description_i]]), "", LogTable2023[[#This Row],[Description_i]]), LogTable2023[[#This Row],[Description_o]])</f>
        <v>Chipotle</v>
      </c>
      <c r="P172" t="str">
        <f>IF( ISBLANK(LogTable2023[[#This Row],[Original Description_o]]), IF(ISBLANK(LogTable2023[[#This Row],[Original Description_i]]), "", LogTable2023[[#This Row],[Original Description_i]]), LogTable2023[[#This Row],[Original Description_o]])</f>
        <v>CHIPOTLE 0894            BOULDER      CO</v>
      </c>
      <c r="Q172" t="str">
        <f>IF( ISBLANK(LogTable2023[[#This Row],[Category_o]]), IF(ISBLANK(LogTable2023[[#This Row],[Category_i]]), "", LogTable2023[[#This Row],[Category_i]]), LogTable2023[[#This Row],[Category_o]])</f>
        <v>Fast Food</v>
      </c>
      <c r="R172" s="10">
        <f>IF( ISBLANK(LogTable2023[[#This Row],[Amount_o]]), IF(ISBLANK(LogTable2023[[#This Row],[Amount_i]]), "", LogTable2023[[#This Row],[Amount_i]]), LogTable2023[[#This Row],[Amount_o]])</f>
        <v>-7</v>
      </c>
      <c r="S172" s="1" t="str">
        <f>IF( ISBLANK(LogTable2023[[#This Row],[Status_o]]), IF(ISBLANK(LogTable2023[[#This Row],[Status_i]]), "", LogTable2023[[#This Row],[Status_i]]), LogTable2023[[#This Row],[Status_o]])</f>
        <v>Posted</v>
      </c>
      <c r="T172" t="s">
        <v>348</v>
      </c>
      <c r="U172" t="str">
        <f>IF( _xlfn.IFNA(MATCH(LogTable2023[[#This Row],[My Category]], Buckets!$D$4:$D$35, 0), FALSE), ".", "E")</f>
        <v>.</v>
      </c>
    </row>
    <row r="173" spans="1:22" hidden="1" x14ac:dyDescent="0.25">
      <c r="A173" s="4">
        <v>45196</v>
      </c>
      <c r="B173" s="5" t="s">
        <v>159</v>
      </c>
      <c r="C173" s="5" t="s">
        <v>160</v>
      </c>
      <c r="D173" s="5" t="s">
        <v>157</v>
      </c>
      <c r="E173" s="5">
        <v>-1.1000000000000001</v>
      </c>
      <c r="F173" s="5" t="s">
        <v>9</v>
      </c>
      <c r="G173" s="5" t="s">
        <v>195</v>
      </c>
      <c r="H173" s="5"/>
      <c r="I173" s="5"/>
      <c r="J173" s="5"/>
      <c r="K173" s="5"/>
      <c r="L173" s="5"/>
      <c r="M173" s="6"/>
      <c r="N173" s="1">
        <f>IF( ISBLANK(LogTable2023[[#This Row],[Date_o]]), IF(ISBLANK(LogTable2023[[#This Row],[Date_i]]), "", LogTable2023[[#This Row],[Date_i]]), LogTable2023[[#This Row],[Date_o]])</f>
        <v>45196</v>
      </c>
      <c r="O173" t="str">
        <f>IF( ISBLANK(LogTable2023[[#This Row],[Description_o]]), IF(ISBLANK(LogTable2023[[#This Row],[Description_i]]), "", LogTable2023[[#This Row],[Description_i]]), LogTable2023[[#This Row],[Description_o]])</f>
        <v>US Postal Service</v>
      </c>
      <c r="P173" t="str">
        <f>IF( ISBLANK(LogTable2023[[#This Row],[Original Description_o]]), IF(ISBLANK(LogTable2023[[#This Row],[Original Description_i]]), "", LogTable2023[[#This Row],[Original Description_i]]), LogTable2023[[#This Row],[Original Description_o]])</f>
        <v>USPS CHANGE OF ADDRESS   800-238-3150 TN</v>
      </c>
      <c r="Q173" t="str">
        <f>IF( ISBLANK(LogTable2023[[#This Row],[Category_o]]), IF(ISBLANK(LogTable2023[[#This Row],[Category_i]]), "", LogTable2023[[#This Row],[Category_i]]), LogTable2023[[#This Row],[Category_o]])</f>
        <v>Shipping</v>
      </c>
      <c r="R173" s="10">
        <f>IF( ISBLANK(LogTable2023[[#This Row],[Amount_o]]), IF(ISBLANK(LogTable2023[[#This Row],[Amount_i]]), "", LogTable2023[[#This Row],[Amount_i]]), LogTable2023[[#This Row],[Amount_o]])</f>
        <v>-1.1000000000000001</v>
      </c>
      <c r="S173" s="1" t="str">
        <f>IF( ISBLANK(LogTable2023[[#This Row],[Status_o]]), IF(ISBLANK(LogTable2023[[#This Row],[Status_i]]), "", LogTable2023[[#This Row],[Status_i]]), LogTable2023[[#This Row],[Status_o]])</f>
        <v>Posted</v>
      </c>
      <c r="T173" t="s">
        <v>295</v>
      </c>
      <c r="U173" t="str">
        <f>IF( _xlfn.IFNA(MATCH(LogTable2023[[#This Row],[My Category]], Buckets!$D$4:$D$35, 0), FALSE), ".", "E")</f>
        <v>.</v>
      </c>
    </row>
    <row r="174" spans="1:22" hidden="1" x14ac:dyDescent="0.25">
      <c r="A174" s="4">
        <v>45195</v>
      </c>
      <c r="B174" s="5" t="s">
        <v>161</v>
      </c>
      <c r="C174" s="5" t="s">
        <v>162</v>
      </c>
      <c r="D174" s="5" t="s">
        <v>163</v>
      </c>
      <c r="E174" s="5">
        <v>-701.18</v>
      </c>
      <c r="F174" s="5" t="s">
        <v>9</v>
      </c>
      <c r="G174" s="5" t="s">
        <v>195</v>
      </c>
      <c r="H174" s="5"/>
      <c r="I174" s="5"/>
      <c r="J174" s="5"/>
      <c r="K174" s="5"/>
      <c r="L174" s="5"/>
      <c r="M174" s="6"/>
      <c r="N174" s="1">
        <f>IF( ISBLANK(LogTable2023[[#This Row],[Date_o]]), IF(ISBLANK(LogTable2023[[#This Row],[Date_i]]), "", LogTable2023[[#This Row],[Date_i]]), LogTable2023[[#This Row],[Date_o]])</f>
        <v>45195</v>
      </c>
      <c r="O174" t="str">
        <f>IF( ISBLANK(LogTable2023[[#This Row],[Description_o]]), IF(ISBLANK(LogTable2023[[#This Row],[Description_i]]), "", LogTable2023[[#This Row],[Description_i]]), LogTable2023[[#This Row],[Description_o]])</f>
        <v>Marriott Hotel</v>
      </c>
      <c r="P174" t="str">
        <f>IF( ISBLANK(LogTable2023[[#This Row],[Original Description_o]]), IF(ISBLANK(LogTable2023[[#This Row],[Original Description_i]]), "", LogTable2023[[#This Row],[Original Description_i]]), LogTable2023[[#This Row],[Original Description_o]])</f>
        <v>EI*VBMarriott            844-762-0085 WA</v>
      </c>
      <c r="Q174" t="str">
        <f>IF( ISBLANK(LogTable2023[[#This Row],[Category_o]]), IF(ISBLANK(LogTable2023[[#This Row],[Category_i]]), "", LogTable2023[[#This Row],[Category_i]]), LogTable2023[[#This Row],[Category_o]])</f>
        <v>Hotel</v>
      </c>
      <c r="R174" s="10">
        <f>IF( ISBLANK(LogTable2023[[#This Row],[Amount_o]]), IF(ISBLANK(LogTable2023[[#This Row],[Amount_i]]), "", LogTable2023[[#This Row],[Amount_i]]), LogTable2023[[#This Row],[Amount_o]])</f>
        <v>-701.18</v>
      </c>
      <c r="S174" s="1" t="str">
        <f>IF( ISBLANK(LogTable2023[[#This Row],[Status_o]]), IF(ISBLANK(LogTable2023[[#This Row],[Status_i]]), "", LogTable2023[[#This Row],[Status_i]]), LogTable2023[[#This Row],[Status_o]])</f>
        <v>Posted</v>
      </c>
      <c r="T174" t="s">
        <v>291</v>
      </c>
      <c r="U174" t="str">
        <f>IF( _xlfn.IFNA(MATCH(LogTable2023[[#This Row],[My Category]], Buckets!$D$4:$D$35, 0), FALSE), ".", "E")</f>
        <v>.</v>
      </c>
      <c r="V174" t="s">
        <v>335</v>
      </c>
    </row>
    <row r="175" spans="1:22" hidden="1" x14ac:dyDescent="0.25">
      <c r="A175" s="4">
        <v>45195</v>
      </c>
      <c r="B175" s="5" t="s">
        <v>201</v>
      </c>
      <c r="C175" s="5" t="s">
        <v>202</v>
      </c>
      <c r="D175" s="5" t="s">
        <v>203</v>
      </c>
      <c r="E175" s="5">
        <v>0.05</v>
      </c>
      <c r="F175" s="5" t="s">
        <v>9</v>
      </c>
      <c r="G175" s="5" t="s">
        <v>269</v>
      </c>
      <c r="H175" s="5"/>
      <c r="I175" s="5"/>
      <c r="J175" s="5"/>
      <c r="K175" s="5"/>
      <c r="L175" s="5"/>
      <c r="M175" s="6"/>
      <c r="N175" s="1">
        <f>IF( ISBLANK(LogTable2023[[#This Row],[Date_o]]), IF(ISBLANK(LogTable2023[[#This Row],[Date_i]]), "", LogTable2023[[#This Row],[Date_i]]), LogTable2023[[#This Row],[Date_o]])</f>
        <v>45195</v>
      </c>
      <c r="O175" t="str">
        <f>IF( ISBLANK(LogTable2023[[#This Row],[Description_o]]), IF(ISBLANK(LogTable2023[[#This Row],[Description_i]]), "", LogTable2023[[#This Row],[Description_i]]), LogTable2023[[#This Row],[Description_o]])</f>
        <v>Interest Paid</v>
      </c>
      <c r="P175" t="str">
        <f>IF( ISBLANK(LogTable2023[[#This Row],[Original Description_o]]), IF(ISBLANK(LogTable2023[[#This Row],[Original Description_i]]), "", LogTable2023[[#This Row],[Original Description_i]]), LogTable2023[[#This Row],[Original Description_o]])</f>
        <v>INTEREST PAID</v>
      </c>
      <c r="Q175" t="str">
        <f>IF( ISBLANK(LogTable2023[[#This Row],[Category_o]]), IF(ISBLANK(LogTable2023[[#This Row],[Category_i]]), "", LogTable2023[[#This Row],[Category_i]]), LogTable2023[[#This Row],[Category_o]])</f>
        <v>Interest Income</v>
      </c>
      <c r="R175" s="10">
        <f>IF( ISBLANK(LogTable2023[[#This Row],[Amount_o]]), IF(ISBLANK(LogTable2023[[#This Row],[Amount_i]]), "", LogTable2023[[#This Row],[Amount_i]]), LogTable2023[[#This Row],[Amount_o]])</f>
        <v>0.05</v>
      </c>
      <c r="S175" s="1" t="str">
        <f>IF( ISBLANK(LogTable2023[[#This Row],[Status_o]]), IF(ISBLANK(LogTable2023[[#This Row],[Status_i]]), "", LogTable2023[[#This Row],[Status_i]]), LogTable2023[[#This Row],[Status_o]])</f>
        <v>Posted</v>
      </c>
      <c r="T175" t="s">
        <v>306</v>
      </c>
      <c r="U175" t="str">
        <f>IF( _xlfn.IFNA(MATCH(LogTable2023[[#This Row],[My Category]], Buckets!$D$4:$D$35, 0), FALSE), ".", "E")</f>
        <v>.</v>
      </c>
    </row>
    <row r="176" spans="1:22" hidden="1" x14ac:dyDescent="0.25">
      <c r="A176" s="4">
        <v>45194</v>
      </c>
      <c r="B176" s="5" t="s">
        <v>164</v>
      </c>
      <c r="C176" s="5" t="s">
        <v>165</v>
      </c>
      <c r="D176" s="5" t="s">
        <v>166</v>
      </c>
      <c r="E176" s="5">
        <v>-557.79999999999995</v>
      </c>
      <c r="F176" s="5" t="s">
        <v>9</v>
      </c>
      <c r="G176" s="5" t="s">
        <v>195</v>
      </c>
      <c r="H176" s="5"/>
      <c r="I176" s="5"/>
      <c r="J176" s="5"/>
      <c r="K176" s="5"/>
      <c r="L176" s="5"/>
      <c r="M176" s="6"/>
      <c r="N176" s="1">
        <f>IF( ISBLANK(LogTable2023[[#This Row],[Date_o]]), IF(ISBLANK(LogTable2023[[#This Row],[Date_i]]), "", LogTable2023[[#This Row],[Date_i]]), LogTable2023[[#This Row],[Date_o]])</f>
        <v>45194</v>
      </c>
      <c r="O176" t="str">
        <f>IF( ISBLANK(LogTable2023[[#This Row],[Description_o]]), IF(ISBLANK(LogTable2023[[#This Row],[Description_i]]), "", LogTable2023[[#This Row],[Description_i]]), LogTable2023[[#This Row],[Description_o]])</f>
        <v>American Airlines</v>
      </c>
      <c r="P176" t="str">
        <f>IF( ISBLANK(LogTable2023[[#This Row],[Original Description_o]]), IF(ISBLANK(LogTable2023[[#This Row],[Original Description_i]]), "", LogTable2023[[#This Row],[Original Description_i]]), LogTable2023[[#This Row],[Original Description_o]])</f>
        <v>AMERICAN AIR0018038297094FORT WORTH   TX</v>
      </c>
      <c r="Q176" t="str">
        <f>IF( ISBLANK(LogTable2023[[#This Row],[Category_o]]), IF(ISBLANK(LogTable2023[[#This Row],[Category_i]]), "", LogTable2023[[#This Row],[Category_i]]), LogTable2023[[#This Row],[Category_o]])</f>
        <v>Air Travel</v>
      </c>
      <c r="R176" s="10">
        <f>IF( ISBLANK(LogTable2023[[#This Row],[Amount_o]]), IF(ISBLANK(LogTable2023[[#This Row],[Amount_i]]), "", LogTable2023[[#This Row],[Amount_i]]), LogTable2023[[#This Row],[Amount_o]])</f>
        <v>-557.79999999999995</v>
      </c>
      <c r="S176" s="1" t="str">
        <f>IF( ISBLANK(LogTable2023[[#This Row],[Status_o]]), IF(ISBLANK(LogTable2023[[#This Row],[Status_i]]), "", LogTable2023[[#This Row],[Status_i]]), LogTable2023[[#This Row],[Status_o]])</f>
        <v>Posted</v>
      </c>
      <c r="T176" t="s">
        <v>291</v>
      </c>
      <c r="U176" t="str">
        <f>IF( _xlfn.IFNA(MATCH(LogTable2023[[#This Row],[My Category]], Buckets!$D$4:$D$35, 0), FALSE), ".", "E")</f>
        <v>.</v>
      </c>
      <c r="V176" t="s">
        <v>335</v>
      </c>
    </row>
    <row r="177" spans="1:22" hidden="1" x14ac:dyDescent="0.25">
      <c r="A177" s="4">
        <v>45194</v>
      </c>
      <c r="B177" s="5" t="s">
        <v>219</v>
      </c>
      <c r="C177" s="5" t="s">
        <v>245</v>
      </c>
      <c r="D177" s="5" t="s">
        <v>107</v>
      </c>
      <c r="E177" s="5">
        <v>-800</v>
      </c>
      <c r="F177" s="5" t="s">
        <v>9</v>
      </c>
      <c r="G177" s="5" t="s">
        <v>269</v>
      </c>
      <c r="H177" s="5"/>
      <c r="I177" s="5"/>
      <c r="J177" s="5"/>
      <c r="K177" s="5"/>
      <c r="L177" s="5"/>
      <c r="M177" s="6"/>
      <c r="N177" s="1">
        <f>IF( ISBLANK(LogTable2023[[#This Row],[Date_o]]), IF(ISBLANK(LogTable2023[[#This Row],[Date_i]]), "", LogTable2023[[#This Row],[Date_i]]), LogTable2023[[#This Row],[Date_o]])</f>
        <v>45194</v>
      </c>
      <c r="O177" t="str">
        <f>IF( ISBLANK(LogTable2023[[#This Row],[Description_o]]), IF(ISBLANK(LogTable2023[[#This Row],[Description_i]]), "", LogTable2023[[#This Row],[Description_i]]), LogTable2023[[#This Row],[Description_o]])</f>
        <v>Cornerstoneapart Web</v>
      </c>
      <c r="P177" t="str">
        <f>IF( ISBLANK(LogTable2023[[#This Row],[Original Description_o]]), IF(ISBLANK(LogTable2023[[#This Row],[Original Description_i]]), "", LogTable2023[[#This Row],[Original Description_i]]), LogTable2023[[#This Row],[Original Description_o]])</f>
        <v>CORNERSTONEAPART WEB PMTS   ***********1ZVD</v>
      </c>
      <c r="Q177" t="str">
        <f>IF( ISBLANK(LogTable2023[[#This Row],[Category_o]]), IF(ISBLANK(LogTable2023[[#This Row],[Category_i]]), "", LogTable2023[[#This Row],[Category_i]]), LogTable2023[[#This Row],[Category_o]])</f>
        <v>Uncategorized</v>
      </c>
      <c r="R177" s="10">
        <f>IF( ISBLANK(LogTable2023[[#This Row],[Amount_o]]), IF(ISBLANK(LogTable2023[[#This Row],[Amount_i]]), "", LogTable2023[[#This Row],[Amount_i]]), LogTable2023[[#This Row],[Amount_o]])</f>
        <v>-800</v>
      </c>
      <c r="S177" s="1" t="str">
        <f>IF( ISBLANK(LogTable2023[[#This Row],[Status_o]]), IF(ISBLANK(LogTable2023[[#This Row],[Status_i]]), "", LogTable2023[[#This Row],[Status_i]]), LogTable2023[[#This Row],[Status_o]])</f>
        <v>Posted</v>
      </c>
      <c r="T177" t="s">
        <v>293</v>
      </c>
      <c r="U177" t="str">
        <f>IF( _xlfn.IFNA(MATCH(LogTable2023[[#This Row],[My Category]], Buckets!$D$4:$D$35, 0), FALSE), ".", "E")</f>
        <v>.</v>
      </c>
    </row>
    <row r="178" spans="1:22" hidden="1" x14ac:dyDescent="0.25">
      <c r="A178" s="7">
        <v>45194</v>
      </c>
      <c r="B178" s="8" t="s">
        <v>219</v>
      </c>
      <c r="C178" s="8" t="s">
        <v>245</v>
      </c>
      <c r="D178" s="8" t="s">
        <v>107</v>
      </c>
      <c r="E178" s="8">
        <v>-518.66999999999996</v>
      </c>
      <c r="F178" s="8" t="s">
        <v>9</v>
      </c>
      <c r="G178" s="8" t="s">
        <v>269</v>
      </c>
      <c r="H178" s="8"/>
      <c r="I178" s="8"/>
      <c r="J178" s="8"/>
      <c r="K178" s="8"/>
      <c r="L178" s="8"/>
      <c r="M178" s="9"/>
      <c r="N178" s="1">
        <f>IF( ISBLANK(LogTable2023[[#This Row],[Date_o]]), IF(ISBLANK(LogTable2023[[#This Row],[Date_i]]), "", LogTable2023[[#This Row],[Date_i]]), LogTable2023[[#This Row],[Date_o]])</f>
        <v>45194</v>
      </c>
      <c r="O178" t="str">
        <f>IF( ISBLANK(LogTable2023[[#This Row],[Description_o]]), IF(ISBLANK(LogTable2023[[#This Row],[Description_i]]), "", LogTable2023[[#This Row],[Description_i]]), LogTable2023[[#This Row],[Description_o]])</f>
        <v>Cornerstoneapart Web</v>
      </c>
      <c r="P178" t="str">
        <f>IF( ISBLANK(LogTable2023[[#This Row],[Original Description_o]]), IF(ISBLANK(LogTable2023[[#This Row],[Original Description_i]]), "", LogTable2023[[#This Row],[Original Description_i]]), LogTable2023[[#This Row],[Original Description_o]])</f>
        <v>CORNERSTONEAPART WEB PMTS   ***********1ZVD</v>
      </c>
      <c r="Q178" t="str">
        <f>IF( ISBLANK(LogTable2023[[#This Row],[Category_o]]), IF(ISBLANK(LogTable2023[[#This Row],[Category_i]]), "", LogTable2023[[#This Row],[Category_i]]), LogTable2023[[#This Row],[Category_o]])</f>
        <v>Uncategorized</v>
      </c>
      <c r="R178" s="10">
        <f>IF( ISBLANK(LogTable2023[[#This Row],[Amount_o]]), IF(ISBLANK(LogTable2023[[#This Row],[Amount_i]]), "", LogTable2023[[#This Row],[Amount_i]]), LogTable2023[[#This Row],[Amount_o]])</f>
        <v>-518.66999999999996</v>
      </c>
      <c r="S178" s="1" t="str">
        <f>IF( ISBLANK(LogTable2023[[#This Row],[Status_o]]), IF(ISBLANK(LogTable2023[[#This Row],[Status_i]]), "", LogTable2023[[#This Row],[Status_i]]), LogTable2023[[#This Row],[Status_o]])</f>
        <v>Posted</v>
      </c>
      <c r="T178" t="s">
        <v>293</v>
      </c>
      <c r="U178" t="str">
        <f>IF( _xlfn.IFNA(MATCH(LogTable2023[[#This Row],[My Category]], Buckets!$D$4:$D$35, 0), FALSE), ".", "E")</f>
        <v>.</v>
      </c>
    </row>
    <row r="179" spans="1:22" hidden="1" x14ac:dyDescent="0.25">
      <c r="A179" s="4">
        <v>45194</v>
      </c>
      <c r="B179" s="5" t="s">
        <v>221</v>
      </c>
      <c r="C179" s="5" t="s">
        <v>246</v>
      </c>
      <c r="D179" s="5" t="s">
        <v>177</v>
      </c>
      <c r="E179" s="5">
        <v>-0.95</v>
      </c>
      <c r="F179" s="5" t="s">
        <v>9</v>
      </c>
      <c r="G179" s="5" t="s">
        <v>269</v>
      </c>
      <c r="H179" s="5"/>
      <c r="I179" s="5"/>
      <c r="J179" s="5"/>
      <c r="K179" s="5"/>
      <c r="L179" s="5"/>
      <c r="M179" s="5"/>
      <c r="N179" s="1">
        <f>IF( ISBLANK(LogTable2023[[#This Row],[Date_o]]), IF(ISBLANK(LogTable2023[[#This Row],[Date_i]]), "", LogTable2023[[#This Row],[Date_i]]), LogTable2023[[#This Row],[Date_o]])</f>
        <v>45194</v>
      </c>
      <c r="O179" t="str">
        <f>IF( ISBLANK(LogTable2023[[#This Row],[Description_o]]), IF(ISBLANK(LogTable2023[[#This Row],[Description_i]]), "", LogTable2023[[#This Row],[Description_i]]), LogTable2023[[#This Row],[Description_o]])</f>
        <v>Yardi</v>
      </c>
      <c r="P179" t="str">
        <f>IF( ISBLANK(LogTable2023[[#This Row],[Original Description_o]]), IF(ISBLANK(LogTable2023[[#This Row],[Original Description_i]]), "", LogTable2023[[#This Row],[Original Description_i]]), LogTable2023[[#This Row],[Original Description_o]])</f>
        <v>YARDI SERVICECHG WEB PMTS   ***********1ZVD</v>
      </c>
      <c r="Q179" t="str">
        <f>IF( ISBLANK(LogTable2023[[#This Row],[Category_o]]), IF(ISBLANK(LogTable2023[[#This Row],[Category_i]]), "", LogTable2023[[#This Row],[Category_i]]), LogTable2023[[#This Row],[Category_o]])</f>
        <v>Mortgage &amp; Rent</v>
      </c>
      <c r="R179" s="10">
        <f>IF( ISBLANK(LogTable2023[[#This Row],[Amount_o]]), IF(ISBLANK(LogTable2023[[#This Row],[Amount_i]]), "", LogTable2023[[#This Row],[Amount_i]]), LogTable2023[[#This Row],[Amount_o]])</f>
        <v>-0.95</v>
      </c>
      <c r="S179" s="1" t="str">
        <f>IF( ISBLANK(LogTable2023[[#This Row],[Status_o]]), IF(ISBLANK(LogTable2023[[#This Row],[Status_i]]), "", LogTable2023[[#This Row],[Status_i]]), LogTable2023[[#This Row],[Status_o]])</f>
        <v>Posted</v>
      </c>
      <c r="T179" t="s">
        <v>295</v>
      </c>
      <c r="U179" t="str">
        <f>IF( _xlfn.IFNA(MATCH(LogTable2023[[#This Row],[My Category]], Buckets!$D$4:$D$35, 0), FALSE), ".", "E")</f>
        <v>.</v>
      </c>
    </row>
    <row r="180" spans="1:22" hidden="1" x14ac:dyDescent="0.25">
      <c r="A180" s="4">
        <v>45192</v>
      </c>
      <c r="B180" s="5" t="s">
        <v>152</v>
      </c>
      <c r="C180" s="5" t="s">
        <v>153</v>
      </c>
      <c r="D180" s="5" t="s">
        <v>154</v>
      </c>
      <c r="E180" s="5">
        <v>-135</v>
      </c>
      <c r="F180" s="5" t="s">
        <v>9</v>
      </c>
      <c r="G180" s="5" t="s">
        <v>195</v>
      </c>
      <c r="H180" s="5"/>
      <c r="I180" s="5"/>
      <c r="J180" s="5"/>
      <c r="K180" s="5"/>
      <c r="L180" s="5"/>
      <c r="M180" s="5"/>
      <c r="N180" s="1">
        <f>IF( ISBLANK(LogTable2023[[#This Row],[Date_o]]), IF(ISBLANK(LogTable2023[[#This Row],[Date_i]]), "", LogTable2023[[#This Row],[Date_i]]), LogTable2023[[#This Row],[Date_o]])</f>
        <v>45192</v>
      </c>
      <c r="O180" t="str">
        <f>IF( ISBLANK(LogTable2023[[#This Row],[Description_o]]), IF(ISBLANK(LogTable2023[[#This Row],[Description_i]]), "", LogTable2023[[#This Row],[Description_i]]), LogTable2023[[#This Row],[Description_o]])</f>
        <v>Mcguckin Hardware</v>
      </c>
      <c r="P180" t="str">
        <f>IF( ISBLANK(LogTable2023[[#This Row],[Original Description_o]]), IF(ISBLANK(LogTable2023[[#This Row],[Original Description_i]]), "", LogTable2023[[#This Row],[Original Description_i]]), LogTable2023[[#This Row],[Original Description_o]])</f>
        <v>MCGUCKIN HARDWARE        BOULDER      CO</v>
      </c>
      <c r="Q180" t="str">
        <f>IF( ISBLANK(LogTable2023[[#This Row],[Category_o]]), IF(ISBLANK(LogTable2023[[#This Row],[Category_i]]), "", LogTable2023[[#This Row],[Category_i]]), LogTable2023[[#This Row],[Category_o]])</f>
        <v>Home Improvement</v>
      </c>
      <c r="R180" s="10">
        <f>IF( ISBLANK(LogTable2023[[#This Row],[Amount_o]]), IF(ISBLANK(LogTable2023[[#This Row],[Amount_i]]), "", LogTable2023[[#This Row],[Amount_i]]), LogTable2023[[#This Row],[Amount_o]])</f>
        <v>-135</v>
      </c>
      <c r="S180" s="1" t="str">
        <f>IF( ISBLANK(LogTable2023[[#This Row],[Status_o]]), IF(ISBLANK(LogTable2023[[#This Row],[Status_i]]), "", LogTable2023[[#This Row],[Status_i]]), LogTable2023[[#This Row],[Status_o]])</f>
        <v>Posted</v>
      </c>
      <c r="T180" t="s">
        <v>295</v>
      </c>
      <c r="U180" t="str">
        <f>IF( _xlfn.IFNA(MATCH(LogTable2023[[#This Row],[My Category]], Buckets!$D$4:$D$35, 0), FALSE), ".", "E")</f>
        <v>.</v>
      </c>
    </row>
    <row r="181" spans="1:22" hidden="1" x14ac:dyDescent="0.25">
      <c r="A181" s="4">
        <v>45192</v>
      </c>
      <c r="B181" s="5" t="s">
        <v>167</v>
      </c>
      <c r="C181" s="5" t="s">
        <v>168</v>
      </c>
      <c r="D181" s="5" t="s">
        <v>169</v>
      </c>
      <c r="E181" s="5">
        <v>-40.79</v>
      </c>
      <c r="F181" s="5" t="s">
        <v>9</v>
      </c>
      <c r="G181" s="5" t="s">
        <v>195</v>
      </c>
      <c r="H181" s="5"/>
      <c r="I181" s="5"/>
      <c r="J181" s="5"/>
      <c r="K181" s="5"/>
      <c r="L181" s="5"/>
      <c r="M181" s="5"/>
      <c r="N181" s="1">
        <f>IF( ISBLANK(LogTable2023[[#This Row],[Date_o]]), IF(ISBLANK(LogTable2023[[#This Row],[Date_i]]), "", LogTable2023[[#This Row],[Date_i]]), LogTable2023[[#This Row],[Date_o]])</f>
        <v>45192</v>
      </c>
      <c r="O181" t="str">
        <f>IF( ISBLANK(LogTable2023[[#This Row],[Description_o]]), IF(ISBLANK(LogTable2023[[#This Row],[Description_i]]), "", LogTable2023[[#This Row],[Description_i]]), LogTable2023[[#This Row],[Description_o]])</f>
        <v>U-Haul</v>
      </c>
      <c r="P181" t="str">
        <f>IF( ISBLANK(LogTable2023[[#This Row],[Original Description_o]]), IF(ISBLANK(LogTable2023[[#This Row],[Original Description_i]]), "", LogTable2023[[#This Row],[Original Description_i]]), LogTable2023[[#This Row],[Original Description_o]])</f>
        <v>U-HAUL-CTR-BOULDER #72227BOULDER      CO</v>
      </c>
      <c r="Q181" t="str">
        <f>IF( ISBLANK(LogTable2023[[#This Row],[Category_o]]), IF(ISBLANK(LogTable2023[[#This Row],[Category_i]]), "", LogTable2023[[#This Row],[Category_i]]), LogTable2023[[#This Row],[Category_o]])</f>
        <v>Home Services</v>
      </c>
      <c r="R181" s="10">
        <f>IF( ISBLANK(LogTable2023[[#This Row],[Amount_o]]), IF(ISBLANK(LogTable2023[[#This Row],[Amount_i]]), "", LogTable2023[[#This Row],[Amount_i]]), LogTable2023[[#This Row],[Amount_o]])</f>
        <v>-40.79</v>
      </c>
      <c r="S181" s="1" t="str">
        <f>IF( ISBLANK(LogTable2023[[#This Row],[Status_o]]), IF(ISBLANK(LogTable2023[[#This Row],[Status_i]]), "", LogTable2023[[#This Row],[Status_i]]), LogTable2023[[#This Row],[Status_o]])</f>
        <v>Posted</v>
      </c>
      <c r="T181" t="s">
        <v>295</v>
      </c>
      <c r="U181" t="str">
        <f>IF( _xlfn.IFNA(MATCH(LogTable2023[[#This Row],[My Category]], Buckets!$D$4:$D$35, 0), FALSE), ".", "E")</f>
        <v>.</v>
      </c>
      <c r="V181" t="s">
        <v>351</v>
      </c>
    </row>
    <row r="182" spans="1:22" hidden="1" x14ac:dyDescent="0.25">
      <c r="A182" s="4">
        <v>45191</v>
      </c>
      <c r="B182" s="5" t="s">
        <v>247</v>
      </c>
      <c r="C182" s="5" t="s">
        <v>248</v>
      </c>
      <c r="D182" s="5" t="s">
        <v>73</v>
      </c>
      <c r="E182" s="5">
        <v>0.12</v>
      </c>
      <c r="F182" s="5" t="s">
        <v>9</v>
      </c>
      <c r="G182" s="5" t="s">
        <v>269</v>
      </c>
      <c r="H182" s="5"/>
      <c r="I182" s="5"/>
      <c r="J182" s="5"/>
      <c r="K182" s="5"/>
      <c r="L182" s="5"/>
      <c r="M182" s="5"/>
      <c r="N182" s="1">
        <f>IF( ISBLANK(LogTable2023[[#This Row],[Date_o]]), IF(ISBLANK(LogTable2023[[#This Row],[Date_i]]), "", LogTable2023[[#This Row],[Date_i]]), LogTable2023[[#This Row],[Date_o]])</f>
        <v>45191</v>
      </c>
      <c r="O182" t="str">
        <f>IF( ISBLANK(LogTable2023[[#This Row],[Description_o]]), IF(ISBLANK(LogTable2023[[#This Row],[Description_i]]), "", LogTable2023[[#This Row],[Description_i]]), LogTable2023[[#This Row],[Description_o]])</f>
        <v>Account Verification Deposit from Yardi</v>
      </c>
      <c r="P182" t="str">
        <f>IF( ISBLANK(LogTable2023[[#This Row],[Original Description_o]]), IF(ISBLANK(LogTable2023[[#This Row],[Original Description_i]]), "", LogTable2023[[#This Row],[Original Description_i]]), LogTable2023[[#This Row],[Original Description_o]])</f>
        <v>Yardi Penny Test ACCTVERIFY ***********PTVD</v>
      </c>
      <c r="Q182" t="str">
        <f>IF( ISBLANK(LogTable2023[[#This Row],[Category_o]]), IF(ISBLANK(LogTable2023[[#This Row],[Category_i]]), "", LogTable2023[[#This Row],[Category_i]]), LogTable2023[[#This Row],[Category_o]])</f>
        <v>Transfer</v>
      </c>
      <c r="R182" s="10">
        <f>IF( ISBLANK(LogTable2023[[#This Row],[Amount_o]]), IF(ISBLANK(LogTable2023[[#This Row],[Amount_i]]), "", LogTable2023[[#This Row],[Amount_i]]), LogTable2023[[#This Row],[Amount_o]])</f>
        <v>0.12</v>
      </c>
      <c r="S182" s="1" t="str">
        <f>IF( ISBLANK(LogTable2023[[#This Row],[Status_o]]), IF(ISBLANK(LogTable2023[[#This Row],[Status_i]]), "", LogTable2023[[#This Row],[Status_i]]), LogTable2023[[#This Row],[Status_o]])</f>
        <v>Posted</v>
      </c>
      <c r="T182" t="s">
        <v>295</v>
      </c>
      <c r="U182" t="str">
        <f>IF( _xlfn.IFNA(MATCH(LogTable2023[[#This Row],[My Category]], Buckets!$D$4:$D$35, 0), FALSE), ".", "E")</f>
        <v>.</v>
      </c>
    </row>
    <row r="183" spans="1:22" hidden="1" x14ac:dyDescent="0.25">
      <c r="A183" s="4">
        <v>45190</v>
      </c>
      <c r="B183" s="5" t="s">
        <v>92</v>
      </c>
      <c r="C183" s="5" t="s">
        <v>170</v>
      </c>
      <c r="D183" s="5" t="s">
        <v>54</v>
      </c>
      <c r="E183" s="5">
        <v>-10.89</v>
      </c>
      <c r="F183" s="5" t="s">
        <v>9</v>
      </c>
      <c r="G183" s="5" t="s">
        <v>195</v>
      </c>
      <c r="H183" s="5"/>
      <c r="I183" s="5"/>
      <c r="J183" s="5"/>
      <c r="K183" s="5"/>
      <c r="L183" s="5"/>
      <c r="M183" s="5"/>
      <c r="N183" s="1">
        <f>IF( ISBLANK(LogTable2023[[#This Row],[Date_o]]), IF(ISBLANK(LogTable2023[[#This Row],[Date_i]]), "", LogTable2023[[#This Row],[Date_i]]), LogTable2023[[#This Row],[Date_o]])</f>
        <v>45190</v>
      </c>
      <c r="O183" t="str">
        <f>IF( ISBLANK(LogTable2023[[#This Row],[Description_o]]), IF(ISBLANK(LogTable2023[[#This Row],[Description_i]]), "", LogTable2023[[#This Row],[Description_i]]), LogTable2023[[#This Row],[Description_o]])</f>
        <v>Walgreens</v>
      </c>
      <c r="P183" t="str">
        <f>IF( ISBLANK(LogTable2023[[#This Row],[Original Description_o]]), IF(ISBLANK(LogTable2023[[#This Row],[Original Description_i]]), "", LogTable2023[[#This Row],[Original Description_i]]), LogTable2023[[#This Row],[Original Description_o]])</f>
        <v>WALGREENS #12683         BOULDER      CO</v>
      </c>
      <c r="Q183" t="str">
        <f>IF( ISBLANK(LogTable2023[[#This Row],[Category_o]]), IF(ISBLANK(LogTable2023[[#This Row],[Category_i]]), "", LogTable2023[[#This Row],[Category_i]]), LogTable2023[[#This Row],[Category_o]])</f>
        <v>Pharmacy</v>
      </c>
      <c r="R183" s="10">
        <f>IF( ISBLANK(LogTable2023[[#This Row],[Amount_o]]), IF(ISBLANK(LogTable2023[[#This Row],[Amount_i]]), "", LogTable2023[[#This Row],[Amount_i]]), LogTable2023[[#This Row],[Amount_o]])</f>
        <v>-10.89</v>
      </c>
      <c r="S183" s="1" t="str">
        <f>IF( ISBLANK(LogTable2023[[#This Row],[Status_o]]), IF(ISBLANK(LogTable2023[[#This Row],[Status_i]]), "", LogTable2023[[#This Row],[Status_i]]), LogTable2023[[#This Row],[Status_o]])</f>
        <v>Posted</v>
      </c>
      <c r="T183" t="s">
        <v>295</v>
      </c>
      <c r="U183" t="str">
        <f>IF( _xlfn.IFNA(MATCH(LogTable2023[[#This Row],[My Category]], Buckets!$D$4:$D$35, 0), FALSE), ".", "E")</f>
        <v>.</v>
      </c>
    </row>
    <row r="184" spans="1:22" hidden="1" x14ac:dyDescent="0.25">
      <c r="A184" s="4">
        <v>45189</v>
      </c>
      <c r="B184" s="5" t="s">
        <v>171</v>
      </c>
      <c r="C184" s="5" t="s">
        <v>172</v>
      </c>
      <c r="D184" s="5" t="s">
        <v>154</v>
      </c>
      <c r="E184" s="5">
        <v>-48.94</v>
      </c>
      <c r="F184" s="5" t="s">
        <v>9</v>
      </c>
      <c r="G184" s="5" t="s">
        <v>195</v>
      </c>
      <c r="H184" s="5"/>
      <c r="I184" s="5"/>
      <c r="J184" s="5"/>
      <c r="K184" s="5"/>
      <c r="L184" s="5"/>
      <c r="M184" s="5"/>
      <c r="N184" s="1">
        <f>IF( ISBLANK(LogTable2023[[#This Row],[Date_o]]), IF(ISBLANK(LogTable2023[[#This Row],[Date_i]]), "", LogTable2023[[#This Row],[Date_i]]), LogTable2023[[#This Row],[Date_o]])</f>
        <v>45189</v>
      </c>
      <c r="O184" t="str">
        <f>IF( ISBLANK(LogTable2023[[#This Row],[Description_o]]), IF(ISBLANK(LogTable2023[[#This Row],[Description_i]]), "", LogTable2023[[#This Row],[Description_i]]), LogTable2023[[#This Row],[Description_o]])</f>
        <v>The Home Depot</v>
      </c>
      <c r="P184" t="str">
        <f>IF( ISBLANK(LogTable2023[[#This Row],[Original Description_o]]), IF(ISBLANK(LogTable2023[[#This Row],[Original Description_i]]), "", LogTable2023[[#This Row],[Original Description_i]]), LogTable2023[[#This Row],[Original Description_o]])</f>
        <v>THE HOME DEPOT #1546     BOULDER      CO</v>
      </c>
      <c r="Q184" t="str">
        <f>IF( ISBLANK(LogTable2023[[#This Row],[Category_o]]), IF(ISBLANK(LogTable2023[[#This Row],[Category_i]]), "", LogTable2023[[#This Row],[Category_i]]), LogTable2023[[#This Row],[Category_o]])</f>
        <v>Home Improvement</v>
      </c>
      <c r="R184" s="10">
        <f>IF( ISBLANK(LogTable2023[[#This Row],[Amount_o]]), IF(ISBLANK(LogTable2023[[#This Row],[Amount_i]]), "", LogTable2023[[#This Row],[Amount_i]]), LogTable2023[[#This Row],[Amount_o]])</f>
        <v>-48.94</v>
      </c>
      <c r="S184" s="1" t="str">
        <f>IF( ISBLANK(LogTable2023[[#This Row],[Status_o]]), IF(ISBLANK(LogTable2023[[#This Row],[Status_i]]), "", LogTable2023[[#This Row],[Status_i]]), LogTable2023[[#This Row],[Status_o]])</f>
        <v>Posted</v>
      </c>
      <c r="T184" t="s">
        <v>295</v>
      </c>
      <c r="U184" t="str">
        <f>IF( _xlfn.IFNA(MATCH(LogTable2023[[#This Row],[My Category]], Buckets!$D$4:$D$35, 0), FALSE), ".", "E")</f>
        <v>.</v>
      </c>
    </row>
    <row r="185" spans="1:22" hidden="1" x14ac:dyDescent="0.25">
      <c r="A185" s="4">
        <v>45189</v>
      </c>
      <c r="B185" s="5" t="s">
        <v>77</v>
      </c>
      <c r="C185" s="5" t="s">
        <v>78</v>
      </c>
      <c r="D185" s="5" t="s">
        <v>32</v>
      </c>
      <c r="E185" s="5">
        <v>-50</v>
      </c>
      <c r="F185" s="5" t="s">
        <v>9</v>
      </c>
      <c r="G185" s="5" t="s">
        <v>195</v>
      </c>
      <c r="H185" s="5"/>
      <c r="I185" s="5"/>
      <c r="J185" s="5"/>
      <c r="K185" s="5"/>
      <c r="L185" s="5"/>
      <c r="M185" s="5"/>
      <c r="N185" s="1">
        <f>IF( ISBLANK(LogTable2023[[#This Row],[Date_o]]), IF(ISBLANK(LogTable2023[[#This Row],[Date_i]]), "", LogTable2023[[#This Row],[Date_i]]), LogTable2023[[#This Row],[Date_o]])</f>
        <v>45189</v>
      </c>
      <c r="O185" t="str">
        <f>IF( ISBLANK(LogTable2023[[#This Row],[Description_o]]), IF(ISBLANK(LogTable2023[[#This Row],[Description_i]]), "", LogTable2023[[#This Row],[Description_i]]), LogTable2023[[#This Row],[Description_o]])</f>
        <v>Steam</v>
      </c>
      <c r="P185" t="str">
        <f>IF( ISBLANK(LogTable2023[[#This Row],[Original Description_o]]), IF(ISBLANK(LogTable2023[[#This Row],[Original Description_i]]), "", LogTable2023[[#This Row],[Original Description_i]]), LogTable2023[[#This Row],[Original Description_o]])</f>
        <v>PAYPAL *STEAM GAMES      4259522985   WA</v>
      </c>
      <c r="Q185" t="str">
        <f>IF( ISBLANK(LogTable2023[[#This Row],[Category_o]]), IF(ISBLANK(LogTable2023[[#This Row],[Category_i]]), "", LogTable2023[[#This Row],[Category_i]]), LogTable2023[[#This Row],[Category_o]])</f>
        <v>Entertainment</v>
      </c>
      <c r="R185" s="10">
        <f>IF( ISBLANK(LogTable2023[[#This Row],[Amount_o]]), IF(ISBLANK(LogTable2023[[#This Row],[Amount_i]]), "", LogTable2023[[#This Row],[Amount_i]]), LogTable2023[[#This Row],[Amount_o]])</f>
        <v>-50</v>
      </c>
      <c r="S185" s="1" t="str">
        <f>IF( ISBLANK(LogTable2023[[#This Row],[Status_o]]), IF(ISBLANK(LogTable2023[[#This Row],[Status_i]]), "", LogTable2023[[#This Row],[Status_i]]), LogTable2023[[#This Row],[Status_o]])</f>
        <v>Posted</v>
      </c>
      <c r="T185" t="s">
        <v>304</v>
      </c>
      <c r="U185" t="str">
        <f>IF( _xlfn.IFNA(MATCH(LogTable2023[[#This Row],[My Category]], Buckets!$D$4:$D$35, 0), FALSE), ".", "E")</f>
        <v>.</v>
      </c>
      <c r="V185" t="s">
        <v>347</v>
      </c>
    </row>
    <row r="186" spans="1:22" hidden="1" x14ac:dyDescent="0.25">
      <c r="A186" s="4">
        <v>45188</v>
      </c>
      <c r="B186" s="5" t="s">
        <v>173</v>
      </c>
      <c r="C186" s="5" t="s">
        <v>174</v>
      </c>
      <c r="D186" s="5" t="s">
        <v>27</v>
      </c>
      <c r="E186" s="5">
        <v>-0.41</v>
      </c>
      <c r="F186" s="5" t="s">
        <v>9</v>
      </c>
      <c r="G186" s="5" t="s">
        <v>195</v>
      </c>
      <c r="H186" s="5"/>
      <c r="I186" s="5"/>
      <c r="J186" s="5"/>
      <c r="K186" s="5"/>
      <c r="L186" s="5"/>
      <c r="M186" s="5"/>
      <c r="N186" s="1">
        <f>IF( ISBLANK(LogTable2023[[#This Row],[Date_o]]), IF(ISBLANK(LogTable2023[[#This Row],[Date_i]]), "", LogTable2023[[#This Row],[Date_i]]), LogTable2023[[#This Row],[Date_o]])</f>
        <v>45188</v>
      </c>
      <c r="O186" t="str">
        <f>IF( ISBLANK(LogTable2023[[#This Row],[Description_o]]), IF(ISBLANK(LogTable2023[[#This Row],[Description_i]]), "", LogTable2023[[#This Row],[Description_i]]), LogTable2023[[#This Row],[Description_o]])</f>
        <v>Chick-fil-A</v>
      </c>
      <c r="P186" t="str">
        <f>IF( ISBLANK(LogTable2023[[#This Row],[Original Description_o]]), IF(ISBLANK(LogTable2023[[#This Row],[Original Description_i]]), "", LogTable2023[[#This Row],[Original Description_i]]), LogTable2023[[#This Row],[Original Description_o]])</f>
        <v>CHICK-FIL-A #01291       THORNTON     CO</v>
      </c>
      <c r="Q186" t="str">
        <f>IF( ISBLANK(LogTable2023[[#This Row],[Category_o]]), IF(ISBLANK(LogTable2023[[#This Row],[Category_i]]), "", LogTable2023[[#This Row],[Category_i]]), LogTable2023[[#This Row],[Category_o]])</f>
        <v>Fast Food</v>
      </c>
      <c r="R186" s="10">
        <f>IF( ISBLANK(LogTable2023[[#This Row],[Amount_o]]), IF(ISBLANK(LogTable2023[[#This Row],[Amount_i]]), "", LogTable2023[[#This Row],[Amount_i]]), LogTable2023[[#This Row],[Amount_o]])</f>
        <v>-0.41</v>
      </c>
      <c r="S186" s="1" t="str">
        <f>IF( ISBLANK(LogTable2023[[#This Row],[Status_o]]), IF(ISBLANK(LogTable2023[[#This Row],[Status_i]]), "", LogTable2023[[#This Row],[Status_i]]), LogTable2023[[#This Row],[Status_o]])</f>
        <v>Posted</v>
      </c>
      <c r="T186" t="s">
        <v>348</v>
      </c>
      <c r="U186" t="str">
        <f>IF( _xlfn.IFNA(MATCH(LogTable2023[[#This Row],[My Category]], Buckets!$D$4:$D$35, 0), FALSE), ".", "E")</f>
        <v>.</v>
      </c>
    </row>
    <row r="187" spans="1:22" hidden="1" x14ac:dyDescent="0.25">
      <c r="A187" s="4">
        <v>45188</v>
      </c>
      <c r="B187" s="5" t="s">
        <v>213</v>
      </c>
      <c r="C187" s="5" t="s">
        <v>249</v>
      </c>
      <c r="D187" s="5" t="s">
        <v>215</v>
      </c>
      <c r="E187" s="5">
        <v>-60.74</v>
      </c>
      <c r="F187" s="5" t="s">
        <v>9</v>
      </c>
      <c r="G187" s="5" t="s">
        <v>269</v>
      </c>
      <c r="H187" s="5"/>
      <c r="I187" s="5"/>
      <c r="J187" s="5"/>
      <c r="K187" s="5"/>
      <c r="L187" s="5"/>
      <c r="M187" s="5"/>
      <c r="N187" s="1">
        <f>IF( ISBLANK(LogTable2023[[#This Row],[Date_o]]), IF(ISBLANK(LogTable2023[[#This Row],[Date_i]]), "", LogTable2023[[#This Row],[Date_i]]), LogTable2023[[#This Row],[Date_o]])</f>
        <v>45188</v>
      </c>
      <c r="O187" t="str">
        <f>IF( ISBLANK(LogTable2023[[#This Row],[Description_o]]), IF(ISBLANK(LogTable2023[[#This Row],[Description_i]]), "", LogTable2023[[#This Row],[Description_i]]), LogTable2023[[#This Row],[Description_o]])</f>
        <v>Comcast</v>
      </c>
      <c r="P187" t="str">
        <f>IF( ISBLANK(LogTable2023[[#This Row],[Original Description_o]]), IF(ISBLANK(LogTable2023[[#This Row],[Original Description_i]]), "", LogTable2023[[#This Row],[Original Description_i]]), LogTable2023[[#This Row],[Original Description_o]])</f>
        <v>COMCAST 8497101  004180591  ***********8801</v>
      </c>
      <c r="Q187" t="str">
        <f>IF( ISBLANK(LogTable2023[[#This Row],[Category_o]]), IF(ISBLANK(LogTable2023[[#This Row],[Category_i]]), "", LogTable2023[[#This Row],[Category_i]]), LogTable2023[[#This Row],[Category_o]])</f>
        <v>Utilities</v>
      </c>
      <c r="R187" s="10">
        <f>IF( ISBLANK(LogTable2023[[#This Row],[Amount_o]]), IF(ISBLANK(LogTable2023[[#This Row],[Amount_i]]), "", LogTable2023[[#This Row],[Amount_i]]), LogTable2023[[#This Row],[Amount_o]])</f>
        <v>-60.74</v>
      </c>
      <c r="S187" s="1" t="str">
        <f>IF( ISBLANK(LogTable2023[[#This Row],[Status_o]]), IF(ISBLANK(LogTable2023[[#This Row],[Status_i]]), "", LogTable2023[[#This Row],[Status_i]]), LogTable2023[[#This Row],[Status_o]])</f>
        <v>Posted</v>
      </c>
      <c r="T187" t="s">
        <v>294</v>
      </c>
      <c r="U187" t="str">
        <f>IF( _xlfn.IFNA(MATCH(LogTable2023[[#This Row],[My Category]], Buckets!$D$4:$D$35, 0), FALSE), ".", "E")</f>
        <v>.</v>
      </c>
    </row>
    <row r="188" spans="1:22" hidden="1" x14ac:dyDescent="0.25">
      <c r="A188" s="4">
        <v>45187</v>
      </c>
      <c r="B188" s="5" t="s">
        <v>175</v>
      </c>
      <c r="C188" s="5" t="s">
        <v>176</v>
      </c>
      <c r="D188" s="5" t="s">
        <v>177</v>
      </c>
      <c r="E188" s="5">
        <v>-215</v>
      </c>
      <c r="F188" s="5" t="s">
        <v>9</v>
      </c>
      <c r="G188" s="5" t="s">
        <v>195</v>
      </c>
      <c r="H188" s="5"/>
      <c r="I188" s="5"/>
      <c r="J188" s="5"/>
      <c r="K188" s="5"/>
      <c r="L188" s="5"/>
      <c r="M188" s="5"/>
      <c r="N188" s="1">
        <f>IF( ISBLANK(LogTable2023[[#This Row],[Date_o]]), IF(ISBLANK(LogTable2023[[#This Row],[Date_i]]), "", LogTable2023[[#This Row],[Date_i]]), LogTable2023[[#This Row],[Date_o]])</f>
        <v>45187</v>
      </c>
      <c r="O188" t="str">
        <f>IF( ISBLANK(LogTable2023[[#This Row],[Description_o]]), IF(ISBLANK(LogTable2023[[#This Row],[Description_i]]), "", LogTable2023[[#This Row],[Description_i]]), LogTable2023[[#This Row],[Description_o]])</f>
        <v>Ysi Tennyson Place</v>
      </c>
      <c r="P188" t="str">
        <f>IF( ISBLANK(LogTable2023[[#This Row],[Original Description_o]]), IF(ISBLANK(LogTable2023[[#This Row],[Original Description_i]]), "", LogTable2023[[#This Row],[Original Description_i]]), LogTable2023[[#This Row],[Original Description_o]])</f>
        <v>YSI*Tennyson Place       303-3331999  CO</v>
      </c>
      <c r="Q188" t="str">
        <f>IF( ISBLANK(LogTable2023[[#This Row],[Category_o]]), IF(ISBLANK(LogTable2023[[#This Row],[Category_i]]), "", LogTable2023[[#This Row],[Category_i]]), LogTable2023[[#This Row],[Category_o]])</f>
        <v>Mortgage &amp; Rent</v>
      </c>
      <c r="R188" s="10">
        <f>IF( ISBLANK(LogTable2023[[#This Row],[Amount_o]]), IF(ISBLANK(LogTable2023[[#This Row],[Amount_i]]), "", LogTable2023[[#This Row],[Amount_i]]), LogTable2023[[#This Row],[Amount_o]])</f>
        <v>-215</v>
      </c>
      <c r="S188" s="1" t="str">
        <f>IF( ISBLANK(LogTable2023[[#This Row],[Status_o]]), IF(ISBLANK(LogTable2023[[#This Row],[Status_i]]), "", LogTable2023[[#This Row],[Status_i]]), LogTable2023[[#This Row],[Status_o]])</f>
        <v>Posted</v>
      </c>
      <c r="T188" t="s">
        <v>293</v>
      </c>
      <c r="U188" t="str">
        <f>IF( _xlfn.IFNA(MATCH(LogTable2023[[#This Row],[My Category]], Buckets!$D$4:$D$35, 0), FALSE), ".", "E")</f>
        <v>.</v>
      </c>
      <c r="V188" t="s">
        <v>353</v>
      </c>
    </row>
    <row r="189" spans="1:22" hidden="1" x14ac:dyDescent="0.25">
      <c r="A189" s="4">
        <v>45187</v>
      </c>
      <c r="B189" s="5" t="s">
        <v>178</v>
      </c>
      <c r="C189" s="5" t="s">
        <v>179</v>
      </c>
      <c r="D189" s="5" t="s">
        <v>21</v>
      </c>
      <c r="E189" s="5">
        <v>-12.18</v>
      </c>
      <c r="F189" s="5" t="s">
        <v>9</v>
      </c>
      <c r="G189" s="5" t="s">
        <v>195</v>
      </c>
      <c r="H189" s="5"/>
      <c r="I189" s="5"/>
      <c r="J189" s="5"/>
      <c r="K189" s="5"/>
      <c r="L189" s="5"/>
      <c r="M189" s="5"/>
      <c r="N189" s="1">
        <f>IF( ISBLANK(LogTable2023[[#This Row],[Date_o]]), IF(ISBLANK(LogTable2023[[#This Row],[Date_i]]), "", LogTable2023[[#This Row],[Date_i]]), LogTable2023[[#This Row],[Date_o]])</f>
        <v>45187</v>
      </c>
      <c r="O189" t="str">
        <f>IF( ISBLANK(LogTable2023[[#This Row],[Description_o]]), IF(ISBLANK(LogTable2023[[#This Row],[Description_i]]), "", LogTable2023[[#This Row],[Description_i]]), LogTable2023[[#This Row],[Description_o]])</f>
        <v>Cava Boulder</v>
      </c>
      <c r="P189" t="str">
        <f>IF( ISBLANK(LogTable2023[[#This Row],[Original Description_o]]), IF(ISBLANK(LogTable2023[[#This Row],[Original Description_i]]), "", LogTable2023[[#This Row],[Original Description_i]]), LogTable2023[[#This Row],[Original Description_o]])</f>
        <v>10106 CAVA BOULDER       BOULDER      CO</v>
      </c>
      <c r="Q189" t="str">
        <f>IF( ISBLANK(LogTable2023[[#This Row],[Category_o]]), IF(ISBLANK(LogTable2023[[#This Row],[Category_i]]), "", LogTable2023[[#This Row],[Category_i]]), LogTable2023[[#This Row],[Category_o]])</f>
        <v>Restaurants</v>
      </c>
      <c r="R189" s="10">
        <f>IF( ISBLANK(LogTable2023[[#This Row],[Amount_o]]), IF(ISBLANK(LogTable2023[[#This Row],[Amount_i]]), "", LogTable2023[[#This Row],[Amount_i]]), LogTable2023[[#This Row],[Amount_o]])</f>
        <v>-12.18</v>
      </c>
      <c r="S189" s="1" t="str">
        <f>IF( ISBLANK(LogTable2023[[#This Row],[Status_o]]), IF(ISBLANK(LogTable2023[[#This Row],[Status_i]]), "", LogTable2023[[#This Row],[Status_i]]), LogTable2023[[#This Row],[Status_o]])</f>
        <v>Posted</v>
      </c>
      <c r="T189" t="s">
        <v>348</v>
      </c>
      <c r="U189" t="str">
        <f>IF( _xlfn.IFNA(MATCH(LogTable2023[[#This Row],[My Category]], Buckets!$D$4:$D$35, 0), FALSE), ".", "E")</f>
        <v>.</v>
      </c>
    </row>
    <row r="190" spans="1:22" hidden="1" x14ac:dyDescent="0.25">
      <c r="A190" s="4">
        <v>45187</v>
      </c>
      <c r="B190" s="5" t="s">
        <v>180</v>
      </c>
      <c r="C190" s="5" t="s">
        <v>181</v>
      </c>
      <c r="D190" s="5" t="s">
        <v>15</v>
      </c>
      <c r="E190" s="5">
        <v>-71.59</v>
      </c>
      <c r="F190" s="5" t="s">
        <v>9</v>
      </c>
      <c r="G190" s="5" t="s">
        <v>195</v>
      </c>
      <c r="H190" s="5"/>
      <c r="I190" s="5"/>
      <c r="J190" s="5"/>
      <c r="K190" s="5"/>
      <c r="L190" s="5"/>
      <c r="M190" s="5"/>
      <c r="N190" s="1">
        <f>IF( ISBLANK(LogTable2023[[#This Row],[Date_o]]), IF(ISBLANK(LogTable2023[[#This Row],[Date_i]]), "", LogTable2023[[#This Row],[Date_i]]), LogTable2023[[#This Row],[Date_o]])</f>
        <v>45187</v>
      </c>
      <c r="O190" t="str">
        <f>IF( ISBLANK(LogTable2023[[#This Row],[Description_o]]), IF(ISBLANK(LogTable2023[[#This Row],[Description_i]]), "", LogTable2023[[#This Row],[Description_i]]), LogTable2023[[#This Row],[Description_o]])</f>
        <v>Safeway</v>
      </c>
      <c r="P190" t="str">
        <f>IF( ISBLANK(LogTable2023[[#This Row],[Original Description_o]]), IF(ISBLANK(LogTable2023[[#This Row],[Original Description_i]]), "", LogTable2023[[#This Row],[Original Description_i]]), LogTable2023[[#This Row],[Original Description_o]])</f>
        <v>SAFEWAY #2911            BOULDER      CO</v>
      </c>
      <c r="Q190" t="str">
        <f>IF( ISBLANK(LogTable2023[[#This Row],[Category_o]]), IF(ISBLANK(LogTable2023[[#This Row],[Category_i]]), "", LogTable2023[[#This Row],[Category_i]]), LogTable2023[[#This Row],[Category_o]])</f>
        <v>Groceries</v>
      </c>
      <c r="R190" s="10">
        <f>IF( ISBLANK(LogTable2023[[#This Row],[Amount_o]]), IF(ISBLANK(LogTable2023[[#This Row],[Amount_i]]), "", LogTable2023[[#This Row],[Amount_i]]), LogTable2023[[#This Row],[Amount_o]])</f>
        <v>-71.59</v>
      </c>
      <c r="S190" s="1" t="str">
        <f>IF( ISBLANK(LogTable2023[[#This Row],[Status_o]]), IF(ISBLANK(LogTable2023[[#This Row],[Status_i]]), "", LogTable2023[[#This Row],[Status_i]]), LogTable2023[[#This Row],[Status_o]])</f>
        <v>Posted</v>
      </c>
      <c r="T190" t="s">
        <v>15</v>
      </c>
      <c r="U190" t="str">
        <f>IF( _xlfn.IFNA(MATCH(LogTable2023[[#This Row],[My Category]], Buckets!$D$4:$D$35, 0), FALSE), ".", "E")</f>
        <v>.</v>
      </c>
    </row>
    <row r="191" spans="1:22" hidden="1" x14ac:dyDescent="0.25">
      <c r="A191" s="4">
        <v>45187</v>
      </c>
      <c r="B191" s="5" t="s">
        <v>77</v>
      </c>
      <c r="C191" s="5" t="s">
        <v>78</v>
      </c>
      <c r="D191" s="5" t="s">
        <v>32</v>
      </c>
      <c r="E191" s="5">
        <v>-10.81</v>
      </c>
      <c r="F191" s="5" t="s">
        <v>9</v>
      </c>
      <c r="G191" s="5" t="s">
        <v>195</v>
      </c>
      <c r="H191" s="5"/>
      <c r="I191" s="5"/>
      <c r="J191" s="5"/>
      <c r="K191" s="5"/>
      <c r="L191" s="5"/>
      <c r="M191" s="5"/>
      <c r="N191" s="1">
        <f>IF( ISBLANK(LogTable2023[[#This Row],[Date_o]]), IF(ISBLANK(LogTable2023[[#This Row],[Date_i]]), "", LogTable2023[[#This Row],[Date_i]]), LogTable2023[[#This Row],[Date_o]])</f>
        <v>45187</v>
      </c>
      <c r="O191" t="str">
        <f>IF( ISBLANK(LogTable2023[[#This Row],[Description_o]]), IF(ISBLANK(LogTable2023[[#This Row],[Description_i]]), "", LogTable2023[[#This Row],[Description_i]]), LogTable2023[[#This Row],[Description_o]])</f>
        <v>Steam</v>
      </c>
      <c r="P191" t="str">
        <f>IF( ISBLANK(LogTable2023[[#This Row],[Original Description_o]]), IF(ISBLANK(LogTable2023[[#This Row],[Original Description_i]]), "", LogTable2023[[#This Row],[Original Description_i]]), LogTable2023[[#This Row],[Original Description_o]])</f>
        <v>PAYPAL *STEAM GAMES      4259522985   WA</v>
      </c>
      <c r="Q191" t="str">
        <f>IF( ISBLANK(LogTable2023[[#This Row],[Category_o]]), IF(ISBLANK(LogTable2023[[#This Row],[Category_i]]), "", LogTable2023[[#This Row],[Category_i]]), LogTable2023[[#This Row],[Category_o]])</f>
        <v>Entertainment</v>
      </c>
      <c r="R191" s="10">
        <f>IF( ISBLANK(LogTable2023[[#This Row],[Amount_o]]), IF(ISBLANK(LogTable2023[[#This Row],[Amount_i]]), "", LogTable2023[[#This Row],[Amount_i]]), LogTable2023[[#This Row],[Amount_o]])</f>
        <v>-10.81</v>
      </c>
      <c r="S191" s="1" t="str">
        <f>IF( ISBLANK(LogTable2023[[#This Row],[Status_o]]), IF(ISBLANK(LogTable2023[[#This Row],[Status_i]]), "", LogTable2023[[#This Row],[Status_i]]), LogTable2023[[#This Row],[Status_o]])</f>
        <v>Posted</v>
      </c>
      <c r="T191" t="s">
        <v>289</v>
      </c>
      <c r="U191" t="str">
        <f>IF( _xlfn.IFNA(MATCH(LogTable2023[[#This Row],[My Category]], Buckets!$D$4:$D$35, 0), FALSE), ".", "E")</f>
        <v>.</v>
      </c>
    </row>
    <row r="192" spans="1:22" hidden="1" x14ac:dyDescent="0.25">
      <c r="A192" s="4">
        <v>45187</v>
      </c>
      <c r="B192" s="5" t="s">
        <v>182</v>
      </c>
      <c r="C192" s="5" t="s">
        <v>183</v>
      </c>
      <c r="D192" s="5" t="s">
        <v>12</v>
      </c>
      <c r="E192" s="5">
        <v>-38.17</v>
      </c>
      <c r="F192" s="5" t="s">
        <v>9</v>
      </c>
      <c r="G192" s="5" t="s">
        <v>195</v>
      </c>
      <c r="H192" s="5"/>
      <c r="I192" s="5"/>
      <c r="J192" s="5"/>
      <c r="K192" s="5"/>
      <c r="L192" s="5"/>
      <c r="M192" s="5"/>
      <c r="N192" s="1">
        <f>IF( ISBLANK(LogTable2023[[#This Row],[Date_o]]), IF(ISBLANK(LogTable2023[[#This Row],[Date_i]]), "", LogTable2023[[#This Row],[Date_i]]), LogTable2023[[#This Row],[Date_o]])</f>
        <v>45187</v>
      </c>
      <c r="O192" t="str">
        <f>IF( ISBLANK(LogTable2023[[#This Row],[Description_o]]), IF(ISBLANK(LogTable2023[[#This Row],[Description_i]]), "", LogTable2023[[#This Row],[Description_i]]), LogTable2023[[#This Row],[Description_o]])</f>
        <v>Target</v>
      </c>
      <c r="P192" t="str">
        <f>IF( ISBLANK(LogTable2023[[#This Row],[Original Description_o]]), IF(ISBLANK(LogTable2023[[#This Row],[Original Description_i]]), "", LogTable2023[[#This Row],[Original Description_i]]), LogTable2023[[#This Row],[Original Description_o]])</f>
        <v>TARGET        00000646   BOULDER      CO</v>
      </c>
      <c r="Q192" t="str">
        <f>IF( ISBLANK(LogTable2023[[#This Row],[Category_o]]), IF(ISBLANK(LogTable2023[[#This Row],[Category_i]]), "", LogTable2023[[#This Row],[Category_i]]), LogTable2023[[#This Row],[Category_o]])</f>
        <v>Shopping</v>
      </c>
      <c r="R192" s="10">
        <f>IF( ISBLANK(LogTable2023[[#This Row],[Amount_o]]), IF(ISBLANK(LogTable2023[[#This Row],[Amount_i]]), "", LogTable2023[[#This Row],[Amount_i]]), LogTable2023[[#This Row],[Amount_o]])</f>
        <v>-38.17</v>
      </c>
      <c r="S192" s="1" t="str">
        <f>IF( ISBLANK(LogTable2023[[#This Row],[Status_o]]), IF(ISBLANK(LogTable2023[[#This Row],[Status_i]]), "", LogTable2023[[#This Row],[Status_i]]), LogTable2023[[#This Row],[Status_o]])</f>
        <v>Posted</v>
      </c>
      <c r="T192" t="s">
        <v>295</v>
      </c>
      <c r="U192" t="str">
        <f>IF( _xlfn.IFNA(MATCH(LogTable2023[[#This Row],[My Category]], Buckets!$D$4:$D$35, 0), FALSE), ".", "E")</f>
        <v>.</v>
      </c>
    </row>
    <row r="193" spans="1:22" hidden="1" x14ac:dyDescent="0.25">
      <c r="A193" s="4">
        <v>45187</v>
      </c>
      <c r="B193" s="5" t="s">
        <v>230</v>
      </c>
      <c r="C193" s="5" t="s">
        <v>231</v>
      </c>
      <c r="D193" s="5" t="s">
        <v>215</v>
      </c>
      <c r="E193" s="5">
        <v>-41.98</v>
      </c>
      <c r="F193" s="5" t="s">
        <v>9</v>
      </c>
      <c r="G193" s="5" t="s">
        <v>269</v>
      </c>
      <c r="H193" s="5"/>
      <c r="I193" s="5"/>
      <c r="J193" s="5"/>
      <c r="K193" s="5"/>
      <c r="L193" s="5"/>
      <c r="M193" s="5"/>
      <c r="N193" s="1">
        <f>IF( ISBLANK(LogTable2023[[#This Row],[Date_o]]), IF(ISBLANK(LogTable2023[[#This Row],[Date_i]]), "", LogTable2023[[#This Row],[Date_i]]), LogTable2023[[#This Row],[Date_o]])</f>
        <v>45187</v>
      </c>
      <c r="O193" t="str">
        <f>IF( ISBLANK(LogTable2023[[#This Row],[Description_o]]), IF(ISBLANK(LogTable2023[[#This Row],[Description_i]]), "", LogTable2023[[#This Row],[Description_i]]), LogTable2023[[#This Row],[Description_o]])</f>
        <v>Xcel Energy</v>
      </c>
      <c r="P193" t="str">
        <f>IF( ISBLANK(LogTable2023[[#This Row],[Original Description_o]]), IF(ISBLANK(LogTable2023[[#This Row],[Original Description_i]]), "", LogTable2023[[#This Row],[Original Description_i]]), LogTable2023[[#This Row],[Original Description_o]])</f>
        <v>XCEL ENERGY-PSCO XCELENERGY ***********6821</v>
      </c>
      <c r="Q193" t="str">
        <f>IF( ISBLANK(LogTable2023[[#This Row],[Category_o]]), IF(ISBLANK(LogTable2023[[#This Row],[Category_i]]), "", LogTable2023[[#This Row],[Category_i]]), LogTable2023[[#This Row],[Category_o]])</f>
        <v>Utilities</v>
      </c>
      <c r="R193" s="10">
        <f>IF( ISBLANK(LogTable2023[[#This Row],[Amount_o]]), IF(ISBLANK(LogTable2023[[#This Row],[Amount_i]]), "", LogTable2023[[#This Row],[Amount_i]]), LogTable2023[[#This Row],[Amount_o]])</f>
        <v>-41.98</v>
      </c>
      <c r="S193" s="1" t="str">
        <f>IF( ISBLANK(LogTable2023[[#This Row],[Status_o]]), IF(ISBLANK(LogTable2023[[#This Row],[Status_i]]), "", LogTable2023[[#This Row],[Status_i]]), LogTable2023[[#This Row],[Status_o]])</f>
        <v>Posted</v>
      </c>
      <c r="T193" t="s">
        <v>215</v>
      </c>
      <c r="U193" t="str">
        <f>IF( _xlfn.IFNA(MATCH(LogTable2023[[#This Row],[My Category]], Buckets!$D$4:$D$35, 0), FALSE), ".", "E")</f>
        <v>.</v>
      </c>
    </row>
    <row r="194" spans="1:22" hidden="1" x14ac:dyDescent="0.25">
      <c r="A194" s="4">
        <v>45185</v>
      </c>
      <c r="B194" s="5" t="s">
        <v>184</v>
      </c>
      <c r="C194" s="5" t="s">
        <v>185</v>
      </c>
      <c r="D194" s="5" t="s">
        <v>39</v>
      </c>
      <c r="E194" s="5">
        <v>-43.81</v>
      </c>
      <c r="F194" s="5" t="s">
        <v>9</v>
      </c>
      <c r="G194" s="5" t="s">
        <v>195</v>
      </c>
      <c r="H194" s="5"/>
      <c r="I194" s="5"/>
      <c r="J194" s="5"/>
      <c r="K194" s="5"/>
      <c r="L194" s="5"/>
      <c r="M194" s="5"/>
      <c r="N194" s="1">
        <f>IF( ISBLANK(LogTable2023[[#This Row],[Date_o]]), IF(ISBLANK(LogTable2023[[#This Row],[Date_i]]), "", LogTable2023[[#This Row],[Date_i]]), LogTable2023[[#This Row],[Date_o]])</f>
        <v>45185</v>
      </c>
      <c r="O194" t="str">
        <f>IF( ISBLANK(LogTable2023[[#This Row],[Description_o]]), IF(ISBLANK(LogTable2023[[#This Row],[Description_i]]), "", LogTable2023[[#This Row],[Description_i]]), LogTable2023[[#This Row],[Description_o]])</f>
        <v>Circle K</v>
      </c>
      <c r="P194" t="str">
        <f>IF( ISBLANK(LogTable2023[[#This Row],[Original Description_o]]), IF(ISBLANK(LogTable2023[[#This Row],[Original Description_i]]), "", LogTable2023[[#This Row],[Original Description_i]]), LogTable2023[[#This Row],[Original Description_o]])</f>
        <v>CIRCLE K # 41110         BOULDER      CO</v>
      </c>
      <c r="Q194" t="str">
        <f>IF( ISBLANK(LogTable2023[[#This Row],[Category_o]]), IF(ISBLANK(LogTable2023[[#This Row],[Category_i]]), "", LogTable2023[[#This Row],[Category_i]]), LogTable2023[[#This Row],[Category_o]])</f>
        <v>Gas</v>
      </c>
      <c r="R194" s="10">
        <f>IF( ISBLANK(LogTable2023[[#This Row],[Amount_o]]), IF(ISBLANK(LogTable2023[[#This Row],[Amount_i]]), "", LogTable2023[[#This Row],[Amount_i]]), LogTable2023[[#This Row],[Amount_o]])</f>
        <v>-43.81</v>
      </c>
      <c r="S194" s="1" t="str">
        <f>IF( ISBLANK(LogTable2023[[#This Row],[Status_o]]), IF(ISBLANK(LogTable2023[[#This Row],[Status_i]]), "", LogTable2023[[#This Row],[Status_i]]), LogTable2023[[#This Row],[Status_o]])</f>
        <v>Posted</v>
      </c>
      <c r="T194" t="s">
        <v>283</v>
      </c>
      <c r="U194" t="str">
        <f>IF( _xlfn.IFNA(MATCH(LogTable2023[[#This Row],[My Category]], Buckets!$D$4:$D$35, 0), FALSE), ".", "E")</f>
        <v>.</v>
      </c>
    </row>
    <row r="195" spans="1:22" hidden="1" x14ac:dyDescent="0.25">
      <c r="A195" s="4">
        <v>45185</v>
      </c>
      <c r="B195" s="5" t="s">
        <v>100</v>
      </c>
      <c r="C195" s="5" t="s">
        <v>101</v>
      </c>
      <c r="D195" s="5" t="s">
        <v>32</v>
      </c>
      <c r="E195" s="5">
        <v>-2</v>
      </c>
      <c r="F195" s="5" t="s">
        <v>9</v>
      </c>
      <c r="G195" s="5" t="s">
        <v>195</v>
      </c>
      <c r="H195" s="5"/>
      <c r="I195" s="5"/>
      <c r="J195" s="5"/>
      <c r="K195" s="5"/>
      <c r="L195" s="5"/>
      <c r="M195" s="5"/>
      <c r="N195" s="1">
        <f>IF( ISBLANK(LogTable2023[[#This Row],[Date_o]]), IF(ISBLANK(LogTable2023[[#This Row],[Date_i]]), "", LogTable2023[[#This Row],[Date_i]]), LogTable2023[[#This Row],[Date_o]])</f>
        <v>45185</v>
      </c>
      <c r="O195" t="str">
        <f>IF( ISBLANK(LogTable2023[[#This Row],[Description_o]]), IF(ISBLANK(LogTable2023[[#This Row],[Description_i]]), "", LogTable2023[[#This Row],[Description_i]]), LogTable2023[[#This Row],[Description_o]])</f>
        <v>Patreon</v>
      </c>
      <c r="P195" t="str">
        <f>IF( ISBLANK(LogTable2023[[#This Row],[Original Description_o]]), IF(ISBLANK(LogTable2023[[#This Row],[Original Description_i]]), "", LogTable2023[[#This Row],[Original Description_i]]), LogTable2023[[#This Row],[Original Description_o]])</f>
        <v>PAYPAL *PATREON INC  MEMB402-935-7733 CA</v>
      </c>
      <c r="Q195" t="str">
        <f>IF( ISBLANK(LogTable2023[[#This Row],[Category_o]]), IF(ISBLANK(LogTable2023[[#This Row],[Category_i]]), "", LogTable2023[[#This Row],[Category_i]]), LogTable2023[[#This Row],[Category_o]])</f>
        <v>Entertainment</v>
      </c>
      <c r="R195" s="10">
        <f>IF( ISBLANK(LogTable2023[[#This Row],[Amount_o]]), IF(ISBLANK(LogTable2023[[#This Row],[Amount_i]]), "", LogTable2023[[#This Row],[Amount_i]]), LogTable2023[[#This Row],[Amount_o]])</f>
        <v>-2</v>
      </c>
      <c r="S195" s="1" t="str">
        <f>IF( ISBLANK(LogTable2023[[#This Row],[Status_o]]), IF(ISBLANK(LogTable2023[[#This Row],[Status_i]]), "", LogTable2023[[#This Row],[Status_i]]), LogTable2023[[#This Row],[Status_o]])</f>
        <v>Posted</v>
      </c>
      <c r="T195" t="s">
        <v>288</v>
      </c>
      <c r="U195" t="str">
        <f>IF( _xlfn.IFNA(MATCH(LogTable2023[[#This Row],[My Category]], Buckets!$D$4:$D$35, 0), FALSE), ".", "E")</f>
        <v>.</v>
      </c>
    </row>
    <row r="196" spans="1:22" hidden="1" x14ac:dyDescent="0.25">
      <c r="A196" s="4">
        <v>45183</v>
      </c>
      <c r="B196" s="5" t="s">
        <v>108</v>
      </c>
      <c r="C196" s="5" t="s">
        <v>109</v>
      </c>
      <c r="D196" s="5" t="s">
        <v>186</v>
      </c>
      <c r="E196" s="5">
        <v>25</v>
      </c>
      <c r="F196" s="5" t="s">
        <v>9</v>
      </c>
      <c r="G196" s="5" t="s">
        <v>195</v>
      </c>
      <c r="H196" s="5"/>
      <c r="I196" s="5"/>
      <c r="J196" s="5"/>
      <c r="K196" s="5"/>
      <c r="L196" s="5"/>
      <c r="M196" s="5"/>
      <c r="N196" s="1">
        <f>IF( ISBLANK(LogTable2023[[#This Row],[Date_o]]), IF(ISBLANK(LogTable2023[[#This Row],[Date_i]]), "", LogTable2023[[#This Row],[Date_i]]), LogTable2023[[#This Row],[Date_o]])</f>
        <v>45183</v>
      </c>
      <c r="O196" t="str">
        <f>IF( ISBLANK(LogTable2023[[#This Row],[Description_o]]), IF(ISBLANK(LogTable2023[[#This Row],[Description_i]]), "", LogTable2023[[#This Row],[Description_i]]), LogTable2023[[#This Row],[Description_o]])</f>
        <v>Recurring Reward Points Redemption</v>
      </c>
      <c r="P196" t="str">
        <f>IF( ISBLANK(LogTable2023[[#This Row],[Original Description_o]]), IF(ISBLANK(LogTable2023[[#This Row],[Original Description_i]]), "", LogTable2023[[#This Row],[Original Description_i]]), LogTable2023[[#This Row],[Original Description_o]])</f>
        <v>RECURRING REWARD POINTS REDEMPTION</v>
      </c>
      <c r="Q196" t="str">
        <f>IF( ISBLANK(LogTable2023[[#This Row],[Category_o]]), IF(ISBLANK(LogTable2023[[#This Row],[Category_i]]), "", LogTable2023[[#This Row],[Category_i]]), LogTable2023[[#This Row],[Category_o]])</f>
        <v>Credit Card Payment</v>
      </c>
      <c r="R196" s="10">
        <f>IF( ISBLANK(LogTable2023[[#This Row],[Amount_o]]), IF(ISBLANK(LogTable2023[[#This Row],[Amount_i]]), "", LogTable2023[[#This Row],[Amount_i]]), LogTable2023[[#This Row],[Amount_o]])</f>
        <v>25</v>
      </c>
      <c r="S196" s="1" t="str">
        <f>IF( ISBLANK(LogTable2023[[#This Row],[Status_o]]), IF(ISBLANK(LogTable2023[[#This Row],[Status_i]]), "", LogTable2023[[#This Row],[Status_i]]), LogTable2023[[#This Row],[Status_o]])</f>
        <v>Posted</v>
      </c>
      <c r="T196" t="s">
        <v>306</v>
      </c>
      <c r="U196" t="str">
        <f>IF( _xlfn.IFNA(MATCH(LogTable2023[[#This Row],[My Category]], Buckets!$D$4:$D$35, 0), FALSE), ".", "E")</f>
        <v>.</v>
      </c>
    </row>
    <row r="197" spans="1:22" hidden="1" x14ac:dyDescent="0.25">
      <c r="A197" s="4">
        <v>45183</v>
      </c>
      <c r="B197" s="5" t="s">
        <v>210</v>
      </c>
      <c r="C197" s="5" t="s">
        <v>211</v>
      </c>
      <c r="D197" s="5" t="s">
        <v>212</v>
      </c>
      <c r="E197" s="5">
        <v>5000</v>
      </c>
      <c r="F197" s="5" t="s">
        <v>9</v>
      </c>
      <c r="G197" s="5" t="s">
        <v>269</v>
      </c>
      <c r="H197" s="5"/>
      <c r="I197" s="5"/>
      <c r="J197" s="5"/>
      <c r="K197" s="5"/>
      <c r="L197" s="5"/>
      <c r="M197" s="5"/>
      <c r="N197" s="1">
        <f>IF( ISBLANK(LogTable2023[[#This Row],[Date_o]]), IF(ISBLANK(LogTable2023[[#This Row],[Date_i]]), "", LogTable2023[[#This Row],[Date_i]]), LogTable2023[[#This Row],[Date_o]])</f>
        <v>45183</v>
      </c>
      <c r="O197" t="str">
        <f>IF( ISBLANK(LogTable2023[[#This Row],[Description_o]]), IF(ISBLANK(LogTable2023[[#This Row],[Description_i]]), "", LogTable2023[[#This Row],[Description_i]]), LogTable2023[[#This Row],[Description_o]])</f>
        <v>Mobile Deposit</v>
      </c>
      <c r="P197" t="str">
        <f>IF( ISBLANK(LogTable2023[[#This Row],[Original Description_o]]), IF(ISBLANK(LogTable2023[[#This Row],[Original Description_i]]), "", LogTable2023[[#This Row],[Original Description_i]]), LogTable2023[[#This Row],[Original Description_o]])</f>
        <v>DEPOSIT@MOBILE</v>
      </c>
      <c r="Q197" t="str">
        <f>IF( ISBLANK(LogTable2023[[#This Row],[Category_o]]), IF(ISBLANK(LogTable2023[[#This Row],[Category_i]]), "", LogTable2023[[#This Row],[Category_i]]), LogTable2023[[#This Row],[Category_o]])</f>
        <v>Income</v>
      </c>
      <c r="R197" s="10">
        <f>IF( ISBLANK(LogTable2023[[#This Row],[Amount_o]]), IF(ISBLANK(LogTable2023[[#This Row],[Amount_i]]), "", LogTable2023[[#This Row],[Amount_i]]), LogTable2023[[#This Row],[Amount_o]])</f>
        <v>5000</v>
      </c>
      <c r="S197" s="1" t="str">
        <f>IF( ISBLANK(LogTable2023[[#This Row],[Status_o]]), IF(ISBLANK(LogTable2023[[#This Row],[Status_i]]), "", LogTable2023[[#This Row],[Status_i]]), LogTable2023[[#This Row],[Status_o]])</f>
        <v>Posted</v>
      </c>
      <c r="T197" t="s">
        <v>309</v>
      </c>
      <c r="U197" t="str">
        <f>IF( _xlfn.IFNA(MATCH(LogTable2023[[#This Row],[My Category]], Buckets!$D$4:$D$35, 0), FALSE), ".", "E")</f>
        <v>.</v>
      </c>
      <c r="V197" t="s">
        <v>363</v>
      </c>
    </row>
    <row r="198" spans="1:22" hidden="1" x14ac:dyDescent="0.25">
      <c r="A198" s="4">
        <v>45182</v>
      </c>
      <c r="B198" s="5" t="s">
        <v>187</v>
      </c>
      <c r="C198" s="5" t="s">
        <v>188</v>
      </c>
      <c r="D198" s="5" t="s">
        <v>27</v>
      </c>
      <c r="E198" s="5">
        <v>-12.86</v>
      </c>
      <c r="F198" s="5" t="s">
        <v>9</v>
      </c>
      <c r="G198" s="5" t="s">
        <v>195</v>
      </c>
      <c r="H198" s="5"/>
      <c r="I198" s="5"/>
      <c r="J198" s="5"/>
      <c r="K198" s="5"/>
      <c r="L198" s="5"/>
      <c r="M198" s="5"/>
      <c r="N198" s="1">
        <f>IF( ISBLANK(LogTable2023[[#This Row],[Date_o]]), IF(ISBLANK(LogTable2023[[#This Row],[Date_i]]), "", LogTable2023[[#This Row],[Date_i]]), LogTable2023[[#This Row],[Date_o]])</f>
        <v>45182</v>
      </c>
      <c r="O198" t="str">
        <f>IF( ISBLANK(LogTable2023[[#This Row],[Description_o]]), IF(ISBLANK(LogTable2023[[#This Row],[Description_i]]), "", LogTable2023[[#This Row],[Description_i]]), LogTable2023[[#This Row],[Description_o]])</f>
        <v>Tokyo Joe's</v>
      </c>
      <c r="P198" t="str">
        <f>IF( ISBLANK(LogTable2023[[#This Row],[Original Description_o]]), IF(ISBLANK(LogTable2023[[#This Row],[Original Description_i]]), "", LogTable2023[[#This Row],[Original Description_i]]), LogTable2023[[#This Row],[Original Description_o]])</f>
        <v>TOKYO JOES 120TH 006     612-3607277  CO</v>
      </c>
      <c r="Q198" t="str">
        <f>IF( ISBLANK(LogTable2023[[#This Row],[Category_o]]), IF(ISBLANK(LogTable2023[[#This Row],[Category_i]]), "", LogTable2023[[#This Row],[Category_i]]), LogTable2023[[#This Row],[Category_o]])</f>
        <v>Fast Food</v>
      </c>
      <c r="R198" s="10">
        <f>IF( ISBLANK(LogTable2023[[#This Row],[Amount_o]]), IF(ISBLANK(LogTable2023[[#This Row],[Amount_i]]), "", LogTable2023[[#This Row],[Amount_i]]), LogTable2023[[#This Row],[Amount_o]])</f>
        <v>-12.86</v>
      </c>
      <c r="S198" s="1" t="str">
        <f>IF( ISBLANK(LogTable2023[[#This Row],[Status_o]]), IF(ISBLANK(LogTable2023[[#This Row],[Status_i]]), "", LogTable2023[[#This Row],[Status_i]]), LogTable2023[[#This Row],[Status_o]])</f>
        <v>Posted</v>
      </c>
      <c r="T198" t="s">
        <v>348</v>
      </c>
      <c r="U198" t="str">
        <f>IF( _xlfn.IFNA(MATCH(LogTable2023[[#This Row],[My Category]], Buckets!$D$4:$D$35, 0), FALSE), ".", "E")</f>
        <v>.</v>
      </c>
    </row>
    <row r="199" spans="1:22" hidden="1" x14ac:dyDescent="0.25">
      <c r="A199" s="4">
        <v>45182</v>
      </c>
      <c r="B199" s="5" t="s">
        <v>180</v>
      </c>
      <c r="C199" s="5" t="s">
        <v>181</v>
      </c>
      <c r="D199" s="5" t="s">
        <v>15</v>
      </c>
      <c r="E199" s="5">
        <v>-33.19</v>
      </c>
      <c r="F199" s="5" t="s">
        <v>9</v>
      </c>
      <c r="G199" s="5" t="s">
        <v>195</v>
      </c>
      <c r="H199" s="5"/>
      <c r="I199" s="5"/>
      <c r="J199" s="5"/>
      <c r="K199" s="5"/>
      <c r="L199" s="5"/>
      <c r="M199" s="5"/>
      <c r="N199" s="1">
        <f>IF( ISBLANK(LogTable2023[[#This Row],[Date_o]]), IF(ISBLANK(LogTable2023[[#This Row],[Date_i]]), "", LogTable2023[[#This Row],[Date_i]]), LogTable2023[[#This Row],[Date_o]])</f>
        <v>45182</v>
      </c>
      <c r="O199" t="str">
        <f>IF( ISBLANK(LogTable2023[[#This Row],[Description_o]]), IF(ISBLANK(LogTable2023[[#This Row],[Description_i]]), "", LogTable2023[[#This Row],[Description_i]]), LogTable2023[[#This Row],[Description_o]])</f>
        <v>Safeway</v>
      </c>
      <c r="P199" t="str">
        <f>IF( ISBLANK(LogTable2023[[#This Row],[Original Description_o]]), IF(ISBLANK(LogTable2023[[#This Row],[Original Description_i]]), "", LogTable2023[[#This Row],[Original Description_i]]), LogTable2023[[#This Row],[Original Description_o]])</f>
        <v>SAFEWAY #2911            BOULDER      CO</v>
      </c>
      <c r="Q199" t="str">
        <f>IF( ISBLANK(LogTable2023[[#This Row],[Category_o]]), IF(ISBLANK(LogTable2023[[#This Row],[Category_i]]), "", LogTable2023[[#This Row],[Category_i]]), LogTable2023[[#This Row],[Category_o]])</f>
        <v>Groceries</v>
      </c>
      <c r="R199" s="10">
        <f>IF( ISBLANK(LogTable2023[[#This Row],[Amount_o]]), IF(ISBLANK(LogTable2023[[#This Row],[Amount_i]]), "", LogTable2023[[#This Row],[Amount_i]]), LogTable2023[[#This Row],[Amount_o]])</f>
        <v>-33.19</v>
      </c>
      <c r="S199" s="1" t="str">
        <f>IF( ISBLANK(LogTable2023[[#This Row],[Status_o]]), IF(ISBLANK(LogTable2023[[#This Row],[Status_i]]), "", LogTable2023[[#This Row],[Status_i]]), LogTable2023[[#This Row],[Status_o]])</f>
        <v>Posted</v>
      </c>
      <c r="T199" t="s">
        <v>15</v>
      </c>
      <c r="U199" t="str">
        <f>IF( _xlfn.IFNA(MATCH(LogTable2023[[#This Row],[My Category]], Buckets!$D$4:$D$35, 0), FALSE), ".", "E")</f>
        <v>.</v>
      </c>
    </row>
    <row r="200" spans="1:22" x14ac:dyDescent="0.25">
      <c r="A200" s="4">
        <v>45182</v>
      </c>
      <c r="B200" s="5" t="s">
        <v>71</v>
      </c>
      <c r="C200" s="5" t="s">
        <v>234</v>
      </c>
      <c r="D200" s="5" t="s">
        <v>186</v>
      </c>
      <c r="E200" s="5">
        <v>-647.51</v>
      </c>
      <c r="F200" s="5" t="s">
        <v>9</v>
      </c>
      <c r="G200" s="5" t="s">
        <v>269</v>
      </c>
      <c r="H200" s="5"/>
      <c r="I200" s="5"/>
      <c r="J200" s="5"/>
      <c r="K200" s="5"/>
      <c r="L200" s="5"/>
      <c r="M200" s="5"/>
      <c r="N200" s="1">
        <f>IF( ISBLANK(LogTable2023[[#This Row],[Date_o]]), IF(ISBLANK(LogTable2023[[#This Row],[Date_i]]), "", LogTable2023[[#This Row],[Date_i]]), LogTable2023[[#This Row],[Date_o]])</f>
        <v>45182</v>
      </c>
      <c r="O200" t="str">
        <f>IF( ISBLANK(LogTable2023[[#This Row],[Description_o]]), IF(ISBLANK(LogTable2023[[#This Row],[Description_i]]), "", LogTable2023[[#This Row],[Description_i]]), LogTable2023[[#This Row],[Description_o]])</f>
        <v>USAA Credit Card</v>
      </c>
      <c r="P200" t="str">
        <f>IF( ISBLANK(LogTable2023[[#This Row],[Original Description_o]]), IF(ISBLANK(LogTable2023[[#This Row],[Original Description_i]]), "", LogTable2023[[#This Row],[Original Description_i]]), LogTable2023[[#This Row],[Original Description_o]])</f>
        <v>USAA CREDIT CARD PAYMENT    ***********0051</v>
      </c>
      <c r="Q200" t="str">
        <f>IF( ISBLANK(LogTable2023[[#This Row],[Category_o]]), IF(ISBLANK(LogTable2023[[#This Row],[Category_i]]), "", LogTable2023[[#This Row],[Category_i]]), LogTable2023[[#This Row],[Category_o]])</f>
        <v>Credit Card Payment</v>
      </c>
      <c r="R200" s="10">
        <f>IF( ISBLANK(LogTable2023[[#This Row],[Amount_o]]), IF(ISBLANK(LogTable2023[[#This Row],[Amount_i]]), "", LogTable2023[[#This Row],[Amount_i]]), LogTable2023[[#This Row],[Amount_o]])</f>
        <v>-647.51</v>
      </c>
      <c r="S200" s="1" t="str">
        <f>IF( ISBLANK(LogTable2023[[#This Row],[Status_o]]), IF(ISBLANK(LogTable2023[[#This Row],[Status_i]]), "", LogTable2023[[#This Row],[Status_i]]), LogTable2023[[#This Row],[Status_o]])</f>
        <v>Posted</v>
      </c>
      <c r="T200" t="s">
        <v>307</v>
      </c>
      <c r="U200" t="str">
        <f>IF( _xlfn.IFNA(MATCH(LogTable2023[[#This Row],[My Category]], Buckets!$D$4:$D$35, 0), FALSE), ".", "E")</f>
        <v>.</v>
      </c>
    </row>
    <row r="201" spans="1:22" hidden="1" x14ac:dyDescent="0.25">
      <c r="A201" s="4">
        <v>45181</v>
      </c>
      <c r="B201" s="5" t="s">
        <v>57</v>
      </c>
      <c r="C201" s="5" t="s">
        <v>58</v>
      </c>
      <c r="D201" s="5" t="s">
        <v>47</v>
      </c>
      <c r="E201" s="5">
        <v>-16.170000000000002</v>
      </c>
      <c r="F201" s="5" t="s">
        <v>9</v>
      </c>
      <c r="G201" s="5" t="s">
        <v>195</v>
      </c>
      <c r="H201" s="5"/>
      <c r="I201" s="5"/>
      <c r="J201" s="5"/>
      <c r="K201" s="5"/>
      <c r="L201" s="5"/>
      <c r="M201" s="5"/>
      <c r="N201" s="1">
        <f>IF( ISBLANK(LogTable2023[[#This Row],[Date_o]]), IF(ISBLANK(LogTable2023[[#This Row],[Date_i]]), "", LogTable2023[[#This Row],[Date_i]]), LogTable2023[[#This Row],[Date_o]])</f>
        <v>45181</v>
      </c>
      <c r="O201" t="str">
        <f>IF( ISBLANK(LogTable2023[[#This Row],[Description_o]]), IF(ISBLANK(LogTable2023[[#This Row],[Description_i]]), "", LogTable2023[[#This Row],[Description_i]]), LogTable2023[[#This Row],[Description_o]])</f>
        <v>Mugi Ramen and Poke</v>
      </c>
      <c r="P201" t="str">
        <f>IF( ISBLANK(LogTable2023[[#This Row],[Original Description_o]]), IF(ISBLANK(LogTable2023[[#This Row],[Original Description_i]]), "", LogTable2023[[#This Row],[Original Description_i]]), LogTable2023[[#This Row],[Original Description_o]])</f>
        <v>MUGI RAMEN AND POKE      WESTMINSTER  CO</v>
      </c>
      <c r="Q201" t="str">
        <f>IF( ISBLANK(LogTable2023[[#This Row],[Category_o]]), IF(ISBLANK(LogTable2023[[#This Row],[Category_i]]), "", LogTable2023[[#This Row],[Category_i]]), LogTable2023[[#This Row],[Category_o]])</f>
        <v>Food &amp; Dining</v>
      </c>
      <c r="R201" s="10">
        <f>IF( ISBLANK(LogTable2023[[#This Row],[Amount_o]]), IF(ISBLANK(LogTable2023[[#This Row],[Amount_i]]), "", LogTable2023[[#This Row],[Amount_i]]), LogTable2023[[#This Row],[Amount_o]])</f>
        <v>-16.170000000000002</v>
      </c>
      <c r="S201" s="1" t="str">
        <f>IF( ISBLANK(LogTable2023[[#This Row],[Status_o]]), IF(ISBLANK(LogTable2023[[#This Row],[Status_i]]), "", LogTable2023[[#This Row],[Status_i]]), LogTable2023[[#This Row],[Status_o]])</f>
        <v>Posted</v>
      </c>
      <c r="T201" t="s">
        <v>348</v>
      </c>
      <c r="U201" t="str">
        <f>IF( _xlfn.IFNA(MATCH(LogTable2023[[#This Row],[My Category]], Buckets!$D$4:$D$35, 0), FALSE), ".", "E")</f>
        <v>.</v>
      </c>
    </row>
    <row r="202" spans="1:22" hidden="1" x14ac:dyDescent="0.25">
      <c r="A202" s="4">
        <v>45181</v>
      </c>
      <c r="B202" s="5" t="s">
        <v>92</v>
      </c>
      <c r="C202" s="5" t="s">
        <v>170</v>
      </c>
      <c r="D202" s="5" t="s">
        <v>54</v>
      </c>
      <c r="E202" s="5">
        <v>-4.7699999999999996</v>
      </c>
      <c r="F202" s="5" t="s">
        <v>9</v>
      </c>
      <c r="G202" s="5" t="s">
        <v>195</v>
      </c>
      <c r="H202" s="5"/>
      <c r="I202" s="5"/>
      <c r="J202" s="5"/>
      <c r="K202" s="5"/>
      <c r="L202" s="5"/>
      <c r="M202" s="5"/>
      <c r="N202" s="1">
        <f>IF( ISBLANK(LogTable2023[[#This Row],[Date_o]]), IF(ISBLANK(LogTable2023[[#This Row],[Date_i]]), "", LogTable2023[[#This Row],[Date_i]]), LogTable2023[[#This Row],[Date_o]])</f>
        <v>45181</v>
      </c>
      <c r="O202" t="str">
        <f>IF( ISBLANK(LogTable2023[[#This Row],[Description_o]]), IF(ISBLANK(LogTable2023[[#This Row],[Description_i]]), "", LogTable2023[[#This Row],[Description_i]]), LogTable2023[[#This Row],[Description_o]])</f>
        <v>Walgreens</v>
      </c>
      <c r="P202" t="str">
        <f>IF( ISBLANK(LogTable2023[[#This Row],[Original Description_o]]), IF(ISBLANK(LogTable2023[[#This Row],[Original Description_i]]), "", LogTable2023[[#This Row],[Original Description_i]]), LogTable2023[[#This Row],[Original Description_o]])</f>
        <v>WALGREENS #12683         BOULDER      CO</v>
      </c>
      <c r="Q202" t="str">
        <f>IF( ISBLANK(LogTable2023[[#This Row],[Category_o]]), IF(ISBLANK(LogTable2023[[#This Row],[Category_i]]), "", LogTable2023[[#This Row],[Category_i]]), LogTable2023[[#This Row],[Category_o]])</f>
        <v>Pharmacy</v>
      </c>
      <c r="R202" s="10">
        <f>IF( ISBLANK(LogTable2023[[#This Row],[Amount_o]]), IF(ISBLANK(LogTable2023[[#This Row],[Amount_i]]), "", LogTable2023[[#This Row],[Amount_i]]), LogTable2023[[#This Row],[Amount_o]])</f>
        <v>-4.7699999999999996</v>
      </c>
      <c r="S202" s="1" t="str">
        <f>IF( ISBLANK(LogTable2023[[#This Row],[Status_o]]), IF(ISBLANK(LogTable2023[[#This Row],[Status_i]]), "", LogTable2023[[#This Row],[Status_i]]), LogTable2023[[#This Row],[Status_o]])</f>
        <v>Posted</v>
      </c>
      <c r="T202" t="s">
        <v>295</v>
      </c>
      <c r="U202" t="str">
        <f>IF( _xlfn.IFNA(MATCH(LogTable2023[[#This Row],[My Category]], Buckets!$D$4:$D$35, 0), FALSE), ".", "E")</f>
        <v>.</v>
      </c>
    </row>
    <row r="203" spans="1:22" x14ac:dyDescent="0.25">
      <c r="A203" s="4">
        <v>45181</v>
      </c>
      <c r="B203" s="5">
        <v>127311211</v>
      </c>
      <c r="C203" s="5" t="s">
        <v>106</v>
      </c>
      <c r="D203" s="5" t="s">
        <v>107</v>
      </c>
      <c r="E203" s="5">
        <v>647.51</v>
      </c>
      <c r="F203" s="5" t="s">
        <v>9</v>
      </c>
      <c r="G203" s="5" t="s">
        <v>195</v>
      </c>
      <c r="H203" s="5"/>
      <c r="I203" s="5"/>
      <c r="J203" s="5"/>
      <c r="K203" s="5"/>
      <c r="L203" s="5"/>
      <c r="M203" s="5"/>
      <c r="N203" s="1">
        <f>IF( ISBLANK(LogTable2023[[#This Row],[Date_o]]), IF(ISBLANK(LogTable2023[[#This Row],[Date_i]]), "", LogTable2023[[#This Row],[Date_i]]), LogTable2023[[#This Row],[Date_o]])</f>
        <v>45181</v>
      </c>
      <c r="O203">
        <f>IF( ISBLANK(LogTable2023[[#This Row],[Description_o]]), IF(ISBLANK(LogTable2023[[#This Row],[Description_i]]), "", LogTable2023[[#This Row],[Description_i]]), LogTable2023[[#This Row],[Description_o]])</f>
        <v>127311211</v>
      </c>
      <c r="P203" t="str">
        <f>IF( ISBLANK(LogTable2023[[#This Row],[Original Description_o]]), IF(ISBLANK(LogTable2023[[#This Row],[Original Description_i]]), "", LogTable2023[[#This Row],[Original Description_i]]), LogTable2023[[#This Row],[Original Description_o]])</f>
        <v>AUTOMATIC PAYMENT - THANK YOU</v>
      </c>
      <c r="Q203" t="str">
        <f>IF( ISBLANK(LogTable2023[[#This Row],[Category_o]]), IF(ISBLANK(LogTable2023[[#This Row],[Category_i]]), "", LogTable2023[[#This Row],[Category_i]]), LogTable2023[[#This Row],[Category_o]])</f>
        <v>Uncategorized</v>
      </c>
      <c r="R203" s="10">
        <f>IF( ISBLANK(LogTable2023[[#This Row],[Amount_o]]), IF(ISBLANK(LogTable2023[[#This Row],[Amount_i]]), "", LogTable2023[[#This Row],[Amount_i]]), LogTable2023[[#This Row],[Amount_o]])</f>
        <v>647.51</v>
      </c>
      <c r="S203" s="1" t="str">
        <f>IF( ISBLANK(LogTable2023[[#This Row],[Status_o]]), IF(ISBLANK(LogTable2023[[#This Row],[Status_i]]), "", LogTable2023[[#This Row],[Status_i]]), LogTable2023[[#This Row],[Status_o]])</f>
        <v>Posted</v>
      </c>
      <c r="T203" t="s">
        <v>307</v>
      </c>
      <c r="U203" t="str">
        <f>IF( _xlfn.IFNA(MATCH(LogTable2023[[#This Row],[My Category]], Buckets!$D$4:$D$35, 0), FALSE), ".", "E")</f>
        <v>.</v>
      </c>
    </row>
    <row r="204" spans="1:22" hidden="1" x14ac:dyDescent="0.25">
      <c r="A204" s="4">
        <v>45181</v>
      </c>
      <c r="B204" s="5" t="s">
        <v>204</v>
      </c>
      <c r="C204" s="5" t="s">
        <v>205</v>
      </c>
      <c r="D204" s="5" t="s">
        <v>206</v>
      </c>
      <c r="E204" s="5">
        <v>-145.84</v>
      </c>
      <c r="F204" s="5" t="s">
        <v>9</v>
      </c>
      <c r="G204" s="5" t="s">
        <v>269</v>
      </c>
      <c r="H204" s="5"/>
      <c r="I204" s="5"/>
      <c r="J204" s="5"/>
      <c r="K204" s="5"/>
      <c r="L204" s="5"/>
      <c r="M204" s="5"/>
      <c r="N204" s="1">
        <f>IF( ISBLANK(LogTable2023[[#This Row],[Date_o]]), IF(ISBLANK(LogTable2023[[#This Row],[Date_i]]), "", LogTable2023[[#This Row],[Date_i]]), LogTable2023[[#This Row],[Date_o]])</f>
        <v>45181</v>
      </c>
      <c r="O204" t="str">
        <f>IF( ISBLANK(LogTable2023[[#This Row],[Description_o]]), IF(ISBLANK(LogTable2023[[#This Row],[Description_i]]), "", LogTable2023[[#This Row],[Description_i]]), LogTable2023[[#This Row],[Description_o]])</f>
        <v>USAA Property and Casualty Insurance</v>
      </c>
      <c r="P204" t="str">
        <f>IF( ISBLANK(LogTable2023[[#This Row],[Original Description_o]]), IF(ISBLANK(LogTable2023[[#This Row],[Original Description_i]]), "", LogTable2023[[#This Row],[Original Description_i]]), LogTable2023[[#This Row],[Original Description_o]])</f>
        <v>USAA P&amp;C         AUTOPAY    ***********4530</v>
      </c>
      <c r="Q204" t="str">
        <f>IF( ISBLANK(LogTable2023[[#This Row],[Category_o]]), IF(ISBLANK(LogTable2023[[#This Row],[Category_i]]), "", LogTable2023[[#This Row],[Category_i]]), LogTable2023[[#This Row],[Category_o]])</f>
        <v>Financial</v>
      </c>
      <c r="R204" s="10">
        <f>IF( ISBLANK(LogTable2023[[#This Row],[Amount_o]]), IF(ISBLANK(LogTable2023[[#This Row],[Amount_i]]), "", LogTable2023[[#This Row],[Amount_i]]), LogTable2023[[#This Row],[Amount_o]])</f>
        <v>-145.84</v>
      </c>
      <c r="S204" s="1" t="str">
        <f>IF( ISBLANK(LogTable2023[[#This Row],[Status_o]]), IF(ISBLANK(LogTable2023[[#This Row],[Status_i]]), "", LogTable2023[[#This Row],[Status_i]]), LogTable2023[[#This Row],[Status_o]])</f>
        <v>Posted</v>
      </c>
      <c r="T204" t="s">
        <v>282</v>
      </c>
      <c r="U204" t="str">
        <f>IF( _xlfn.IFNA(MATCH(LogTable2023[[#This Row],[My Category]], Buckets!$D$4:$D$35, 0), FALSE), ".", "E")</f>
        <v>.</v>
      </c>
    </row>
    <row r="205" spans="1:22" hidden="1" x14ac:dyDescent="0.25">
      <c r="A205" s="4">
        <v>45180</v>
      </c>
      <c r="B205" s="5" t="s">
        <v>250</v>
      </c>
      <c r="C205" s="5" t="s">
        <v>251</v>
      </c>
      <c r="D205" s="5" t="s">
        <v>252</v>
      </c>
      <c r="E205" s="5">
        <v>-1850</v>
      </c>
      <c r="F205" s="5" t="s">
        <v>9</v>
      </c>
      <c r="G205" s="5" t="s">
        <v>269</v>
      </c>
      <c r="H205" s="5"/>
      <c r="I205" s="5"/>
      <c r="J205" s="5"/>
      <c r="K205" s="5"/>
      <c r="L205" s="5"/>
      <c r="M205" s="5"/>
      <c r="N205" s="1">
        <f>IF( ISBLANK(LogTable2023[[#This Row],[Date_o]]), IF(ISBLANK(LogTable2023[[#This Row],[Date_i]]), "", LogTable2023[[#This Row],[Date_i]]), LogTable2023[[#This Row],[Date_o]])</f>
        <v>45180</v>
      </c>
      <c r="O205" t="str">
        <f>IF( ISBLANK(LogTable2023[[#This Row],[Description_o]]), IF(ISBLANK(LogTable2023[[#This Row],[Description_i]]), "", LogTable2023[[#This Row],[Description_i]]), LogTable2023[[#This Row],[Description_o]])</f>
        <v>Check #1100</v>
      </c>
      <c r="P205" t="str">
        <f>IF( ISBLANK(LogTable2023[[#This Row],[Original Description_o]]), IF(ISBLANK(LogTable2023[[#This Row],[Original Description_i]]), "", LogTable2023[[#This Row],[Original Description_i]]), LogTable2023[[#This Row],[Original Description_o]])</f>
        <v>CHECK # 0000001100</v>
      </c>
      <c r="Q205" t="str">
        <f>IF( ISBLANK(LogTable2023[[#This Row],[Category_o]]), IF(ISBLANK(LogTable2023[[#This Row],[Category_i]]), "", LogTable2023[[#This Row],[Category_i]]), LogTable2023[[#This Row],[Category_o]])</f>
        <v>Check</v>
      </c>
      <c r="R205" s="10">
        <f>IF( ISBLANK(LogTable2023[[#This Row],[Amount_o]]), IF(ISBLANK(LogTable2023[[#This Row],[Amount_i]]), "", LogTable2023[[#This Row],[Amount_i]]), LogTable2023[[#This Row],[Amount_o]])</f>
        <v>-1850</v>
      </c>
      <c r="S205" s="1" t="str">
        <f>IF( ISBLANK(LogTable2023[[#This Row],[Status_o]]), IF(ISBLANK(LogTable2023[[#This Row],[Status_i]]), "", LogTable2023[[#This Row],[Status_i]]), LogTable2023[[#This Row],[Status_o]])</f>
        <v>Posted</v>
      </c>
      <c r="T205" t="s">
        <v>293</v>
      </c>
      <c r="U205" t="str">
        <f>IF( _xlfn.IFNA(MATCH(LogTable2023[[#This Row],[My Category]], Buckets!$D$4:$D$35, 0), FALSE), ".", "E")</f>
        <v>.</v>
      </c>
      <c r="V205" t="s">
        <v>341</v>
      </c>
    </row>
    <row r="206" spans="1:22" hidden="1" x14ac:dyDescent="0.25">
      <c r="A206" s="4">
        <v>45180</v>
      </c>
      <c r="B206" s="5" t="s">
        <v>207</v>
      </c>
      <c r="C206" s="5" t="s">
        <v>208</v>
      </c>
      <c r="D206" s="5" t="s">
        <v>209</v>
      </c>
      <c r="E206" s="5">
        <v>-11.9</v>
      </c>
      <c r="F206" s="5" t="s">
        <v>9</v>
      </c>
      <c r="G206" s="5" t="s">
        <v>269</v>
      </c>
      <c r="H206" s="5"/>
      <c r="I206" s="5"/>
      <c r="J206" s="5"/>
      <c r="K206" s="5"/>
      <c r="L206" s="5"/>
      <c r="M206" s="5"/>
      <c r="N206" s="1">
        <f>IF( ISBLANK(LogTable2023[[#This Row],[Date_o]]), IF(ISBLANK(LogTable2023[[#This Row],[Date_i]]), "", LogTable2023[[#This Row],[Date_i]]), LogTable2023[[#This Row],[Date_o]])</f>
        <v>45180</v>
      </c>
      <c r="O206" t="str">
        <f>IF( ISBLANK(LogTable2023[[#This Row],[Description_o]]), IF(ISBLANK(LogTable2023[[#This Row],[Description_i]]), "", LogTable2023[[#This Row],[Description_i]]), LogTable2023[[#This Row],[Description_o]])</f>
        <v>Spotify</v>
      </c>
      <c r="P206" t="str">
        <f>IF( ISBLANK(LogTable2023[[#This Row],[Original Description_o]]), IF(ISBLANK(LogTable2023[[#This Row],[Original Description_i]]), "", LogTable2023[[#This Row],[Original Description_i]]), LogTable2023[[#This Row],[Original Description_o]])</f>
        <v>PAYPAL           INST XFER  ***********USAI</v>
      </c>
      <c r="Q206" t="str">
        <f>IF( ISBLANK(LogTable2023[[#This Row],[Category_o]]), IF(ISBLANK(LogTable2023[[#This Row],[Category_i]]), "", LogTable2023[[#This Row],[Category_i]]), LogTable2023[[#This Row],[Category_o]])</f>
        <v>Music</v>
      </c>
      <c r="R206" s="10">
        <f>IF( ISBLANK(LogTable2023[[#This Row],[Amount_o]]), IF(ISBLANK(LogTable2023[[#This Row],[Amount_i]]), "", LogTable2023[[#This Row],[Amount_i]]), LogTable2023[[#This Row],[Amount_o]])</f>
        <v>-11.9</v>
      </c>
      <c r="S206" s="1" t="str">
        <f>IF( ISBLANK(LogTable2023[[#This Row],[Status_o]]), IF(ISBLANK(LogTable2023[[#This Row],[Status_i]]), "", LogTable2023[[#This Row],[Status_i]]), LogTable2023[[#This Row],[Status_o]])</f>
        <v>Posted</v>
      </c>
      <c r="T206" t="s">
        <v>288</v>
      </c>
      <c r="U206" t="str">
        <f>IF( _xlfn.IFNA(MATCH(LogTable2023[[#This Row],[My Category]], Buckets!$D$4:$D$35, 0), FALSE), ".", "E")</f>
        <v>.</v>
      </c>
      <c r="V206" t="s">
        <v>207</v>
      </c>
    </row>
    <row r="207" spans="1:22" hidden="1" x14ac:dyDescent="0.25">
      <c r="A207" s="4">
        <v>45179</v>
      </c>
      <c r="B207" s="5" t="s">
        <v>152</v>
      </c>
      <c r="C207" s="5" t="s">
        <v>153</v>
      </c>
      <c r="D207" s="5" t="s">
        <v>154</v>
      </c>
      <c r="E207" s="5">
        <v>-16.88</v>
      </c>
      <c r="F207" s="5" t="s">
        <v>9</v>
      </c>
      <c r="G207" s="5" t="s">
        <v>195</v>
      </c>
      <c r="H207" s="5"/>
      <c r="I207" s="5"/>
      <c r="J207" s="5"/>
      <c r="K207" s="5"/>
      <c r="L207" s="5"/>
      <c r="M207" s="5"/>
      <c r="N207" s="1">
        <f>IF( ISBLANK(LogTable2023[[#This Row],[Date_o]]), IF(ISBLANK(LogTable2023[[#This Row],[Date_i]]), "", LogTable2023[[#This Row],[Date_i]]), LogTable2023[[#This Row],[Date_o]])</f>
        <v>45179</v>
      </c>
      <c r="O207" t="str">
        <f>IF( ISBLANK(LogTable2023[[#This Row],[Description_o]]), IF(ISBLANK(LogTable2023[[#This Row],[Description_i]]), "", LogTable2023[[#This Row],[Description_i]]), LogTable2023[[#This Row],[Description_o]])</f>
        <v>Mcguckin Hardware</v>
      </c>
      <c r="P207" t="str">
        <f>IF( ISBLANK(LogTable2023[[#This Row],[Original Description_o]]), IF(ISBLANK(LogTable2023[[#This Row],[Original Description_i]]), "", LogTable2023[[#This Row],[Original Description_i]]), LogTable2023[[#This Row],[Original Description_o]])</f>
        <v>MCGUCKIN HARDWARE        BOULDER      CO</v>
      </c>
      <c r="Q207" t="str">
        <f>IF( ISBLANK(LogTable2023[[#This Row],[Category_o]]), IF(ISBLANK(LogTable2023[[#This Row],[Category_i]]), "", LogTable2023[[#This Row],[Category_i]]), LogTable2023[[#This Row],[Category_o]])</f>
        <v>Home Improvement</v>
      </c>
      <c r="R207" s="10">
        <f>IF( ISBLANK(LogTable2023[[#This Row],[Amount_o]]), IF(ISBLANK(LogTable2023[[#This Row],[Amount_i]]), "", LogTable2023[[#This Row],[Amount_i]]), LogTable2023[[#This Row],[Amount_o]])</f>
        <v>-16.88</v>
      </c>
      <c r="S207" s="1" t="str">
        <f>IF( ISBLANK(LogTable2023[[#This Row],[Status_o]]), IF(ISBLANK(LogTable2023[[#This Row],[Status_i]]), "", LogTable2023[[#This Row],[Status_i]]), LogTable2023[[#This Row],[Status_o]])</f>
        <v>Posted</v>
      </c>
      <c r="T207" t="s">
        <v>295</v>
      </c>
      <c r="U207" t="str">
        <f>IF( _xlfn.IFNA(MATCH(LogTable2023[[#This Row],[My Category]], Buckets!$D$4:$D$35, 0), FALSE), ".", "E")</f>
        <v>.</v>
      </c>
    </row>
    <row r="208" spans="1:22" hidden="1" x14ac:dyDescent="0.25">
      <c r="A208" s="4">
        <v>45179</v>
      </c>
      <c r="B208" s="5" t="s">
        <v>92</v>
      </c>
      <c r="C208" s="5" t="s">
        <v>170</v>
      </c>
      <c r="D208" s="5" t="s">
        <v>54</v>
      </c>
      <c r="E208" s="5">
        <v>-51.19</v>
      </c>
      <c r="F208" s="5" t="s">
        <v>9</v>
      </c>
      <c r="G208" s="5" t="s">
        <v>195</v>
      </c>
      <c r="H208" s="5"/>
      <c r="I208" s="5"/>
      <c r="J208" s="5"/>
      <c r="K208" s="5"/>
      <c r="L208" s="5"/>
      <c r="M208" s="5"/>
      <c r="N208" s="1">
        <f>IF( ISBLANK(LogTable2023[[#This Row],[Date_o]]), IF(ISBLANK(LogTable2023[[#This Row],[Date_i]]), "", LogTable2023[[#This Row],[Date_i]]), LogTable2023[[#This Row],[Date_o]])</f>
        <v>45179</v>
      </c>
      <c r="O208" t="str">
        <f>IF( ISBLANK(LogTable2023[[#This Row],[Description_o]]), IF(ISBLANK(LogTable2023[[#This Row],[Description_i]]), "", LogTable2023[[#This Row],[Description_i]]), LogTable2023[[#This Row],[Description_o]])</f>
        <v>Walgreens</v>
      </c>
      <c r="P208" t="str">
        <f>IF( ISBLANK(LogTable2023[[#This Row],[Original Description_o]]), IF(ISBLANK(LogTable2023[[#This Row],[Original Description_i]]), "", LogTable2023[[#This Row],[Original Description_i]]), LogTable2023[[#This Row],[Original Description_o]])</f>
        <v>WALGREENS #12683         BOULDER      CO</v>
      </c>
      <c r="Q208" t="str">
        <f>IF( ISBLANK(LogTable2023[[#This Row],[Category_o]]), IF(ISBLANK(LogTable2023[[#This Row],[Category_i]]), "", LogTable2023[[#This Row],[Category_i]]), LogTable2023[[#This Row],[Category_o]])</f>
        <v>Pharmacy</v>
      </c>
      <c r="R208" s="10">
        <f>IF( ISBLANK(LogTable2023[[#This Row],[Amount_o]]), IF(ISBLANK(LogTable2023[[#This Row],[Amount_i]]), "", LogTable2023[[#This Row],[Amount_i]]), LogTable2023[[#This Row],[Amount_o]])</f>
        <v>-51.19</v>
      </c>
      <c r="S208" s="1" t="str">
        <f>IF( ISBLANK(LogTable2023[[#This Row],[Status_o]]), IF(ISBLANK(LogTable2023[[#This Row],[Status_i]]), "", LogTable2023[[#This Row],[Status_i]]), LogTable2023[[#This Row],[Status_o]])</f>
        <v>Posted</v>
      </c>
      <c r="T208" t="s">
        <v>295</v>
      </c>
      <c r="U208" t="str">
        <f>IF( _xlfn.IFNA(MATCH(LogTable2023[[#This Row],[My Category]], Buckets!$D$4:$D$35, 0), FALSE), ".", "E")</f>
        <v>.</v>
      </c>
    </row>
    <row r="209" spans="1:22" hidden="1" x14ac:dyDescent="0.25">
      <c r="A209" s="4">
        <v>45177</v>
      </c>
      <c r="B209" s="5" t="s">
        <v>25</v>
      </c>
      <c r="C209" s="5" t="s">
        <v>189</v>
      </c>
      <c r="D209" s="5" t="s">
        <v>27</v>
      </c>
      <c r="E209" s="5">
        <v>-12.22</v>
      </c>
      <c r="F209" s="5" t="s">
        <v>9</v>
      </c>
      <c r="G209" s="5" t="s">
        <v>195</v>
      </c>
      <c r="H209" s="5"/>
      <c r="I209" s="5"/>
      <c r="J209" s="5"/>
      <c r="K209" s="5"/>
      <c r="L209" s="5"/>
      <c r="M209" s="5"/>
      <c r="N209" s="1">
        <f>IF( ISBLANK(LogTable2023[[#This Row],[Date_o]]), IF(ISBLANK(LogTable2023[[#This Row],[Date_i]]), "", LogTable2023[[#This Row],[Date_i]]), LogTable2023[[#This Row],[Date_o]])</f>
        <v>45177</v>
      </c>
      <c r="O209" t="str">
        <f>IF( ISBLANK(LogTable2023[[#This Row],[Description_o]]), IF(ISBLANK(LogTable2023[[#This Row],[Description_i]]), "", LogTable2023[[#This Row],[Description_i]]), LogTable2023[[#This Row],[Description_o]])</f>
        <v>Qdoba</v>
      </c>
      <c r="P209" t="str">
        <f>IF( ISBLANK(LogTable2023[[#This Row],[Original Description_o]]), IF(ISBLANK(LogTable2023[[#This Row],[Original Description_i]]), "", LogTable2023[[#This Row],[Original Description_i]]), LogTable2023[[#This Row],[Original Description_o]])</f>
        <v>QDOBA 2030               BOULDER      CA</v>
      </c>
      <c r="Q209" t="str">
        <f>IF( ISBLANK(LogTable2023[[#This Row],[Category_o]]), IF(ISBLANK(LogTable2023[[#This Row],[Category_i]]), "", LogTable2023[[#This Row],[Category_i]]), LogTable2023[[#This Row],[Category_o]])</f>
        <v>Fast Food</v>
      </c>
      <c r="R209" s="10">
        <f>IF( ISBLANK(LogTable2023[[#This Row],[Amount_o]]), IF(ISBLANK(LogTable2023[[#This Row],[Amount_i]]), "", LogTable2023[[#This Row],[Amount_i]]), LogTable2023[[#This Row],[Amount_o]])</f>
        <v>-12.22</v>
      </c>
      <c r="S209" s="1" t="str">
        <f>IF( ISBLANK(LogTable2023[[#This Row],[Status_o]]), IF(ISBLANK(LogTable2023[[#This Row],[Status_i]]), "", LogTable2023[[#This Row],[Status_i]]), LogTable2023[[#This Row],[Status_o]])</f>
        <v>Posted</v>
      </c>
      <c r="T209" t="s">
        <v>348</v>
      </c>
      <c r="U209" t="str">
        <f>IF( _xlfn.IFNA(MATCH(LogTable2023[[#This Row],[My Category]], Buckets!$D$4:$D$35, 0), FALSE), ".", "E")</f>
        <v>.</v>
      </c>
    </row>
    <row r="210" spans="1:22" hidden="1" x14ac:dyDescent="0.25">
      <c r="A210" s="4">
        <v>45177</v>
      </c>
      <c r="B210" s="5" t="s">
        <v>180</v>
      </c>
      <c r="C210" s="5" t="s">
        <v>181</v>
      </c>
      <c r="D210" s="5" t="s">
        <v>15</v>
      </c>
      <c r="E210" s="5">
        <v>-76.06</v>
      </c>
      <c r="F210" s="5" t="s">
        <v>9</v>
      </c>
      <c r="G210" s="5" t="s">
        <v>195</v>
      </c>
      <c r="H210" s="5"/>
      <c r="I210" s="5"/>
      <c r="J210" s="5"/>
      <c r="K210" s="5"/>
      <c r="L210" s="5"/>
      <c r="M210" s="5"/>
      <c r="N210" s="1">
        <f>IF( ISBLANK(LogTable2023[[#This Row],[Date_o]]), IF(ISBLANK(LogTable2023[[#This Row],[Date_i]]), "", LogTable2023[[#This Row],[Date_i]]), LogTable2023[[#This Row],[Date_o]])</f>
        <v>45177</v>
      </c>
      <c r="O210" t="str">
        <f>IF( ISBLANK(LogTable2023[[#This Row],[Description_o]]), IF(ISBLANK(LogTable2023[[#This Row],[Description_i]]), "", LogTable2023[[#This Row],[Description_i]]), LogTable2023[[#This Row],[Description_o]])</f>
        <v>Safeway</v>
      </c>
      <c r="P210" t="str">
        <f>IF( ISBLANK(LogTable2023[[#This Row],[Original Description_o]]), IF(ISBLANK(LogTable2023[[#This Row],[Original Description_i]]), "", LogTable2023[[#This Row],[Original Description_i]]), LogTable2023[[#This Row],[Original Description_o]])</f>
        <v>SAFEWAY #2911            BOULDER      CO</v>
      </c>
      <c r="Q210" t="str">
        <f>IF( ISBLANK(LogTable2023[[#This Row],[Category_o]]), IF(ISBLANK(LogTable2023[[#This Row],[Category_i]]), "", LogTable2023[[#This Row],[Category_i]]), LogTable2023[[#This Row],[Category_o]])</f>
        <v>Groceries</v>
      </c>
      <c r="R210" s="10">
        <f>IF( ISBLANK(LogTable2023[[#This Row],[Amount_o]]), IF(ISBLANK(LogTable2023[[#This Row],[Amount_i]]), "", LogTable2023[[#This Row],[Amount_i]]), LogTable2023[[#This Row],[Amount_o]])</f>
        <v>-76.06</v>
      </c>
      <c r="S210" s="1" t="str">
        <f>IF( ISBLANK(LogTable2023[[#This Row],[Status_o]]), IF(ISBLANK(LogTable2023[[#This Row],[Status_i]]), "", LogTable2023[[#This Row],[Status_i]]), LogTable2023[[#This Row],[Status_o]])</f>
        <v>Posted</v>
      </c>
      <c r="T210" t="s">
        <v>15</v>
      </c>
      <c r="U210" t="str">
        <f>IF( _xlfn.IFNA(MATCH(LogTable2023[[#This Row],[My Category]], Buckets!$D$4:$D$35, 0), FALSE), ".", "E")</f>
        <v>.</v>
      </c>
    </row>
    <row r="211" spans="1:22" hidden="1" x14ac:dyDescent="0.25">
      <c r="A211" s="4">
        <v>45177</v>
      </c>
      <c r="B211" s="5" t="s">
        <v>196</v>
      </c>
      <c r="C211" s="5" t="s">
        <v>197</v>
      </c>
      <c r="D211" s="5" t="s">
        <v>198</v>
      </c>
      <c r="E211" s="5">
        <v>3275</v>
      </c>
      <c r="F211" s="5" t="s">
        <v>9</v>
      </c>
      <c r="G211" s="5" t="s">
        <v>269</v>
      </c>
      <c r="H211" s="5"/>
      <c r="I211" s="5"/>
      <c r="J211" s="5"/>
      <c r="K211" s="5"/>
      <c r="L211" s="5"/>
      <c r="M211" s="5"/>
      <c r="N211" s="1">
        <f>IF( ISBLANK(LogTable2023[[#This Row],[Date_o]]), IF(ISBLANK(LogTable2023[[#This Row],[Date_i]]), "", LogTable2023[[#This Row],[Date_i]]), LogTable2023[[#This Row],[Date_o]])</f>
        <v>45177</v>
      </c>
      <c r="O211" t="str">
        <f>IF( ISBLANK(LogTable2023[[#This Row],[Description_o]]), IF(ISBLANK(LogTable2023[[#This Row],[Description_i]]), "", LogTable2023[[#This Row],[Description_i]]), LogTable2023[[#This Row],[Description_o]])</f>
        <v>Insperity</v>
      </c>
      <c r="P211" t="str">
        <f>IF( ISBLANK(LogTable2023[[#This Row],[Original Description_o]]), IF(ISBLANK(LogTable2023[[#This Row],[Original Description_i]]), "", LogTable2023[[#This Row],[Original Description_i]]), LogTable2023[[#This Row],[Original Description_o]])</f>
        <v>ASF, DBA Insperi PAYROLL    ***********5626</v>
      </c>
      <c r="Q211" t="str">
        <f>IF( ISBLANK(LogTable2023[[#This Row],[Category_o]]), IF(ISBLANK(LogTable2023[[#This Row],[Category_i]]), "", LogTable2023[[#This Row],[Category_i]]), LogTable2023[[#This Row],[Category_o]])</f>
        <v>Paycheck</v>
      </c>
      <c r="R211" s="10">
        <f>IF( ISBLANK(LogTable2023[[#This Row],[Amount_o]]), IF(ISBLANK(LogTable2023[[#This Row],[Amount_i]]), "", LogTable2023[[#This Row],[Amount_i]]), LogTable2023[[#This Row],[Amount_o]])</f>
        <v>3275</v>
      </c>
      <c r="S211" s="1" t="str">
        <f>IF( ISBLANK(LogTable2023[[#This Row],[Status_o]]), IF(ISBLANK(LogTable2023[[#This Row],[Status_i]]), "", LogTable2023[[#This Row],[Status_i]]), LogTable2023[[#This Row],[Status_o]])</f>
        <v>Posted</v>
      </c>
      <c r="T211" t="s">
        <v>305</v>
      </c>
      <c r="U211" t="str">
        <f>IF( _xlfn.IFNA(MATCH(LogTable2023[[#This Row],[My Category]], Buckets!$D$4:$D$35, 0), FALSE), ".", "E")</f>
        <v>.</v>
      </c>
      <c r="V211" t="s">
        <v>354</v>
      </c>
    </row>
    <row r="212" spans="1:22" hidden="1" x14ac:dyDescent="0.25">
      <c r="A212" s="4">
        <v>45176</v>
      </c>
      <c r="B212" s="5" t="s">
        <v>196</v>
      </c>
      <c r="C212" s="5" t="s">
        <v>197</v>
      </c>
      <c r="D212" s="5" t="s">
        <v>198</v>
      </c>
      <c r="E212" s="5">
        <v>300.22000000000003</v>
      </c>
      <c r="F212" s="5" t="s">
        <v>9</v>
      </c>
      <c r="G212" s="5" t="s">
        <v>269</v>
      </c>
      <c r="H212" s="5"/>
      <c r="I212" s="5"/>
      <c r="J212" s="5"/>
      <c r="K212" s="5"/>
      <c r="L212" s="5"/>
      <c r="M212" s="5"/>
      <c r="N212" s="1">
        <f>IF( ISBLANK(LogTable2023[[#This Row],[Date_o]]), IF(ISBLANK(LogTable2023[[#This Row],[Date_i]]), "", LogTable2023[[#This Row],[Date_i]]), LogTable2023[[#This Row],[Date_o]])</f>
        <v>45176</v>
      </c>
      <c r="O212" t="str">
        <f>IF( ISBLANK(LogTable2023[[#This Row],[Description_o]]), IF(ISBLANK(LogTable2023[[#This Row],[Description_i]]), "", LogTable2023[[#This Row],[Description_i]]), LogTable2023[[#This Row],[Description_o]])</f>
        <v>Insperity</v>
      </c>
      <c r="P212" t="str">
        <f>IF( ISBLANK(LogTable2023[[#This Row],[Original Description_o]]), IF(ISBLANK(LogTable2023[[#This Row],[Original Description_i]]), "", LogTable2023[[#This Row],[Original Description_i]]), LogTable2023[[#This Row],[Original Description_o]])</f>
        <v>ASF, DBA Insperi PAYROLL    ***********5626</v>
      </c>
      <c r="Q212" t="str">
        <f>IF( ISBLANK(LogTable2023[[#This Row],[Category_o]]), IF(ISBLANK(LogTable2023[[#This Row],[Category_i]]), "", LogTable2023[[#This Row],[Category_i]]), LogTable2023[[#This Row],[Category_o]])</f>
        <v>Paycheck</v>
      </c>
      <c r="R212" s="10">
        <f>IF( ISBLANK(LogTable2023[[#This Row],[Amount_o]]), IF(ISBLANK(LogTable2023[[#This Row],[Amount_i]]), "", LogTable2023[[#This Row],[Amount_i]]), LogTable2023[[#This Row],[Amount_o]])</f>
        <v>300.22000000000003</v>
      </c>
      <c r="S212" s="1" t="str">
        <f>IF( ISBLANK(LogTable2023[[#This Row],[Status_o]]), IF(ISBLANK(LogTable2023[[#This Row],[Status_i]]), "", LogTable2023[[#This Row],[Status_i]]), LogTable2023[[#This Row],[Status_o]])</f>
        <v>Posted</v>
      </c>
      <c r="T212" t="s">
        <v>305</v>
      </c>
      <c r="U212" t="str">
        <f>IF( _xlfn.IFNA(MATCH(LogTable2023[[#This Row],[My Category]], Buckets!$D$4:$D$35, 0), FALSE), ".", "E")</f>
        <v>.</v>
      </c>
      <c r="V212" t="s">
        <v>354</v>
      </c>
    </row>
    <row r="213" spans="1:22" hidden="1" x14ac:dyDescent="0.25">
      <c r="A213" s="4">
        <v>45175</v>
      </c>
      <c r="B213" s="5" t="s">
        <v>90</v>
      </c>
      <c r="C213" s="5" t="s">
        <v>91</v>
      </c>
      <c r="D213" s="5" t="s">
        <v>21</v>
      </c>
      <c r="E213" s="5">
        <v>-13.18</v>
      </c>
      <c r="F213" s="5" t="s">
        <v>9</v>
      </c>
      <c r="G213" s="5" t="s">
        <v>195</v>
      </c>
      <c r="H213" s="5"/>
      <c r="I213" s="5"/>
      <c r="J213" s="5"/>
      <c r="K213" s="5"/>
      <c r="L213" s="5"/>
      <c r="M213" s="5"/>
      <c r="N213" s="1">
        <f>IF( ISBLANK(LogTable2023[[#This Row],[Date_o]]), IF(ISBLANK(LogTable2023[[#This Row],[Date_i]]), "", LogTable2023[[#This Row],[Date_i]]), LogTable2023[[#This Row],[Date_o]])</f>
        <v>45175</v>
      </c>
      <c r="O213" t="str">
        <f>IF( ISBLANK(LogTable2023[[#This Row],[Description_o]]), IF(ISBLANK(LogTable2023[[#This Row],[Description_i]]), "", LogTable2023[[#This Row],[Description_i]]), LogTable2023[[#This Row],[Description_o]])</f>
        <v>Taziki's</v>
      </c>
      <c r="P213" t="str">
        <f>IF( ISBLANK(LogTable2023[[#This Row],[Original Description_o]]), IF(ISBLANK(LogTable2023[[#This Row],[Original Description_i]]), "", LogTable2023[[#This Row],[Original Description_i]]), LogTable2023[[#This Row],[Original Description_o]])</f>
        <v>SQ *TAZIKIS MEDITERRANEANWestminster  CO</v>
      </c>
      <c r="Q213" t="str">
        <f>IF( ISBLANK(LogTable2023[[#This Row],[Category_o]]), IF(ISBLANK(LogTable2023[[#This Row],[Category_i]]), "", LogTable2023[[#This Row],[Category_i]]), LogTable2023[[#This Row],[Category_o]])</f>
        <v>Restaurants</v>
      </c>
      <c r="R213" s="10">
        <f>IF( ISBLANK(LogTable2023[[#This Row],[Amount_o]]), IF(ISBLANK(LogTable2023[[#This Row],[Amount_i]]), "", LogTable2023[[#This Row],[Amount_i]]), LogTable2023[[#This Row],[Amount_o]])</f>
        <v>-13.18</v>
      </c>
      <c r="S213" s="1" t="str">
        <f>IF( ISBLANK(LogTable2023[[#This Row],[Status_o]]), IF(ISBLANK(LogTable2023[[#This Row],[Status_i]]), "", LogTable2023[[#This Row],[Status_i]]), LogTable2023[[#This Row],[Status_o]])</f>
        <v>Posted</v>
      </c>
      <c r="T213" t="s">
        <v>348</v>
      </c>
      <c r="U213" t="str">
        <f>IF( _xlfn.IFNA(MATCH(LogTable2023[[#This Row],[My Category]], Buckets!$D$4:$D$35, 0), FALSE), ".", "E")</f>
        <v>.</v>
      </c>
    </row>
    <row r="214" spans="1:22" hidden="1" x14ac:dyDescent="0.25">
      <c r="A214" s="4">
        <v>45174</v>
      </c>
      <c r="B214" s="5" t="s">
        <v>190</v>
      </c>
      <c r="C214" s="5" t="s">
        <v>191</v>
      </c>
      <c r="D214" s="5" t="s">
        <v>27</v>
      </c>
      <c r="E214" s="5">
        <v>-12.33</v>
      </c>
      <c r="F214" s="5" t="s">
        <v>9</v>
      </c>
      <c r="G214" s="5" t="s">
        <v>195</v>
      </c>
      <c r="H214" s="5"/>
      <c r="I214" s="5"/>
      <c r="J214" s="5"/>
      <c r="K214" s="5"/>
      <c r="L214" s="5"/>
      <c r="M214" s="5"/>
      <c r="N214" s="1">
        <f>IF( ISBLANK(LogTable2023[[#This Row],[Date_o]]), IF(ISBLANK(LogTable2023[[#This Row],[Date_i]]), "", LogTable2023[[#This Row],[Date_i]]), LogTable2023[[#This Row],[Date_o]])</f>
        <v>45174</v>
      </c>
      <c r="O214" t="str">
        <f>IF( ISBLANK(LogTable2023[[#This Row],[Description_o]]), IF(ISBLANK(LogTable2023[[#This Row],[Description_i]]), "", LogTable2023[[#This Row],[Description_i]]), LogTable2023[[#This Row],[Description_o]])</f>
        <v>Jimmy John's</v>
      </c>
      <c r="P214" t="str">
        <f>IF( ISBLANK(LogTable2023[[#This Row],[Original Description_o]]), IF(ISBLANK(LogTable2023[[#This Row],[Original Description_i]]), "", LogTable2023[[#This Row],[Original Description_i]]), LogTable2023[[#This Row],[Original Description_o]])</f>
        <v>JIMMY JOHNS 2673         NORTH GLENN  CO</v>
      </c>
      <c r="Q214" t="str">
        <f>IF( ISBLANK(LogTable2023[[#This Row],[Category_o]]), IF(ISBLANK(LogTable2023[[#This Row],[Category_i]]), "", LogTable2023[[#This Row],[Category_i]]), LogTable2023[[#This Row],[Category_o]])</f>
        <v>Fast Food</v>
      </c>
      <c r="R214" s="10">
        <f>IF( ISBLANK(LogTable2023[[#This Row],[Amount_o]]), IF(ISBLANK(LogTable2023[[#This Row],[Amount_i]]), "", LogTable2023[[#This Row],[Amount_i]]), LogTable2023[[#This Row],[Amount_o]])</f>
        <v>-12.33</v>
      </c>
      <c r="S214" s="1" t="str">
        <f>IF( ISBLANK(LogTable2023[[#This Row],[Status_o]]), IF(ISBLANK(LogTable2023[[#This Row],[Status_i]]), "", LogTable2023[[#This Row],[Status_i]]), LogTable2023[[#This Row],[Status_o]])</f>
        <v>Posted</v>
      </c>
      <c r="T214" t="s">
        <v>348</v>
      </c>
      <c r="U214" t="str">
        <f>IF( _xlfn.IFNA(MATCH(LogTable2023[[#This Row],[My Category]], Buckets!$D$4:$D$35, 0), FALSE), ".", "E")</f>
        <v>.</v>
      </c>
    </row>
    <row r="215" spans="1:22" hidden="1" x14ac:dyDescent="0.25">
      <c r="A215" s="4">
        <v>45174</v>
      </c>
      <c r="B215" s="5" t="s">
        <v>224</v>
      </c>
      <c r="C215" s="5" t="s">
        <v>253</v>
      </c>
      <c r="D215" s="5" t="s">
        <v>226</v>
      </c>
      <c r="E215" s="5">
        <v>-320</v>
      </c>
      <c r="F215" s="5" t="s">
        <v>9</v>
      </c>
      <c r="G215" s="5" t="s">
        <v>269</v>
      </c>
      <c r="H215" s="5"/>
      <c r="I215" s="5"/>
      <c r="J215" s="5"/>
      <c r="K215" s="5"/>
      <c r="L215" s="5"/>
      <c r="M215" s="5"/>
      <c r="N215" s="1">
        <f>IF( ISBLANK(LogTable2023[[#This Row],[Date_o]]), IF(ISBLANK(LogTable2023[[#This Row],[Date_i]]), "", LogTable2023[[#This Row],[Date_i]]), LogTable2023[[#This Row],[Date_o]])</f>
        <v>45174</v>
      </c>
      <c r="O215" t="str">
        <f>IF( ISBLANK(LogTable2023[[#This Row],[Description_o]]), IF(ISBLANK(LogTable2023[[#This Row],[Description_i]]), "", LogTable2023[[#This Row],[Description_i]]), LogTable2023[[#This Row],[Description_o]])</f>
        <v>Honda Financial</v>
      </c>
      <c r="P215" t="str">
        <f>IF( ISBLANK(LogTable2023[[#This Row],[Original Description_o]]), IF(ISBLANK(LogTable2023[[#This Row],[Original Description_i]]), "", LogTable2023[[#This Row],[Original Description_i]]), LogTable2023[[#This Row],[Original Description_o]])</f>
        <v>HONDA PMT        8004489307 ***********FW8E</v>
      </c>
      <c r="Q215" t="str">
        <f>IF( ISBLANK(LogTable2023[[#This Row],[Category_o]]), IF(ISBLANK(LogTable2023[[#This Row],[Category_i]]), "", LogTable2023[[#This Row],[Category_i]]), LogTable2023[[#This Row],[Category_o]])</f>
        <v>Auto Payment</v>
      </c>
      <c r="R215" s="10">
        <f>IF( ISBLANK(LogTable2023[[#This Row],[Amount_o]]), IF(ISBLANK(LogTable2023[[#This Row],[Amount_i]]), "", LogTable2023[[#This Row],[Amount_i]]), LogTable2023[[#This Row],[Amount_o]])</f>
        <v>-320</v>
      </c>
      <c r="S215" s="1" t="str">
        <f>IF( ISBLANK(LogTable2023[[#This Row],[Status_o]]), IF(ISBLANK(LogTable2023[[#This Row],[Status_i]]), "", LogTable2023[[#This Row],[Status_i]]), LogTable2023[[#This Row],[Status_o]])</f>
        <v>Posted</v>
      </c>
      <c r="T215" t="s">
        <v>281</v>
      </c>
      <c r="U215" t="str">
        <f>IF( _xlfn.IFNA(MATCH(LogTable2023[[#This Row],[My Category]], Buckets!$D$4:$D$35, 0), FALSE), ".", "E")</f>
        <v>.</v>
      </c>
    </row>
    <row r="216" spans="1:22" hidden="1" x14ac:dyDescent="0.25">
      <c r="A216" s="4">
        <v>45173</v>
      </c>
      <c r="B216" s="5" t="s">
        <v>66</v>
      </c>
      <c r="C216" s="5" t="s">
        <v>67</v>
      </c>
      <c r="D216" s="5" t="s">
        <v>68</v>
      </c>
      <c r="E216" s="5">
        <v>-35</v>
      </c>
      <c r="F216" s="5" t="s">
        <v>9</v>
      </c>
      <c r="G216" s="5" t="s">
        <v>195</v>
      </c>
      <c r="H216" s="5"/>
      <c r="I216" s="5"/>
      <c r="J216" s="5"/>
      <c r="K216" s="5"/>
      <c r="L216" s="5"/>
      <c r="M216" s="5"/>
      <c r="N216" s="1">
        <f>IF( ISBLANK(LogTable2023[[#This Row],[Date_o]]), IF(ISBLANK(LogTable2023[[#This Row],[Date_i]]), "", LogTable2023[[#This Row],[Date_i]]), LogTable2023[[#This Row],[Date_o]])</f>
        <v>45173</v>
      </c>
      <c r="O216" t="str">
        <f>IF( ISBLANK(LogTable2023[[#This Row],[Description_o]]), IF(ISBLANK(LogTable2023[[#This Row],[Description_i]]), "", LogTable2023[[#This Row],[Description_i]]), LogTable2023[[#This Row],[Description_o]])</f>
        <v>T-Mobile</v>
      </c>
      <c r="P216" t="str">
        <f>IF( ISBLANK(LogTable2023[[#This Row],[Original Description_o]]), IF(ISBLANK(LogTable2023[[#This Row],[Original Description_i]]), "", LogTable2023[[#This Row],[Original Description_i]]), LogTable2023[[#This Row],[Original Description_o]])</f>
        <v>TMOBILE*AUTO PAY         800-937-8997 WA</v>
      </c>
      <c r="Q216" t="str">
        <f>IF( ISBLANK(LogTable2023[[#This Row],[Category_o]]), IF(ISBLANK(LogTable2023[[#This Row],[Category_i]]), "", LogTable2023[[#This Row],[Category_i]]), LogTable2023[[#This Row],[Category_o]])</f>
        <v>Mobile Phone</v>
      </c>
      <c r="R216" s="10">
        <f>IF( ISBLANK(LogTable2023[[#This Row],[Amount_o]]), IF(ISBLANK(LogTable2023[[#This Row],[Amount_i]]), "", LogTable2023[[#This Row],[Amount_i]]), LogTable2023[[#This Row],[Amount_o]])</f>
        <v>-35</v>
      </c>
      <c r="S216" s="1" t="str">
        <f>IF( ISBLANK(LogTable2023[[#This Row],[Status_o]]), IF(ISBLANK(LogTable2023[[#This Row],[Status_i]]), "", LogTable2023[[#This Row],[Status_i]]), LogTable2023[[#This Row],[Status_o]])</f>
        <v>Posted</v>
      </c>
      <c r="T216" t="s">
        <v>215</v>
      </c>
      <c r="U216" t="str">
        <f>IF( _xlfn.IFNA(MATCH(LogTable2023[[#This Row],[My Category]], Buckets!$D$4:$D$35, 0), FALSE), ".", "E")</f>
        <v>.</v>
      </c>
    </row>
    <row r="217" spans="1:22" hidden="1" x14ac:dyDescent="0.25">
      <c r="A217" s="4">
        <v>45172</v>
      </c>
      <c r="B217" s="5" t="s">
        <v>180</v>
      </c>
      <c r="C217" s="5" t="s">
        <v>181</v>
      </c>
      <c r="D217" s="5" t="s">
        <v>15</v>
      </c>
      <c r="E217" s="5">
        <v>-28.6</v>
      </c>
      <c r="F217" s="5" t="s">
        <v>9</v>
      </c>
      <c r="G217" s="5" t="s">
        <v>195</v>
      </c>
      <c r="H217" s="5"/>
      <c r="I217" s="5"/>
      <c r="J217" s="5"/>
      <c r="K217" s="5"/>
      <c r="L217" s="5"/>
      <c r="M217" s="5"/>
      <c r="N217" s="1">
        <f>IF( ISBLANK(LogTable2023[[#This Row],[Date_o]]), IF(ISBLANK(LogTable2023[[#This Row],[Date_i]]), "", LogTable2023[[#This Row],[Date_i]]), LogTable2023[[#This Row],[Date_o]])</f>
        <v>45172</v>
      </c>
      <c r="O217" t="str">
        <f>IF( ISBLANK(LogTable2023[[#This Row],[Description_o]]), IF(ISBLANK(LogTable2023[[#This Row],[Description_i]]), "", LogTable2023[[#This Row],[Description_i]]), LogTable2023[[#This Row],[Description_o]])</f>
        <v>Safeway</v>
      </c>
      <c r="P217" t="str">
        <f>IF( ISBLANK(LogTable2023[[#This Row],[Original Description_o]]), IF(ISBLANK(LogTable2023[[#This Row],[Original Description_i]]), "", LogTable2023[[#This Row],[Original Description_i]]), LogTable2023[[#This Row],[Original Description_o]])</f>
        <v>SAFEWAY #2911            BOULDER      CO</v>
      </c>
      <c r="Q217" t="str">
        <f>IF( ISBLANK(LogTable2023[[#This Row],[Category_o]]), IF(ISBLANK(LogTable2023[[#This Row],[Category_i]]), "", LogTable2023[[#This Row],[Category_i]]), LogTable2023[[#This Row],[Category_o]])</f>
        <v>Groceries</v>
      </c>
      <c r="R217" s="10">
        <f>IF( ISBLANK(LogTable2023[[#This Row],[Amount_o]]), IF(ISBLANK(LogTable2023[[#This Row],[Amount_i]]), "", LogTable2023[[#This Row],[Amount_i]]), LogTable2023[[#This Row],[Amount_o]])</f>
        <v>-28.6</v>
      </c>
      <c r="S217" s="1" t="str">
        <f>IF( ISBLANK(LogTable2023[[#This Row],[Status_o]]), IF(ISBLANK(LogTable2023[[#This Row],[Status_i]]), "", LogTable2023[[#This Row],[Status_i]]), LogTable2023[[#This Row],[Status_o]])</f>
        <v>Posted</v>
      </c>
      <c r="T217" t="s">
        <v>15</v>
      </c>
      <c r="U217" t="str">
        <f>IF( _xlfn.IFNA(MATCH(LogTable2023[[#This Row],[My Category]], Buckets!$D$4:$D$35, 0), FALSE), ".", "E")</f>
        <v>.</v>
      </c>
    </row>
    <row r="218" spans="1:22" hidden="1" x14ac:dyDescent="0.25">
      <c r="A218" s="4">
        <v>45170</v>
      </c>
      <c r="B218" s="5" t="s">
        <v>192</v>
      </c>
      <c r="C218" s="5" t="s">
        <v>193</v>
      </c>
      <c r="D218" s="5" t="s">
        <v>12</v>
      </c>
      <c r="E218" s="5">
        <v>-53.84</v>
      </c>
      <c r="F218" s="5" t="s">
        <v>9</v>
      </c>
      <c r="G218" s="5" t="s">
        <v>195</v>
      </c>
      <c r="H218" s="5"/>
      <c r="I218" s="5"/>
      <c r="J218" s="5"/>
      <c r="K218" s="5"/>
      <c r="L218" s="5"/>
      <c r="M218" s="5"/>
      <c r="N218" s="1">
        <f>IF( ISBLANK(LogTable2023[[#This Row],[Date_o]]), IF(ISBLANK(LogTable2023[[#This Row],[Date_i]]), "", LogTable2023[[#This Row],[Date_i]]), LogTable2023[[#This Row],[Date_o]])</f>
        <v>45170</v>
      </c>
      <c r="O218" t="str">
        <f>IF( ISBLANK(LogTable2023[[#This Row],[Description_o]]), IF(ISBLANK(LogTable2023[[#This Row],[Description_i]]), "", LogTable2023[[#This Row],[Description_i]]), LogTable2023[[#This Row],[Description_o]])</f>
        <v>Dissentpins</v>
      </c>
      <c r="P218" t="str">
        <f>IF( ISBLANK(LogTable2023[[#This Row],[Original Description_o]]), IF(ISBLANK(LogTable2023[[#This Row],[Original Description_i]]), "", LogTable2023[[#This Row],[Original Description_i]]), LogTable2023[[#This Row],[Original Description_o]])</f>
        <v>PAYPAL *DISSENTPINS      402-935-7733 VT</v>
      </c>
      <c r="Q218" t="str">
        <f>IF( ISBLANK(LogTable2023[[#This Row],[Category_o]]), IF(ISBLANK(LogTable2023[[#This Row],[Category_i]]), "", LogTable2023[[#This Row],[Category_i]]), LogTable2023[[#This Row],[Category_o]])</f>
        <v>Shopping</v>
      </c>
      <c r="R218" s="10">
        <f>IF( ISBLANK(LogTable2023[[#This Row],[Amount_o]]), IF(ISBLANK(LogTable2023[[#This Row],[Amount_i]]), "", LogTable2023[[#This Row],[Amount_i]]), LogTable2023[[#This Row],[Amount_o]])</f>
        <v>-53.84</v>
      </c>
      <c r="S218" s="1" t="str">
        <f>IF( ISBLANK(LogTable2023[[#This Row],[Status_o]]), IF(ISBLANK(LogTable2023[[#This Row],[Status_i]]), "", LogTable2023[[#This Row],[Status_i]]), LogTable2023[[#This Row],[Status_o]])</f>
        <v>Posted</v>
      </c>
      <c r="T218" t="s">
        <v>304</v>
      </c>
      <c r="U218" t="str">
        <f>IF( _xlfn.IFNA(MATCH(LogTable2023[[#This Row],[My Category]], Buckets!$D$4:$D$35, 0), FALSE), ".", "E")</f>
        <v>.</v>
      </c>
      <c r="V218" t="s">
        <v>360</v>
      </c>
    </row>
  </sheetData>
  <mergeCells count="3">
    <mergeCell ref="A1:F1"/>
    <mergeCell ref="H1:M1"/>
    <mergeCell ref="N1:S1"/>
  </mergeCells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9A1819-D64E-4AEF-BABB-BD0FC003F00C}">
  <sheetPr codeName="Sheet3"/>
  <dimension ref="A1:AI7"/>
  <sheetViews>
    <sheetView topLeftCell="Q1" workbookViewId="0">
      <selection activeCell="D11" sqref="D11"/>
    </sheetView>
  </sheetViews>
  <sheetFormatPr defaultRowHeight="15" x14ac:dyDescent="0.25"/>
  <cols>
    <col min="1" max="1" width="9.7109375" bestFit="1" customWidth="1"/>
    <col min="2" max="2" width="10.7109375" bestFit="1" customWidth="1"/>
    <col min="3" max="3" width="12" customWidth="1"/>
    <col min="4" max="4" width="21.5703125" customWidth="1"/>
    <col min="5" max="5" width="12.7109375" customWidth="1"/>
    <col min="6" max="6" width="18.42578125" customWidth="1"/>
    <col min="7" max="7" width="19.42578125" customWidth="1"/>
    <col min="8" max="8" width="22.5703125" customWidth="1"/>
    <col min="10" max="10" width="22.7109375" customWidth="1"/>
    <col min="11" max="11" width="9.28515625" customWidth="1"/>
    <col min="12" max="12" width="11.85546875" customWidth="1"/>
    <col min="14" max="14" width="9.5703125" customWidth="1"/>
    <col min="15" max="15" width="11.7109375" customWidth="1"/>
    <col min="16" max="16" width="12.85546875" customWidth="1"/>
    <col min="18" max="18" width="10.28515625" customWidth="1"/>
    <col min="19" max="19" width="10.42578125" customWidth="1"/>
    <col min="20" max="20" width="17" customWidth="1"/>
    <col min="21" max="21" width="12.85546875" customWidth="1"/>
    <col min="23" max="23" width="13.28515625" customWidth="1"/>
    <col min="24" max="24" width="12.28515625" customWidth="1"/>
    <col min="25" max="25" width="18.85546875" customWidth="1"/>
    <col min="26" max="26" width="17" customWidth="1"/>
    <col min="27" max="27" width="19.28515625" customWidth="1"/>
    <col min="29" max="29" width="15" customWidth="1"/>
    <col min="31" max="31" width="16.42578125" customWidth="1"/>
    <col min="32" max="32" width="14.5703125" customWidth="1"/>
    <col min="33" max="33" width="18.7109375" customWidth="1"/>
    <col min="34" max="34" width="16.28515625" customWidth="1"/>
  </cols>
  <sheetData>
    <row r="1" spans="1:35" x14ac:dyDescent="0.25">
      <c r="A1" t="s">
        <v>310</v>
      </c>
      <c r="C1" s="1">
        <v>45170</v>
      </c>
    </row>
    <row r="2" spans="1:35" ht="99.75" customHeight="1" x14ac:dyDescent="0.25">
      <c r="A2" s="23" t="s">
        <v>270</v>
      </c>
      <c r="B2" s="23" t="s">
        <v>271</v>
      </c>
      <c r="C2" s="23" t="s">
        <v>281</v>
      </c>
      <c r="D2" s="23" t="s">
        <v>282</v>
      </c>
      <c r="E2" s="23" t="s">
        <v>283</v>
      </c>
      <c r="F2" s="23" t="s">
        <v>284</v>
      </c>
      <c r="G2" s="23" t="s">
        <v>285</v>
      </c>
      <c r="H2" s="23" t="s">
        <v>287</v>
      </c>
      <c r="I2" s="23" t="s">
        <v>288</v>
      </c>
      <c r="J2" s="23" t="s">
        <v>289</v>
      </c>
      <c r="K2" s="23" t="s">
        <v>290</v>
      </c>
      <c r="L2" s="23" t="s">
        <v>125</v>
      </c>
      <c r="M2" s="23" t="s">
        <v>291</v>
      </c>
      <c r="N2" s="23" t="s">
        <v>15</v>
      </c>
      <c r="O2" s="23" t="s">
        <v>292</v>
      </c>
      <c r="P2" s="23" t="s">
        <v>293</v>
      </c>
      <c r="Q2" s="23" t="s">
        <v>215</v>
      </c>
      <c r="R2" s="23" t="s">
        <v>294</v>
      </c>
      <c r="S2" s="23" t="s">
        <v>295</v>
      </c>
      <c r="T2" s="23" t="s">
        <v>296</v>
      </c>
      <c r="U2" s="23" t="s">
        <v>297</v>
      </c>
      <c r="V2" s="23" t="s">
        <v>298</v>
      </c>
      <c r="W2" s="23" t="s">
        <v>299</v>
      </c>
      <c r="X2" s="23" t="s">
        <v>300</v>
      </c>
      <c r="Y2" s="23" t="s">
        <v>301</v>
      </c>
      <c r="Z2" s="23" t="s">
        <v>302</v>
      </c>
      <c r="AA2" s="23" t="s">
        <v>303</v>
      </c>
      <c r="AB2" s="23" t="s">
        <v>304</v>
      </c>
      <c r="AC2" s="23" t="s">
        <v>286</v>
      </c>
      <c r="AD2" s="23" t="s">
        <v>309</v>
      </c>
      <c r="AE2" s="23" t="s">
        <v>305</v>
      </c>
      <c r="AF2" s="23" t="s">
        <v>306</v>
      </c>
      <c r="AG2" s="23" t="s">
        <v>307</v>
      </c>
      <c r="AH2" s="23" t="s">
        <v>308</v>
      </c>
      <c r="AI2" s="25" t="s">
        <v>364</v>
      </c>
    </row>
    <row r="3" spans="1:35" x14ac:dyDescent="0.25">
      <c r="A3" s="1">
        <f>EDATE($C$1, ROW(AggregateTable2023[[#This Row],[Start]])-3)</f>
        <v>45170</v>
      </c>
      <c r="B3" s="1">
        <f>EDATE($C$1, ROW(AggregateTable2023[[#This Row],[Start]])-2)-1</f>
        <v>45199</v>
      </c>
      <c r="C3">
        <f>SUMIFS(LogTable2023[Amount],
LogTable2023[My Category], C$2,
LogTable2023[Date], "&gt;="&amp;AggregateTable2023[[#This Row],[Start]], LogTable2023[Date], "&lt;="&amp;AggregateTable2023[[#This Row],[End]])</f>
        <v>-320</v>
      </c>
      <c r="D3">
        <f>SUMIFS(LogTable2023[Amount],
LogTable2023[My Category], D$2,
LogTable2023[Date], "&gt;="&amp;AggregateTable2023[[#This Row],[Start]], LogTable2023[Date], "&lt;="&amp;AggregateTable2023[[#This Row],[End]])</f>
        <v>-145.84</v>
      </c>
      <c r="E3">
        <f>SUMIFS(LogTable2023[Amount],
LogTable2023[My Category], E$2,
LogTable2023[Date], "&gt;="&amp;AggregateTable2023[[#This Row],[Start]], LogTable2023[Date], "&lt;="&amp;AggregateTable2023[[#This Row],[End]])</f>
        <v>-80.97</v>
      </c>
      <c r="F3">
        <f>SUMIFS(LogTable2023[Amount],
LogTable2023[My Category], F$2,
LogTable2023[Date], "&gt;="&amp;AggregateTable2023[[#This Row],[Start]], LogTable2023[Date], "&lt;="&amp;AggregateTable2023[[#This Row],[End]])</f>
        <v>0</v>
      </c>
      <c r="G3">
        <f>SUMIFS(LogTable2023[Amount],
LogTable2023[My Category], G$2,
LogTable2023[Date], "&gt;="&amp;AggregateTable2023[[#This Row],[Start]], LogTable2023[Date], "&lt;="&amp;AggregateTable2023[[#This Row],[End]])</f>
        <v>0</v>
      </c>
      <c r="H3">
        <f>SUMIFS(LogTable2023[Amount],
LogTable2023[My Category], H$2,
LogTable2023[Date], "&gt;="&amp;AggregateTable2023[[#This Row],[Start]], LogTable2023[Date], "&lt;="&amp;AggregateTable2023[[#This Row],[End]])</f>
        <v>0</v>
      </c>
      <c r="I3">
        <f>SUMIFS(LogTable2023[Amount],
LogTable2023[My Category], I$2,
LogTable2023[Date], "&gt;="&amp;AggregateTable2023[[#This Row],[Start]], LogTable2023[Date], "&lt;="&amp;AggregateTable2023[[#This Row],[End]])</f>
        <v>-13.9</v>
      </c>
      <c r="J3">
        <f>SUMIFS(LogTable2023[Amount],
LogTable2023[My Category], J$2,
LogTable2023[Date], "&gt;="&amp;AggregateTable2023[[#This Row],[Start]], LogTable2023[Date], "&lt;="&amp;AggregateTable2023[[#This Row],[End]])</f>
        <v>-10.81</v>
      </c>
      <c r="K3">
        <f>SUMIFS(LogTable2023[Amount],
LogTable2023[My Category], K$2,
LogTable2023[Date], "&gt;="&amp;AggregateTable2023[[#This Row],[Start]], LogTable2023[Date], "&lt;="&amp;AggregateTable2023[[#This Row],[End]])</f>
        <v>0</v>
      </c>
      <c r="L3">
        <f>SUMIFS(LogTable2023[Amount],
LogTable2023[My Category], L$2,
LogTable2023[Date], "&gt;="&amp;AggregateTable2023[[#This Row],[Start]], LogTable2023[Date], "&lt;="&amp;AggregateTable2023[[#This Row],[End]])</f>
        <v>0</v>
      </c>
      <c r="M3">
        <f>SUMIFS(LogTable2023[Amount],
LogTable2023[My Category], M$2,
LogTable2023[Date], "&gt;="&amp;AggregateTable2023[[#This Row],[Start]], LogTable2023[Date], "&lt;="&amp;AggregateTable2023[[#This Row],[End]])</f>
        <v>-1258.98</v>
      </c>
      <c r="N3">
        <f>SUMIFS(LogTable2023[Amount],
LogTable2023[My Category], N$2,
LogTable2023[Date], "&gt;="&amp;AggregateTable2023[[#This Row],[Start]], LogTable2023[Date], "&lt;="&amp;AggregateTable2023[[#This Row],[End]])</f>
        <v>-209.44</v>
      </c>
      <c r="O3">
        <f>SUMIFS(LogTable2023[Amount],
LogTable2023[My Category], O$2,
LogTable2023[Date], "&gt;="&amp;AggregateTable2023[[#This Row],[Start]], LogTable2023[Date], "&lt;="&amp;AggregateTable2023[[#This Row],[End]])</f>
        <v>-116.61</v>
      </c>
      <c r="P3">
        <f>SUMIFS(LogTable2023[Amount],
LogTable2023[My Category], P$2,
LogTable2023[Date], "&gt;="&amp;AggregateTable2023[[#This Row],[Start]], LogTable2023[Date], "&lt;="&amp;AggregateTable2023[[#This Row],[End]])</f>
        <v>-3383.67</v>
      </c>
      <c r="Q3">
        <f>SUMIFS(LogTable2023[Amount],
LogTable2023[My Category], Q$2,
LogTable2023[Date], "&gt;="&amp;AggregateTable2023[[#This Row],[Start]], LogTable2023[Date], "&lt;="&amp;AggregateTable2023[[#This Row],[End]])</f>
        <v>-76.97999999999999</v>
      </c>
      <c r="R3">
        <f>SUMIFS(LogTable2023[Amount],
LogTable2023[My Category], R$2,
LogTable2023[Date], "&gt;="&amp;AggregateTable2023[[#This Row],[Start]], LogTable2023[Date], "&lt;="&amp;AggregateTable2023[[#This Row],[End]])</f>
        <v>-60.74</v>
      </c>
      <c r="S3">
        <f>SUMIFS(LogTable2023[Amount],
LogTable2023[My Category], S$2,
LogTable2023[Date], "&gt;="&amp;AggregateTable2023[[#This Row],[Start]], LogTable2023[Date], "&lt;="&amp;AggregateTable2023[[#This Row],[End]])</f>
        <v>-1085.93</v>
      </c>
      <c r="T3">
        <f>SUMIFS(LogTable2023[Amount],
LogTable2023[My Category], T$2,
LogTable2023[Date], "&gt;="&amp;AggregateTable2023[[#This Row],[Start]], LogTable2023[Date], "&lt;="&amp;AggregateTable2023[[#This Row],[End]])</f>
        <v>0</v>
      </c>
      <c r="U3">
        <f>SUMIFS(LogTable2023[Amount],
LogTable2023[My Category], U$2,
LogTable2023[Date], "&gt;="&amp;AggregateTable2023[[#This Row],[Start]], LogTable2023[Date], "&lt;="&amp;AggregateTable2023[[#This Row],[End]])</f>
        <v>0</v>
      </c>
      <c r="V3">
        <f>SUMIFS(LogTable2023[Amount],
LogTable2023[My Category], V$2,
LogTable2023[Date], "&gt;="&amp;AggregateTable2023[[#This Row],[Start]], LogTable2023[Date], "&lt;="&amp;AggregateTable2023[[#This Row],[End]])</f>
        <v>0</v>
      </c>
      <c r="W3">
        <f>SUMIFS(LogTable2023[Amount],
LogTable2023[My Category], W$2,
LogTable2023[Date], "&gt;="&amp;AggregateTable2023[[#This Row],[Start]], LogTable2023[Date], "&lt;="&amp;AggregateTable2023[[#This Row],[End]])</f>
        <v>0</v>
      </c>
      <c r="X3">
        <f>SUMIFS(LogTable2023[Amount],
LogTable2023[My Category], X$2,
LogTable2023[Date], "&gt;="&amp;AggregateTable2023[[#This Row],[Start]], LogTable2023[Date], "&lt;="&amp;AggregateTable2023[[#This Row],[End]])</f>
        <v>0</v>
      </c>
      <c r="Y3">
        <f>SUMIFS(LogTable2023[Amount],
LogTable2023[My Category], Y$2,
LogTable2023[Date], "&gt;="&amp;AggregateTable2023[[#This Row],[Start]], LogTable2023[Date], "&lt;="&amp;AggregateTable2023[[#This Row],[End]])</f>
        <v>0</v>
      </c>
      <c r="Z3">
        <f>SUMIFS(LogTable2023[Amount],
LogTable2023[My Category], Z$2,
LogTable2023[Date], "&gt;="&amp;AggregateTable2023[[#This Row],[Start]], LogTable2023[Date], "&lt;="&amp;AggregateTable2023[[#This Row],[End]])</f>
        <v>0</v>
      </c>
      <c r="AA3">
        <f>SUMIFS(LogTable2023[Amount],
LogTable2023[My Category], AA$2,
LogTable2023[Date], "&gt;="&amp;AggregateTable2023[[#This Row],[Start]], LogTable2023[Date], "&lt;="&amp;AggregateTable2023[[#This Row],[End]])</f>
        <v>0</v>
      </c>
      <c r="AB3">
        <f>SUMIFS(LogTable2023[Amount],
LogTable2023[My Category], AB$2,
LogTable2023[Date], "&gt;="&amp;AggregateTable2023[[#This Row],[Start]], LogTable2023[Date], "&lt;="&amp;AggregateTable2023[[#This Row],[End]])</f>
        <v>-103.84</v>
      </c>
      <c r="AC3">
        <f>SUMIFS(LogTable2023[Amount],
LogTable2023[My Category], AC$2,
LogTable2023[Date], "&gt;="&amp;AggregateTable2023[[#This Row],[Start]], LogTable2023[Date], "&lt;="&amp;AggregateTable2023[[#This Row],[End]])</f>
        <v>0</v>
      </c>
      <c r="AD3">
        <f>SUMIFS(LogTable2023[Amount],
LogTable2023[My Category], AD$2,
LogTable2023[Date], "&gt;="&amp;AggregateTable2023[[#This Row],[Start]], LogTable2023[Date], "&lt;="&amp;AggregateTable2023[[#This Row],[End]])</f>
        <v>5000</v>
      </c>
      <c r="AE3">
        <f>SUMIFS(LogTable2023[Amount],
LogTable2023[My Category], AE$2,
LogTable2023[Date], "&gt;="&amp;AggregateTable2023[[#This Row],[Start]], LogTable2023[Date], "&lt;="&amp;AggregateTable2023[[#This Row],[End]])</f>
        <v>9154.32</v>
      </c>
      <c r="AF3">
        <f>SUMIFS(LogTable2023[Amount],
LogTable2023[My Category], AF$2,
LogTable2023[Date], "&gt;="&amp;AggregateTable2023[[#This Row],[Start]], LogTable2023[Date], "&lt;="&amp;AggregateTable2023[[#This Row],[End]])</f>
        <v>50.05</v>
      </c>
      <c r="AG3">
        <f>SUMIFS(LogTable2023[Amount],
LogTable2023[My Category], AG$2,
LogTable2023[Date], "&gt;="&amp;AggregateTable2023[[#This Row],[Start]], LogTable2023[Date], "&lt;="&amp;AggregateTable2023[[#This Row],[End]])</f>
        <v>0</v>
      </c>
      <c r="AH3">
        <f>SUMIFS(LogTable2023[Amount],
LogTable2023[My Category], AH$2,
LogTable2023[Date], "&gt;="&amp;AggregateTable2023[[#This Row],[Start]], LogTable2023[Date], "&lt;="&amp;AggregateTable2023[[#This Row],[End]])</f>
        <v>0</v>
      </c>
      <c r="AI3">
        <f>SUM(AggregateTable2023[[#This Row],[Car - Note]:[Internal Transfers]])</f>
        <v>7336.66</v>
      </c>
    </row>
    <row r="4" spans="1:35" x14ac:dyDescent="0.25">
      <c r="A4" s="1">
        <f>EDATE($C$1, ROW(AggregateTable2023[[#This Row],[Start]])-3)</f>
        <v>45200</v>
      </c>
      <c r="B4" s="1">
        <f>EDATE($C$1, ROW(AggregateTable2023[[#This Row],[Start]])-2)-1</f>
        <v>45230</v>
      </c>
      <c r="C4">
        <f>SUMIFS(LogTable2023[Amount],
LogTable2023[My Category], C$2,
LogTable2023[Date], "&gt;="&amp;AggregateTable2023[[#This Row],[Start]], LogTable2023[Date], "&lt;="&amp;AggregateTable2023[[#This Row],[End]])</f>
        <v>-320</v>
      </c>
      <c r="D4">
        <f>SUMIFS(LogTable2023[Amount],
LogTable2023[My Category], D$2,
LogTable2023[Date], "&gt;="&amp;AggregateTable2023[[#This Row],[Start]], LogTable2023[Date], "&lt;="&amp;AggregateTable2023[[#This Row],[End]])</f>
        <v>-136.07</v>
      </c>
      <c r="E4">
        <f>SUMIFS(LogTable2023[Amount],
LogTable2023[My Category], E$2,
LogTable2023[Date], "&gt;="&amp;AggregateTable2023[[#This Row],[Start]], LogTable2023[Date], "&lt;="&amp;AggregateTable2023[[#This Row],[End]])</f>
        <v>-38.26</v>
      </c>
      <c r="F4">
        <f>SUMIFS(LogTable2023[Amount],
LogTable2023[My Category], F$2,
LogTable2023[Date], "&gt;="&amp;AggregateTable2023[[#This Row],[Start]], LogTable2023[Date], "&lt;="&amp;AggregateTable2023[[#This Row],[End]])</f>
        <v>0</v>
      </c>
      <c r="G4">
        <f>SUMIFS(LogTable2023[Amount],
LogTable2023[My Category], G$2,
LogTable2023[Date], "&gt;="&amp;AggregateTable2023[[#This Row],[Start]], LogTable2023[Date], "&lt;="&amp;AggregateTable2023[[#This Row],[End]])</f>
        <v>0</v>
      </c>
      <c r="H4">
        <f>SUMIFS(LogTable2023[Amount],
LogTable2023[My Category], H$2,
LogTable2023[Date], "&gt;="&amp;AggregateTable2023[[#This Row],[Start]], LogTable2023[Date], "&lt;="&amp;AggregateTable2023[[#This Row],[End]])</f>
        <v>-25</v>
      </c>
      <c r="I4">
        <f>SUMIFS(LogTable2023[Amount],
LogTable2023[My Category], I$2,
LogTable2023[Date], "&gt;="&amp;AggregateTable2023[[#This Row],[Start]], LogTable2023[Date], "&lt;="&amp;AggregateTable2023[[#This Row],[End]])</f>
        <v>-13.9</v>
      </c>
      <c r="J4">
        <f>SUMIFS(LogTable2023[Amount],
LogTable2023[My Category], J$2,
LogTable2023[Date], "&gt;="&amp;AggregateTable2023[[#This Row],[Start]], LogTable2023[Date], "&lt;="&amp;AggregateTable2023[[#This Row],[End]])</f>
        <v>-16.23</v>
      </c>
      <c r="K4">
        <f>SUMIFS(LogTable2023[Amount],
LogTable2023[My Category], K$2,
LogTable2023[Date], "&gt;="&amp;AggregateTable2023[[#This Row],[Start]], LogTable2023[Date], "&lt;="&amp;AggregateTable2023[[#This Row],[End]])</f>
        <v>-81.89</v>
      </c>
      <c r="L4">
        <f>SUMIFS(LogTable2023[Amount],
LogTable2023[My Category], L$2,
LogTable2023[Date], "&gt;="&amp;AggregateTable2023[[#This Row],[Start]], LogTable2023[Date], "&lt;="&amp;AggregateTable2023[[#This Row],[End]])</f>
        <v>-16.23</v>
      </c>
      <c r="M4">
        <f>SUMIFS(LogTable2023[Amount],
LogTable2023[My Category], M$2,
LogTable2023[Date], "&gt;="&amp;AggregateTable2023[[#This Row],[Start]], LogTable2023[Date], "&lt;="&amp;AggregateTable2023[[#This Row],[End]])</f>
        <v>-334.5</v>
      </c>
      <c r="N4">
        <f>SUMIFS(LogTable2023[Amount],
LogTable2023[My Category], N$2,
LogTable2023[Date], "&gt;="&amp;AggregateTable2023[[#This Row],[Start]], LogTable2023[Date], "&lt;="&amp;AggregateTable2023[[#This Row],[End]])</f>
        <v>-218.93</v>
      </c>
      <c r="O4">
        <f>SUMIFS(LogTable2023[Amount],
LogTable2023[My Category], O$2,
LogTable2023[Date], "&gt;="&amp;AggregateTable2023[[#This Row],[Start]], LogTable2023[Date], "&lt;="&amp;AggregateTable2023[[#This Row],[End]])</f>
        <v>-451.46999999999991</v>
      </c>
      <c r="P4">
        <f>SUMIFS(LogTable2023[Amount],
LogTable2023[My Category], P$2,
LogTable2023[Date], "&gt;="&amp;AggregateTable2023[[#This Row],[Start]], LogTable2023[Date], "&lt;="&amp;AggregateTable2023[[#This Row],[End]])</f>
        <v>-1945</v>
      </c>
      <c r="Q4">
        <f>SUMIFS(LogTable2023[Amount],
LogTable2023[My Category], Q$2,
LogTable2023[Date], "&gt;="&amp;AggregateTable2023[[#This Row],[Start]], LogTable2023[Date], "&lt;="&amp;AggregateTable2023[[#This Row],[End]])</f>
        <v>-101.07000000000001</v>
      </c>
      <c r="R4">
        <f>SUMIFS(LogTable2023[Amount],
LogTable2023[My Category], R$2,
LogTable2023[Date], "&gt;="&amp;AggregateTable2023[[#This Row],[Start]], LogTable2023[Date], "&lt;="&amp;AggregateTable2023[[#This Row],[End]])</f>
        <v>-60.74</v>
      </c>
      <c r="S4">
        <f>SUMIFS(LogTable2023[Amount],
LogTable2023[My Category], S$2,
LogTable2023[Date], "&gt;="&amp;AggregateTable2023[[#This Row],[Start]], LogTable2023[Date], "&lt;="&amp;AggregateTable2023[[#This Row],[End]])</f>
        <v>-35.380000000000003</v>
      </c>
      <c r="T4">
        <f>SUMIFS(LogTable2023[Amount],
LogTable2023[My Category], T$2,
LogTable2023[Date], "&gt;="&amp;AggregateTable2023[[#This Row],[Start]], LogTable2023[Date], "&lt;="&amp;AggregateTable2023[[#This Row],[End]])</f>
        <v>0</v>
      </c>
      <c r="U4">
        <f>SUMIFS(LogTable2023[Amount],
LogTable2023[My Category], U$2,
LogTable2023[Date], "&gt;="&amp;AggregateTable2023[[#This Row],[Start]], LogTable2023[Date], "&lt;="&amp;AggregateTable2023[[#This Row],[End]])</f>
        <v>0</v>
      </c>
      <c r="V4">
        <f>SUMIFS(LogTable2023[Amount],
LogTable2023[My Category], V$2,
LogTable2023[Date], "&gt;="&amp;AggregateTable2023[[#This Row],[Start]], LogTable2023[Date], "&lt;="&amp;AggregateTable2023[[#This Row],[End]])</f>
        <v>0</v>
      </c>
      <c r="W4">
        <f>SUMIFS(LogTable2023[Amount],
LogTable2023[My Category], W$2,
LogTable2023[Date], "&gt;="&amp;AggregateTable2023[[#This Row],[Start]], LogTable2023[Date], "&lt;="&amp;AggregateTable2023[[#This Row],[End]])</f>
        <v>0</v>
      </c>
      <c r="X4">
        <f>SUMIFS(LogTable2023[Amount],
LogTable2023[My Category], X$2,
LogTable2023[Date], "&gt;="&amp;AggregateTable2023[[#This Row],[Start]], LogTable2023[Date], "&lt;="&amp;AggregateTable2023[[#This Row],[End]])</f>
        <v>0</v>
      </c>
      <c r="Y4">
        <f>SUMIFS(LogTable2023[Amount],
LogTable2023[My Category], Y$2,
LogTable2023[Date], "&gt;="&amp;AggregateTable2023[[#This Row],[Start]], LogTable2023[Date], "&lt;="&amp;AggregateTable2023[[#This Row],[End]])</f>
        <v>-9.25</v>
      </c>
      <c r="Z4">
        <f>SUMIFS(LogTable2023[Amount],
LogTable2023[My Category], Z$2,
LogTable2023[Date], "&gt;="&amp;AggregateTable2023[[#This Row],[Start]], LogTable2023[Date], "&lt;="&amp;AggregateTable2023[[#This Row],[End]])</f>
        <v>0</v>
      </c>
      <c r="AA4">
        <f>SUMIFS(LogTable2023[Amount],
LogTable2023[My Category], AA$2,
LogTable2023[Date], "&gt;="&amp;AggregateTable2023[[#This Row],[Start]], LogTable2023[Date], "&lt;="&amp;AggregateTable2023[[#This Row],[End]])</f>
        <v>-100</v>
      </c>
      <c r="AB4">
        <f>SUMIFS(LogTable2023[Amount],
LogTable2023[My Category], AB$2,
LogTable2023[Date], "&gt;="&amp;AggregateTable2023[[#This Row],[Start]], LogTable2023[Date], "&lt;="&amp;AggregateTable2023[[#This Row],[End]])</f>
        <v>-62.63</v>
      </c>
      <c r="AC4">
        <f>SUMIFS(LogTable2023[Amount],
LogTable2023[My Category], AC$2,
LogTable2023[Date], "&gt;="&amp;AggregateTable2023[[#This Row],[Start]], LogTable2023[Date], "&lt;="&amp;AggregateTable2023[[#This Row],[End]])</f>
        <v>-49.480000000000004</v>
      </c>
      <c r="AD4">
        <f>SUMIFS(LogTable2023[Amount],
LogTable2023[My Category], AD$2,
LogTable2023[Date], "&gt;="&amp;AggregateTable2023[[#This Row],[Start]], LogTable2023[Date], "&lt;="&amp;AggregateTable2023[[#This Row],[End]])</f>
        <v>-1000</v>
      </c>
      <c r="AE4">
        <f>SUMIFS(LogTable2023[Amount],
LogTable2023[My Category], AE$2,
LogTable2023[Date], "&gt;="&amp;AggregateTable2023[[#This Row],[Start]], LogTable2023[Date], "&lt;="&amp;AggregateTable2023[[#This Row],[End]])</f>
        <v>5578.98</v>
      </c>
      <c r="AF4">
        <f>SUMIFS(LogTable2023[Amount],
LogTable2023[My Category], AF$2,
LogTable2023[Date], "&gt;="&amp;AggregateTable2023[[#This Row],[Start]], LogTable2023[Date], "&lt;="&amp;AggregateTable2023[[#This Row],[End]])</f>
        <v>25.08</v>
      </c>
      <c r="AG4">
        <f>SUMIFS(LogTable2023[Amount],
LogTable2023[My Category], AG$2,
LogTable2023[Date], "&gt;="&amp;AggregateTable2023[[#This Row],[Start]], LogTable2023[Date], "&lt;="&amp;AggregateTable2023[[#This Row],[End]])</f>
        <v>0</v>
      </c>
      <c r="AH4">
        <f>SUMIFS(LogTable2023[Amount],
LogTable2023[My Category], AH$2,
LogTable2023[Date], "&gt;="&amp;AggregateTable2023[[#This Row],[Start]], LogTable2023[Date], "&lt;="&amp;AggregateTable2023[[#This Row],[End]])</f>
        <v>0</v>
      </c>
      <c r="AI4">
        <f>SUM(AggregateTable2023[[#This Row],[Car - Note]:[Internal Transfers]])</f>
        <v>588.02999999999895</v>
      </c>
    </row>
    <row r="5" spans="1:35" x14ac:dyDescent="0.25">
      <c r="A5" s="1">
        <f>EDATE($C$1, ROW(AggregateTable2023[[#This Row],[Start]])-3)</f>
        <v>45231</v>
      </c>
      <c r="B5" s="1">
        <f>EDATE($C$1, ROW(AggregateTable2023[[#This Row],[Start]])-2)-1</f>
        <v>45260</v>
      </c>
      <c r="C5">
        <f>SUMIFS(LogTable2023[Amount],
LogTable2023[My Category], C$2,
LogTable2023[Date], "&gt;="&amp;AggregateTable2023[[#This Row],[Start]], LogTable2023[Date], "&lt;="&amp;AggregateTable2023[[#This Row],[End]])</f>
        <v>-320</v>
      </c>
      <c r="D5">
        <f>SUMIFS(LogTable2023[Amount],
LogTable2023[My Category], D$2,
LogTable2023[Date], "&gt;="&amp;AggregateTable2023[[#This Row],[Start]], LogTable2023[Date], "&lt;="&amp;AggregateTable2023[[#This Row],[End]])</f>
        <v>-163.71</v>
      </c>
      <c r="E5">
        <f>SUMIFS(LogTable2023[Amount],
LogTable2023[My Category], E$2,
LogTable2023[Date], "&gt;="&amp;AggregateTable2023[[#This Row],[Start]], LogTable2023[Date], "&lt;="&amp;AggregateTable2023[[#This Row],[End]])</f>
        <v>-206.54000000000002</v>
      </c>
      <c r="F5">
        <f>SUMIFS(LogTable2023[Amount],
LogTable2023[My Category], F$2,
LogTable2023[Date], "&gt;="&amp;AggregateTable2023[[#This Row],[Start]], LogTable2023[Date], "&lt;="&amp;AggregateTable2023[[#This Row],[End]])</f>
        <v>0</v>
      </c>
      <c r="G5">
        <f>SUMIFS(LogTable2023[Amount],
LogTable2023[My Category], G$2,
LogTable2023[Date], "&gt;="&amp;AggregateTable2023[[#This Row],[Start]], LogTable2023[Date], "&lt;="&amp;AggregateTable2023[[#This Row],[End]])</f>
        <v>-1489.58</v>
      </c>
      <c r="H5">
        <f>SUMIFS(LogTable2023[Amount],
LogTable2023[My Category], H$2,
LogTable2023[Date], "&gt;="&amp;AggregateTable2023[[#This Row],[Start]], LogTable2023[Date], "&lt;="&amp;AggregateTable2023[[#This Row],[End]])</f>
        <v>-76.709999999999994</v>
      </c>
      <c r="I5">
        <f>SUMIFS(LogTable2023[Amount],
LogTable2023[My Category], I$2,
LogTable2023[Date], "&gt;="&amp;AggregateTable2023[[#This Row],[Start]], LogTable2023[Date], "&lt;="&amp;AggregateTable2023[[#This Row],[End]])</f>
        <v>-13.9</v>
      </c>
      <c r="J5">
        <f>SUMIFS(LogTable2023[Amount],
LogTable2023[My Category], J$2,
LogTable2023[Date], "&gt;="&amp;AggregateTable2023[[#This Row],[Start]], LogTable2023[Date], "&lt;="&amp;AggregateTable2023[[#This Row],[End]])</f>
        <v>0</v>
      </c>
      <c r="K5">
        <f>SUMIFS(LogTable2023[Amount],
LogTable2023[My Category], K$2,
LogTable2023[Date], "&gt;="&amp;AggregateTable2023[[#This Row],[Start]], LogTable2023[Date], "&lt;="&amp;AggregateTable2023[[#This Row],[End]])</f>
        <v>0</v>
      </c>
      <c r="L5">
        <f>SUMIFS(LogTable2023[Amount],
LogTable2023[My Category], L$2,
LogTable2023[Date], "&gt;="&amp;AggregateTable2023[[#This Row],[Start]], LogTable2023[Date], "&lt;="&amp;AggregateTable2023[[#This Row],[End]])</f>
        <v>0</v>
      </c>
      <c r="M5">
        <f>SUMIFS(LogTable2023[Amount],
LogTable2023[My Category], M$2,
LogTable2023[Date], "&gt;="&amp;AggregateTable2023[[#This Row],[Start]], LogTable2023[Date], "&lt;="&amp;AggregateTable2023[[#This Row],[End]])</f>
        <v>0</v>
      </c>
      <c r="N5">
        <f>SUMIFS(LogTable2023[Amount],
LogTable2023[My Category], N$2,
LogTable2023[Date], "&gt;="&amp;AggregateTable2023[[#This Row],[Start]], LogTable2023[Date], "&lt;="&amp;AggregateTable2023[[#This Row],[End]])</f>
        <v>-252.23999999999998</v>
      </c>
      <c r="O5">
        <f>SUMIFS(LogTable2023[Amount],
LogTable2023[My Category], O$2,
LogTable2023[Date], "&gt;="&amp;AggregateTable2023[[#This Row],[Start]], LogTable2023[Date], "&lt;="&amp;AggregateTable2023[[#This Row],[End]])</f>
        <v>-199.37000000000003</v>
      </c>
      <c r="P5">
        <f>SUMIFS(LogTable2023[Amount],
LogTable2023[My Category], P$2,
LogTable2023[Date], "&gt;="&amp;AggregateTable2023[[#This Row],[Start]], LogTable2023[Date], "&lt;="&amp;AggregateTable2023[[#This Row],[End]])</f>
        <v>-784.84999999999991</v>
      </c>
      <c r="Q5">
        <f>SUMIFS(LogTable2023[Amount],
LogTable2023[My Category], Q$2,
LogTable2023[Date], "&gt;="&amp;AggregateTable2023[[#This Row],[Start]], LogTable2023[Date], "&lt;="&amp;AggregateTable2023[[#This Row],[End]])</f>
        <v>-43.63</v>
      </c>
      <c r="R5">
        <f>SUMIFS(LogTable2023[Amount],
LogTable2023[My Category], R$2,
LogTable2023[Date], "&gt;="&amp;AggregateTable2023[[#This Row],[Start]], LogTable2023[Date], "&lt;="&amp;AggregateTable2023[[#This Row],[End]])</f>
        <v>56.69</v>
      </c>
      <c r="S5">
        <f>SUMIFS(LogTable2023[Amount],
LogTable2023[My Category], S$2,
LogTable2023[Date], "&gt;="&amp;AggregateTable2023[[#This Row],[Start]], LogTable2023[Date], "&lt;="&amp;AggregateTable2023[[#This Row],[End]])</f>
        <v>-757.69</v>
      </c>
      <c r="T5">
        <f>SUMIFS(LogTable2023[Amount],
LogTable2023[My Category], T$2,
LogTable2023[Date], "&gt;="&amp;AggregateTable2023[[#This Row],[Start]], LogTable2023[Date], "&lt;="&amp;AggregateTable2023[[#This Row],[End]])</f>
        <v>0</v>
      </c>
      <c r="U5">
        <f>SUMIFS(LogTable2023[Amount],
LogTable2023[My Category], U$2,
LogTable2023[Date], "&gt;="&amp;AggregateTable2023[[#This Row],[Start]], LogTable2023[Date], "&lt;="&amp;AggregateTable2023[[#This Row],[End]])</f>
        <v>0</v>
      </c>
      <c r="V5">
        <f>SUMIFS(LogTable2023[Amount],
LogTable2023[My Category], V$2,
LogTable2023[Date], "&gt;="&amp;AggregateTable2023[[#This Row],[Start]], LogTable2023[Date], "&lt;="&amp;AggregateTable2023[[#This Row],[End]])</f>
        <v>0</v>
      </c>
      <c r="W5">
        <f>SUMIFS(LogTable2023[Amount],
LogTable2023[My Category], W$2,
LogTable2023[Date], "&gt;="&amp;AggregateTable2023[[#This Row],[Start]], LogTable2023[Date], "&lt;="&amp;AggregateTable2023[[#This Row],[End]])</f>
        <v>0</v>
      </c>
      <c r="X5">
        <f>SUMIFS(LogTable2023[Amount],
LogTable2023[My Category], X$2,
LogTable2023[Date], "&gt;="&amp;AggregateTable2023[[#This Row],[Start]], LogTable2023[Date], "&lt;="&amp;AggregateTable2023[[#This Row],[End]])</f>
        <v>0</v>
      </c>
      <c r="Y5">
        <f>SUMIFS(LogTable2023[Amount],
LogTable2023[My Category], Y$2,
LogTable2023[Date], "&gt;="&amp;AggregateTable2023[[#This Row],[Start]], LogTable2023[Date], "&lt;="&amp;AggregateTable2023[[#This Row],[End]])</f>
        <v>0</v>
      </c>
      <c r="Z5">
        <f>SUMIFS(LogTable2023[Amount],
LogTable2023[My Category], Z$2,
LogTable2023[Date], "&gt;="&amp;AggregateTable2023[[#This Row],[Start]], LogTable2023[Date], "&lt;="&amp;AggregateTable2023[[#This Row],[End]])</f>
        <v>0</v>
      </c>
      <c r="AA5">
        <f>SUMIFS(LogTable2023[Amount],
LogTable2023[My Category], AA$2,
LogTable2023[Date], "&gt;="&amp;AggregateTable2023[[#This Row],[Start]], LogTable2023[Date], "&lt;="&amp;AggregateTable2023[[#This Row],[End]])</f>
        <v>0</v>
      </c>
      <c r="AB5">
        <f>SUMIFS(LogTable2023[Amount],
LogTable2023[My Category], AB$2,
LogTable2023[Date], "&gt;="&amp;AggregateTable2023[[#This Row],[Start]], LogTable2023[Date], "&lt;="&amp;AggregateTable2023[[#This Row],[End]])</f>
        <v>-0.45999999999999375</v>
      </c>
      <c r="AC5">
        <f>SUMIFS(LogTable2023[Amount],
LogTable2023[My Category], AC$2,
LogTable2023[Date], "&gt;="&amp;AggregateTable2023[[#This Row],[Start]], LogTable2023[Date], "&lt;="&amp;AggregateTable2023[[#This Row],[End]])</f>
        <v>-186.24</v>
      </c>
      <c r="AD5">
        <f>SUMIFS(LogTable2023[Amount],
LogTable2023[My Category], AD$2,
LogTable2023[Date], "&gt;="&amp;AggregateTable2023[[#This Row],[Start]], LogTable2023[Date], "&lt;="&amp;AggregateTable2023[[#This Row],[End]])</f>
        <v>0</v>
      </c>
      <c r="AE5">
        <f>SUMIFS(LogTable2023[Amount],
LogTable2023[My Category], AE$2,
LogTable2023[Date], "&gt;="&amp;AggregateTable2023[[#This Row],[Start]], LogTable2023[Date], "&lt;="&amp;AggregateTable2023[[#This Row],[End]])</f>
        <v>6287.27</v>
      </c>
      <c r="AF5">
        <f>SUMIFS(LogTable2023[Amount],
LogTable2023[My Category], AF$2,
LogTable2023[Date], "&gt;="&amp;AggregateTable2023[[#This Row],[Start]], LogTable2023[Date], "&lt;="&amp;AggregateTable2023[[#This Row],[End]])</f>
        <v>7.0000000000000007E-2</v>
      </c>
      <c r="AG5">
        <f>SUMIFS(LogTable2023[Amount],
LogTable2023[My Category], AG$2,
LogTable2023[Date], "&gt;="&amp;AggregateTable2023[[#This Row],[Start]], LogTable2023[Date], "&lt;="&amp;AggregateTable2023[[#This Row],[End]])</f>
        <v>0</v>
      </c>
      <c r="AH5">
        <f>SUMIFS(LogTable2023[Amount],
LogTable2023[My Category], AH$2,
LogTable2023[Date], "&gt;="&amp;AggregateTable2023[[#This Row],[Start]], LogTable2023[Date], "&lt;="&amp;AggregateTable2023[[#This Row],[End]])</f>
        <v>0</v>
      </c>
      <c r="AI5">
        <f>SUM(AggregateTable2023[[#This Row],[Car - Note]:[Internal Transfers]])</f>
        <v>1849.1100000000008</v>
      </c>
    </row>
    <row r="6" spans="1:35" x14ac:dyDescent="0.25">
      <c r="A6" s="1">
        <f>EDATE($C$1, ROW(AggregateTable2023[[#This Row],[Start]])-3)</f>
        <v>45261</v>
      </c>
      <c r="B6" s="1">
        <f>EDATE($C$1, ROW(AggregateTable2023[[#This Row],[Start]])-2)-1</f>
        <v>45291</v>
      </c>
      <c r="C6">
        <f>SUMIFS(LogTable2023[Amount],
LogTable2023[My Category], C$2,
LogTable2023[Date], "&gt;="&amp;AggregateTable2023[[#This Row],[Start]], LogTable2023[Date], "&lt;="&amp;AggregateTable2023[[#This Row],[End]])</f>
        <v>-320</v>
      </c>
      <c r="D6">
        <f>SUMIFS(LogTable2023[Amount],
LogTable2023[My Category], D$2,
LogTable2023[Date], "&gt;="&amp;AggregateTable2023[[#This Row],[Start]], LogTable2023[Date], "&lt;="&amp;AggregateTable2023[[#This Row],[End]])</f>
        <v>-163.71</v>
      </c>
      <c r="E6">
        <f>SUMIFS(LogTable2023[Amount],
LogTable2023[My Category], E$2,
LogTable2023[Date], "&gt;="&amp;AggregateTable2023[[#This Row],[Start]], LogTable2023[Date], "&lt;="&amp;AggregateTable2023[[#This Row],[End]])</f>
        <v>-24.47</v>
      </c>
      <c r="F6">
        <f>SUMIFS(LogTable2023[Amount],
LogTable2023[My Category], F$2,
LogTable2023[Date], "&gt;="&amp;AggregateTable2023[[#This Row],[Start]], LogTable2023[Date], "&lt;="&amp;AggregateTable2023[[#This Row],[End]])</f>
        <v>0</v>
      </c>
      <c r="G6">
        <f>SUMIFS(LogTable2023[Amount],
LogTable2023[My Category], G$2,
LogTable2023[Date], "&gt;="&amp;AggregateTable2023[[#This Row],[Start]], LogTable2023[Date], "&lt;="&amp;AggregateTable2023[[#This Row],[End]])</f>
        <v>-2218</v>
      </c>
      <c r="H6">
        <f>SUMIFS(LogTable2023[Amount],
LogTable2023[My Category], H$2,
LogTable2023[Date], "&gt;="&amp;AggregateTable2023[[#This Row],[Start]], LogTable2023[Date], "&lt;="&amp;AggregateTable2023[[#This Row],[End]])</f>
        <v>-90.759999999999991</v>
      </c>
      <c r="I6">
        <f>SUMIFS(LogTable2023[Amount],
LogTable2023[My Category], I$2,
LogTable2023[Date], "&gt;="&amp;AggregateTable2023[[#This Row],[Start]], LogTable2023[Date], "&lt;="&amp;AggregateTable2023[[#This Row],[End]])</f>
        <v>-13.9</v>
      </c>
      <c r="J6">
        <f>SUMIFS(LogTable2023[Amount],
LogTable2023[My Category], J$2,
LogTable2023[Date], "&gt;="&amp;AggregateTable2023[[#This Row],[Start]], LogTable2023[Date], "&lt;="&amp;AggregateTable2023[[#This Row],[End]])</f>
        <v>-21.65</v>
      </c>
      <c r="K6">
        <f>SUMIFS(LogTable2023[Amount],
LogTable2023[My Category], K$2,
LogTable2023[Date], "&gt;="&amp;AggregateTable2023[[#This Row],[Start]], LogTable2023[Date], "&lt;="&amp;AggregateTable2023[[#This Row],[End]])</f>
        <v>-10.65</v>
      </c>
      <c r="L6">
        <f>SUMIFS(LogTable2023[Amount],
LogTable2023[My Category], L$2,
LogTable2023[Date], "&gt;="&amp;AggregateTable2023[[#This Row],[Start]], LogTable2023[Date], "&lt;="&amp;AggregateTable2023[[#This Row],[End]])</f>
        <v>-24.87</v>
      </c>
      <c r="M6">
        <f>SUMIFS(LogTable2023[Amount],
LogTable2023[My Category], M$2,
LogTable2023[Date], "&gt;="&amp;AggregateTable2023[[#This Row],[Start]], LogTable2023[Date], "&lt;="&amp;AggregateTable2023[[#This Row],[End]])</f>
        <v>-202.6</v>
      </c>
      <c r="N6">
        <f>SUMIFS(LogTable2023[Amount],
LogTable2023[My Category], N$2,
LogTable2023[Date], "&gt;="&amp;AggregateTable2023[[#This Row],[Start]], LogTable2023[Date], "&lt;="&amp;AggregateTable2023[[#This Row],[End]])</f>
        <v>-209.10999999999999</v>
      </c>
      <c r="O6">
        <f>SUMIFS(LogTable2023[Amount],
LogTable2023[My Category], O$2,
LogTable2023[Date], "&gt;="&amp;AggregateTable2023[[#This Row],[Start]], LogTable2023[Date], "&lt;="&amp;AggregateTable2023[[#This Row],[End]])</f>
        <v>-87.850000000000009</v>
      </c>
      <c r="P6">
        <f>SUMIFS(LogTable2023[Amount],
LogTable2023[My Category], P$2,
LogTable2023[Date], "&gt;="&amp;AggregateTable2023[[#This Row],[Start]], LogTable2023[Date], "&lt;="&amp;AggregateTable2023[[#This Row],[End]])</f>
        <v>-2036.25</v>
      </c>
      <c r="Q6">
        <f>SUMIFS(LogTable2023[Amount],
LogTable2023[My Category], Q$2,
LogTable2023[Date], "&gt;="&amp;AggregateTable2023[[#This Row],[Start]], LogTable2023[Date], "&lt;="&amp;AggregateTable2023[[#This Row],[End]])</f>
        <v>-35</v>
      </c>
      <c r="R6">
        <f>SUMIFS(LogTable2023[Amount],
LogTable2023[My Category], R$2,
LogTable2023[Date], "&gt;="&amp;AggregateTable2023[[#This Row],[Start]], LogTable2023[Date], "&lt;="&amp;AggregateTable2023[[#This Row],[End]])</f>
        <v>0</v>
      </c>
      <c r="S6">
        <f>SUMIFS(LogTable2023[Amount],
LogTable2023[My Category], S$2,
LogTable2023[Date], "&gt;="&amp;AggregateTable2023[[#This Row],[Start]], LogTable2023[Date], "&lt;="&amp;AggregateTable2023[[#This Row],[End]])</f>
        <v>0</v>
      </c>
      <c r="T6">
        <f>SUMIFS(LogTable2023[Amount],
LogTable2023[My Category], T$2,
LogTable2023[Date], "&gt;="&amp;AggregateTable2023[[#This Row],[Start]], LogTable2023[Date], "&lt;="&amp;AggregateTable2023[[#This Row],[End]])</f>
        <v>0</v>
      </c>
      <c r="U6">
        <f>SUMIFS(LogTable2023[Amount],
LogTable2023[My Category], U$2,
LogTable2023[Date], "&gt;="&amp;AggregateTable2023[[#This Row],[Start]], LogTable2023[Date], "&lt;="&amp;AggregateTable2023[[#This Row],[End]])</f>
        <v>0</v>
      </c>
      <c r="V6">
        <f>SUMIFS(LogTable2023[Amount],
LogTable2023[My Category], V$2,
LogTable2023[Date], "&gt;="&amp;AggregateTable2023[[#This Row],[Start]], LogTable2023[Date], "&lt;="&amp;AggregateTable2023[[#This Row],[End]])</f>
        <v>0</v>
      </c>
      <c r="W6">
        <f>SUMIFS(LogTable2023[Amount],
LogTable2023[My Category], W$2,
LogTable2023[Date], "&gt;="&amp;AggregateTable2023[[#This Row],[Start]], LogTable2023[Date], "&lt;="&amp;AggregateTable2023[[#This Row],[End]])</f>
        <v>0</v>
      </c>
      <c r="X6">
        <f>SUMIFS(LogTable2023[Amount],
LogTable2023[My Category], X$2,
LogTable2023[Date], "&gt;="&amp;AggregateTable2023[[#This Row],[Start]], LogTable2023[Date], "&lt;="&amp;AggregateTable2023[[#This Row],[End]])</f>
        <v>0</v>
      </c>
      <c r="Y6">
        <f>SUMIFS(LogTable2023[Amount],
LogTable2023[My Category], Y$2,
LogTable2023[Date], "&gt;="&amp;AggregateTable2023[[#This Row],[Start]], LogTable2023[Date], "&lt;="&amp;AggregateTable2023[[#This Row],[End]])</f>
        <v>-35.17</v>
      </c>
      <c r="Z6">
        <f>SUMIFS(LogTable2023[Amount],
LogTable2023[My Category], Z$2,
LogTable2023[Date], "&gt;="&amp;AggregateTable2023[[#This Row],[Start]], LogTable2023[Date], "&lt;="&amp;AggregateTable2023[[#This Row],[End]])</f>
        <v>0</v>
      </c>
      <c r="AA6">
        <f>SUMIFS(LogTable2023[Amount],
LogTable2023[My Category], AA$2,
LogTable2023[Date], "&gt;="&amp;AggregateTable2023[[#This Row],[Start]], LogTable2023[Date], "&lt;="&amp;AggregateTable2023[[#This Row],[End]])</f>
        <v>0</v>
      </c>
      <c r="AB6">
        <f>SUMIFS(LogTable2023[Amount],
LogTable2023[My Category], AB$2,
LogTable2023[Date], "&gt;="&amp;AggregateTable2023[[#This Row],[Start]], LogTable2023[Date], "&lt;="&amp;AggregateTable2023[[#This Row],[End]])</f>
        <v>-182.89000000000001</v>
      </c>
      <c r="AC6">
        <f>SUMIFS(LogTable2023[Amount],
LogTable2023[My Category], AC$2,
LogTable2023[Date], "&gt;="&amp;AggregateTable2023[[#This Row],[Start]], LogTable2023[Date], "&lt;="&amp;AggregateTable2023[[#This Row],[End]])</f>
        <v>0</v>
      </c>
      <c r="AD6">
        <f>SUMIFS(LogTable2023[Amount],
LogTable2023[My Category], AD$2,
LogTable2023[Date], "&gt;="&amp;AggregateTable2023[[#This Row],[Start]], LogTable2023[Date], "&lt;="&amp;AggregateTable2023[[#This Row],[End]])</f>
        <v>0</v>
      </c>
      <c r="AE6">
        <f>SUMIFS(LogTable2023[Amount],
LogTable2023[My Category], AE$2,
LogTable2023[Date], "&gt;="&amp;AggregateTable2023[[#This Row],[Start]], LogTable2023[Date], "&lt;="&amp;AggregateTable2023[[#This Row],[End]])</f>
        <v>5579.1</v>
      </c>
      <c r="AF6">
        <f>SUMIFS(LogTable2023[Amount],
LogTable2023[My Category], AF$2,
LogTable2023[Date], "&gt;="&amp;AggregateTable2023[[#This Row],[Start]], LogTable2023[Date], "&lt;="&amp;AggregateTable2023[[#This Row],[End]])</f>
        <v>50.08</v>
      </c>
      <c r="AG6">
        <f>SUMIFS(LogTable2023[Amount],
LogTable2023[My Category], AG$2,
LogTable2023[Date], "&gt;="&amp;AggregateTable2023[[#This Row],[Start]], LogTable2023[Date], "&lt;="&amp;AggregateTable2023[[#This Row],[End]])</f>
        <v>0</v>
      </c>
      <c r="AH6">
        <f>SUMIFS(LogTable2023[Amount],
LogTable2023[My Category], AH$2,
LogTable2023[Date], "&gt;="&amp;AggregateTable2023[[#This Row],[Start]], LogTable2023[Date], "&lt;="&amp;AggregateTable2023[[#This Row],[End]])</f>
        <v>0</v>
      </c>
      <c r="AI6">
        <f>SUM(AggregateTable2023[[#This Row],[Car - Note]:[Internal Transfers]])</f>
        <v>-47.700000000000657</v>
      </c>
    </row>
    <row r="7" spans="1:35" x14ac:dyDescent="0.25">
      <c r="B7" t="s">
        <v>364</v>
      </c>
      <c r="C7">
        <f>SUM(AggregateTable2023[Car - Note])</f>
        <v>-1280</v>
      </c>
      <c r="D7">
        <f>SUM(AggregateTable2023[Car/Rental Insurance])</f>
        <v>-609.33000000000004</v>
      </c>
      <c r="E7">
        <f>SUM(AggregateTable2023[Car - Other])</f>
        <v>-350.24</v>
      </c>
      <c r="F7">
        <f>SUM(AggregateTable2023[Car - Parking Pass])</f>
        <v>0</v>
      </c>
      <c r="G7">
        <f>SUM(AggregateTable2023[Self-improvement])</f>
        <v>-3707.58</v>
      </c>
      <c r="H7">
        <f>SUM(AggregateTable2023[Dates])</f>
        <v>-192.46999999999997</v>
      </c>
      <c r="I7">
        <f>SUM(AggregateTable2023[Entertainment - Other])</f>
        <v>-55.6</v>
      </c>
      <c r="J7">
        <f>SUM(AggregateTable2023[Games])</f>
        <v>-48.69</v>
      </c>
      <c r="K7">
        <f>SUM(AggregateTable2023[Going out])</f>
        <v>-92.54</v>
      </c>
      <c r="L7">
        <f>SUM(AggregateTable2023[Books])</f>
        <v>-41.1</v>
      </c>
      <c r="M7">
        <f>SUM(AggregateTable2023[Big Fun])</f>
        <v>-1796.08</v>
      </c>
      <c r="N7">
        <f>SUM(AggregateTable2023[Groceries])</f>
        <v>-889.72</v>
      </c>
      <c r="O7">
        <f>SUM(AggregateTable2023[Food - nice])</f>
        <v>-855.3</v>
      </c>
      <c r="P7">
        <f>SUM(AggregateTable2023[Rent])</f>
        <v>-8149.77</v>
      </c>
      <c r="Q7">
        <f>SUM(AggregateTable2023[Utilities])</f>
        <v>-256.68</v>
      </c>
      <c r="R7">
        <f>SUM(AggregateTable2023[Internet])</f>
        <v>-64.790000000000006</v>
      </c>
      <c r="S7">
        <f>SUM(AggregateTable2023[Housing - Other])</f>
        <v>-1879.0000000000002</v>
      </c>
      <c r="T7">
        <f>SUM(AggregateTable2023[Decoration])</f>
        <v>0</v>
      </c>
      <c r="U7">
        <f>SUM(AggregateTable2023[401k])</f>
        <v>0</v>
      </c>
      <c r="V7">
        <f>SUM(AggregateTable2023[Retirement])</f>
        <v>0</v>
      </c>
      <c r="W7">
        <f>SUM(AggregateTable2023[Long-term])</f>
        <v>0</v>
      </c>
      <c r="X7">
        <f>SUM(AggregateTable2023[Unexpected Fund])</f>
        <v>0</v>
      </c>
      <c r="Y7">
        <f>SUM(AggregateTable2023[Medical - Other])</f>
        <v>-44.42</v>
      </c>
      <c r="Z7">
        <f>SUM(AggregateTable2023[Medical Insurance])</f>
        <v>0</v>
      </c>
      <c r="AA7">
        <f>SUM(AggregateTable2023[ATM])</f>
        <v>-100</v>
      </c>
      <c r="AB7">
        <f>SUM(AggregateTable2023[Other - Other])</f>
        <v>-349.82000000000005</v>
      </c>
      <c r="AC7">
        <f>SUM(AggregateTable2023[Clothes/Personal care])</f>
        <v>-235.72000000000003</v>
      </c>
      <c r="AD7">
        <f>SUM(AggregateTable2023[Parental Funds])</f>
        <v>4000</v>
      </c>
      <c r="AE7">
        <f>SUM(AggregateTable2023[Salary])</f>
        <v>26599.67</v>
      </c>
      <c r="AF7">
        <f>SUM(AggregateTable2023[Income - Other])</f>
        <v>125.27999999999999</v>
      </c>
      <c r="AG7">
        <f>SUM(AggregateTable2023[CC Payments])</f>
        <v>0</v>
      </c>
      <c r="AH7">
        <f>SUM(AggregateTable2023[Internal Transfers])</f>
        <v>0</v>
      </c>
      <c r="AI7">
        <f>SUM(AggregateTable2023[Total])</f>
        <v>9726.0999999999985</v>
      </c>
    </row>
  </sheetData>
  <dataValidations count="1">
    <dataValidation type="list" errorStyle="warning" allowBlank="1" showInputMessage="1" showErrorMessage="1" sqref="C2:AH2" xr:uid="{00963A65-05B4-49E5-9441-F1B77856F4CB}">
      <formula1>CategoriesList</formula1>
    </dataValidation>
  </dataValidations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6162FF-93D1-4AD2-92E8-B71EC0842926}">
  <sheetPr codeName="Sheet2"/>
  <dimension ref="A1:E16"/>
  <sheetViews>
    <sheetView workbookViewId="0">
      <selection activeCell="D28" sqref="D28"/>
    </sheetView>
  </sheetViews>
  <sheetFormatPr defaultRowHeight="15" x14ac:dyDescent="0.25"/>
  <cols>
    <col min="1" max="1" width="13.7109375" bestFit="1" customWidth="1"/>
    <col min="2" max="2" width="10.7109375" bestFit="1" customWidth="1"/>
    <col min="3" max="3" width="12.140625" bestFit="1" customWidth="1"/>
    <col min="5" max="5" width="40.42578125" customWidth="1"/>
  </cols>
  <sheetData>
    <row r="1" spans="1:5" ht="15.75" thickBot="1" x14ac:dyDescent="0.3"/>
    <row r="2" spans="1:5" x14ac:dyDescent="0.25">
      <c r="A2" s="11" t="s">
        <v>194</v>
      </c>
      <c r="B2" s="12" t="s">
        <v>269</v>
      </c>
      <c r="C2" s="12"/>
      <c r="D2" s="12"/>
      <c r="E2" s="13"/>
    </row>
    <row r="3" spans="1:5" x14ac:dyDescent="0.25">
      <c r="A3" s="14" t="s">
        <v>276</v>
      </c>
      <c r="B3" s="1">
        <v>45196</v>
      </c>
      <c r="C3" s="1">
        <v>45225</v>
      </c>
      <c r="E3" s="15"/>
    </row>
    <row r="4" spans="1:5" x14ac:dyDescent="0.25">
      <c r="A4" s="14"/>
      <c r="B4" t="s">
        <v>277</v>
      </c>
      <c r="C4" t="s">
        <v>278</v>
      </c>
      <c r="D4" t="s">
        <v>252</v>
      </c>
      <c r="E4" s="15" t="s">
        <v>279</v>
      </c>
    </row>
    <row r="5" spans="1:5" x14ac:dyDescent="0.25">
      <c r="A5" s="14" t="s">
        <v>272</v>
      </c>
      <c r="B5" s="21">
        <v>3</v>
      </c>
      <c r="C5" s="19">
        <f>COUNTIFS(LogTable2023[Account],B2, LogTable2023[Date_i], "&gt;="&amp;B3, LogTable2023[Date_i], "&lt;="&amp;C3, LogTable2023[Amount_i], "&gt;0")</f>
        <v>3</v>
      </c>
      <c r="D5" t="str">
        <f>IF(B5=C5, ".", "ERROR")</f>
        <v>.</v>
      </c>
      <c r="E5" s="15"/>
    </row>
    <row r="6" spans="1:5" x14ac:dyDescent="0.25">
      <c r="A6" s="14" t="s">
        <v>275</v>
      </c>
      <c r="B6" s="21">
        <v>5582.68</v>
      </c>
      <c r="C6" s="19">
        <f>SUMIFS(LogTable2023[Amount_i], LogTable2023[Account],B2, LogTable2023[Date_i], "&gt;="&amp;B3, LogTable2023[Date_i], "&lt;="&amp;C3, LogTable2023[Amount_i], "&gt;0")</f>
        <v>5582.68</v>
      </c>
      <c r="D6" t="str">
        <f>IF(B6=C6, ".", "ERROR")</f>
        <v>.</v>
      </c>
      <c r="E6" s="15"/>
    </row>
    <row r="7" spans="1:5" x14ac:dyDescent="0.25">
      <c r="A7" s="14" t="s">
        <v>273</v>
      </c>
      <c r="B7" s="21">
        <v>13</v>
      </c>
      <c r="C7" s="19">
        <f>COUNTIFS(LogTable2023[Account],B2, LogTable2023[Date_i], "&gt;="&amp;B3, LogTable2023[Date_i], "&lt;="&amp;C3, LogTable2023[Amount_i], "&lt;0")</f>
        <v>13</v>
      </c>
      <c r="D7" t="str">
        <f>IF(B7=C7, ".", "ERROR")</f>
        <v>.</v>
      </c>
      <c r="E7" s="15"/>
    </row>
    <row r="8" spans="1:5" ht="15.75" thickBot="1" x14ac:dyDescent="0.3">
      <c r="A8" s="16" t="s">
        <v>274</v>
      </c>
      <c r="B8" s="22">
        <v>-6751.27</v>
      </c>
      <c r="C8" s="20">
        <f>SUMIFS(LogTable2023[Amount_i], LogTable2023[Account],B2, LogTable2023[Date_i], "&gt;="&amp;B3, LogTable2023[Date_i], "&lt;="&amp;C3, LogTable2023[Amount_i], "&lt;0")</f>
        <v>-6751.2699999999995</v>
      </c>
      <c r="D8" s="17" t="str">
        <f>IF(B8=C8, ".", "ERROR")</f>
        <v>.</v>
      </c>
      <c r="E8" s="18"/>
    </row>
    <row r="9" spans="1:5" ht="15.75" thickBot="1" x14ac:dyDescent="0.3"/>
    <row r="10" spans="1:5" x14ac:dyDescent="0.25">
      <c r="A10" s="11" t="s">
        <v>194</v>
      </c>
      <c r="B10" s="12" t="s">
        <v>269</v>
      </c>
      <c r="C10" s="12"/>
      <c r="D10" s="12"/>
      <c r="E10" s="13"/>
    </row>
    <row r="11" spans="1:5" x14ac:dyDescent="0.25">
      <c r="A11" s="14" t="s">
        <v>276</v>
      </c>
      <c r="B11" s="1">
        <v>45164</v>
      </c>
      <c r="C11" s="1">
        <v>45195</v>
      </c>
      <c r="E11" s="15"/>
    </row>
    <row r="12" spans="1:5" x14ac:dyDescent="0.25">
      <c r="A12" s="14"/>
      <c r="B12" t="s">
        <v>277</v>
      </c>
      <c r="C12" t="s">
        <v>278</v>
      </c>
      <c r="D12" t="s">
        <v>252</v>
      </c>
      <c r="E12" s="15" t="s">
        <v>279</v>
      </c>
    </row>
    <row r="13" spans="1:5" x14ac:dyDescent="0.25">
      <c r="A13" s="14" t="s">
        <v>272</v>
      </c>
      <c r="B13" s="21">
        <v>6</v>
      </c>
      <c r="C13" s="19">
        <f>COUNTIFS(LogTable2023[Account],B10, LogTable2023[Date_i], "&gt;="&amp;B11, LogTable2023[Date_i], "&lt;="&amp;C11, LogTable2023[Amount_i], "&gt;0")</f>
        <v>5</v>
      </c>
      <c r="D13" t="str">
        <f>IF(B13=C13, ".", "ERROR")</f>
        <v>ERROR</v>
      </c>
      <c r="E13" s="15" t="s">
        <v>280</v>
      </c>
    </row>
    <row r="14" spans="1:5" x14ac:dyDescent="0.25">
      <c r="A14" s="14" t="s">
        <v>275</v>
      </c>
      <c r="B14" s="21">
        <v>8575.39</v>
      </c>
      <c r="C14" s="19">
        <f>SUMIFS(LogTable2023[Amount_i], LogTable2023[Account],B10, LogTable2023[Date_i], "&gt;="&amp;B11, LogTable2023[Date_i], "&lt;="&amp;C11, LogTable2023[Amount_i], "&gt;0")</f>
        <v>8575.39</v>
      </c>
      <c r="D14" t="str">
        <f>IF(B14=C14, ".", "ERROR")</f>
        <v>.</v>
      </c>
      <c r="E14" s="15"/>
    </row>
    <row r="15" spans="1:5" x14ac:dyDescent="0.25">
      <c r="A15" s="14" t="s">
        <v>273</v>
      </c>
      <c r="B15" s="21">
        <v>10</v>
      </c>
      <c r="C15" s="19">
        <f>COUNTIFS(LogTable2023[Account],B10, LogTable2023[Date_i], "&gt;="&amp;B11, LogTable2023[Date_i], "&lt;="&amp;C11, LogTable2023[Amount_i], "&lt;0")</f>
        <v>10</v>
      </c>
      <c r="D15" t="str">
        <f>IF(B15=C15, ".", "ERROR")</f>
        <v>.</v>
      </c>
      <c r="E15" s="15"/>
    </row>
    <row r="16" spans="1:5" ht="15.75" thickBot="1" x14ac:dyDescent="0.3">
      <c r="A16" s="16" t="s">
        <v>274</v>
      </c>
      <c r="B16" s="22">
        <v>-4397.59</v>
      </c>
      <c r="C16" s="20">
        <f>SUMIFS(LogTable2023[Amount_i], LogTable2023[Account],B10, LogTable2023[Date_i], "&gt;="&amp;B11, LogTable2023[Date_i], "&lt;="&amp;C11, LogTable2023[Amount_i], "&lt;0")</f>
        <v>-4397.59</v>
      </c>
      <c r="D16" s="17" t="str">
        <f>IF(B16=C16, ".", "ERROR")</f>
        <v>.</v>
      </c>
      <c r="E16" s="18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2C8EDC-75D0-4126-8E92-76F80EC7858D}">
  <sheetPr codeName="Sheet5"/>
  <dimension ref="A1:V133"/>
  <sheetViews>
    <sheetView topLeftCell="J1" workbookViewId="0">
      <selection activeCell="V132" sqref="V132"/>
    </sheetView>
  </sheetViews>
  <sheetFormatPr defaultRowHeight="15" x14ac:dyDescent="0.25"/>
  <cols>
    <col min="1" max="1" width="10.7109375" bestFit="1" customWidth="1"/>
    <col min="2" max="2" width="36.7109375" bestFit="1" customWidth="1"/>
    <col min="3" max="3" width="47.85546875" bestFit="1" customWidth="1"/>
    <col min="4" max="4" width="21.140625" bestFit="1" customWidth="1"/>
    <col min="5" max="5" width="12" bestFit="1" customWidth="1"/>
    <col min="6" max="6" width="10.28515625" bestFit="1" customWidth="1"/>
    <col min="7" max="7" width="10.42578125" bestFit="1" customWidth="1"/>
    <col min="8" max="8" width="9.5703125" bestFit="1" customWidth="1"/>
    <col min="9" max="9" width="15.7109375" bestFit="1" customWidth="1"/>
    <col min="10" max="10" width="23.28515625" bestFit="1" customWidth="1"/>
    <col min="11" max="11" width="13.28515625" bestFit="1" customWidth="1"/>
    <col min="12" max="12" width="12.5703125" bestFit="1" customWidth="1"/>
    <col min="13" max="13" width="10.85546875" bestFit="1" customWidth="1"/>
    <col min="14" max="14" width="10.7109375" style="1" bestFit="1" customWidth="1"/>
    <col min="15" max="15" width="36.7109375" bestFit="1" customWidth="1"/>
    <col min="16" max="16" width="47.85546875" bestFit="1" customWidth="1"/>
    <col min="17" max="17" width="21.140625" bestFit="1" customWidth="1"/>
    <col min="18" max="18" width="10.42578125" style="10" bestFit="1" customWidth="1"/>
    <col min="19" max="19" width="8.7109375" bestFit="1" customWidth="1"/>
    <col min="20" max="20" width="20.85546875" bestFit="1" customWidth="1"/>
    <col min="21" max="21" width="4.28515625" bestFit="1" customWidth="1"/>
    <col min="22" max="22" width="36" customWidth="1"/>
  </cols>
  <sheetData>
    <row r="1" spans="1:22" x14ac:dyDescent="0.25">
      <c r="A1" s="44" t="s">
        <v>254</v>
      </c>
      <c r="B1" s="44"/>
      <c r="C1" s="44"/>
      <c r="D1" s="44"/>
      <c r="E1" s="44"/>
      <c r="F1" s="44"/>
      <c r="G1" t="s">
        <v>194</v>
      </c>
      <c r="H1" s="45" t="s">
        <v>255</v>
      </c>
      <c r="I1" s="45"/>
      <c r="J1" s="45"/>
      <c r="K1" s="45"/>
      <c r="L1" s="45"/>
      <c r="M1" s="45"/>
      <c r="N1" s="46" t="s">
        <v>262</v>
      </c>
      <c r="O1" s="46"/>
      <c r="P1" s="46"/>
      <c r="Q1" s="46"/>
      <c r="R1" s="46"/>
      <c r="S1" s="46"/>
      <c r="T1" t="s">
        <v>311</v>
      </c>
      <c r="U1" t="s">
        <v>365</v>
      </c>
      <c r="V1" t="s">
        <v>334</v>
      </c>
    </row>
    <row r="2" spans="1:22" x14ac:dyDescent="0.25">
      <c r="A2" s="2" t="s">
        <v>263</v>
      </c>
      <c r="B2" s="2" t="s">
        <v>264</v>
      </c>
      <c r="C2" s="2" t="s">
        <v>265</v>
      </c>
      <c r="D2" s="2" t="s">
        <v>266</v>
      </c>
      <c r="E2" s="2" t="s">
        <v>267</v>
      </c>
      <c r="F2" s="2" t="s">
        <v>268</v>
      </c>
      <c r="G2" s="2" t="s">
        <v>194</v>
      </c>
      <c r="H2" s="2" t="s">
        <v>256</v>
      </c>
      <c r="I2" s="2" t="s">
        <v>257</v>
      </c>
      <c r="J2" s="2" t="s">
        <v>258</v>
      </c>
      <c r="K2" s="2" t="s">
        <v>259</v>
      </c>
      <c r="L2" s="2" t="s">
        <v>260</v>
      </c>
      <c r="M2" s="3" t="s">
        <v>261</v>
      </c>
      <c r="N2" s="1" t="s">
        <v>0</v>
      </c>
      <c r="O2" t="s">
        <v>1</v>
      </c>
      <c r="P2" t="s">
        <v>2</v>
      </c>
      <c r="Q2" t="s">
        <v>3</v>
      </c>
      <c r="R2" s="10" t="s">
        <v>4</v>
      </c>
      <c r="S2" t="s">
        <v>5</v>
      </c>
      <c r="T2" t="s">
        <v>311</v>
      </c>
      <c r="U2" t="s">
        <v>365</v>
      </c>
      <c r="V2" t="s">
        <v>334</v>
      </c>
    </row>
    <row r="3" spans="1:22" hidden="1" x14ac:dyDescent="0.25">
      <c r="A3" s="1">
        <v>45411</v>
      </c>
      <c r="B3" t="s">
        <v>196</v>
      </c>
      <c r="C3" t="s">
        <v>197</v>
      </c>
      <c r="D3" t="s">
        <v>198</v>
      </c>
      <c r="E3">
        <v>5616.04</v>
      </c>
      <c r="F3" t="s">
        <v>9</v>
      </c>
      <c r="G3" s="5" t="s">
        <v>269</v>
      </c>
      <c r="H3" s="5"/>
      <c r="I3" s="5"/>
      <c r="J3" s="5"/>
      <c r="K3" s="5"/>
      <c r="L3" s="5"/>
      <c r="M3" s="5"/>
      <c r="N3" s="1">
        <f>IF( ISBLANK(LogTable2024[[#This Row],[Date_o]]), IF(ISBLANK(LogTable2024[[#This Row],[Date_i]]), "", LogTable2024[[#This Row],[Date_i]]), LogTable2024[[#This Row],[Date_o]])</f>
        <v>45411</v>
      </c>
      <c r="O3" t="str">
        <f>IF( ISBLANK(LogTable2024[[#This Row],[Description_o]]), IF(ISBLANK(LogTable2024[[#This Row],[Description_i]]), "", LogTable2024[[#This Row],[Description_i]]), LogTable2024[[#This Row],[Description_o]])</f>
        <v>Insperity</v>
      </c>
      <c r="P3" t="str">
        <f>IF( ISBLANK(LogTable2024[[#This Row],[Original Description_o]]), IF(ISBLANK(LogTable2024[[#This Row],[Original Description_i]]), "", LogTable2024[[#This Row],[Original Description_i]]), LogTable2024[[#This Row],[Original Description_o]])</f>
        <v>ASF, DBA Insperi PAYROLL    ***********5626</v>
      </c>
      <c r="Q3" t="str">
        <f>IF( ISBLANK(LogTable2024[[#This Row],[Category_o]]), IF(ISBLANK(LogTable2024[[#This Row],[Category_i]]), "", LogTable2024[[#This Row],[Category_i]]), LogTable2024[[#This Row],[Category_o]])</f>
        <v>Paycheck</v>
      </c>
      <c r="R3" s="10">
        <f>IF( ISBLANK(LogTable2024[[#This Row],[Amount_o]]), IF(ISBLANK(LogTable2024[[#This Row],[Amount_i]]), "", LogTable2024[[#This Row],[Amount_i]]), LogTable2024[[#This Row],[Amount_o]])</f>
        <v>5616.04</v>
      </c>
      <c r="S3" s="1" t="str">
        <f>IF( ISBLANK(LogTable2024[[#This Row],[Status_o]]), IF(ISBLANK(LogTable2024[[#This Row],[Status_i]]), "", LogTable2024[[#This Row],[Status_i]]), LogTable2024[[#This Row],[Status_o]])</f>
        <v>Posted</v>
      </c>
      <c r="T3" t="s">
        <v>305</v>
      </c>
      <c r="U3" t="str">
        <f>IF( _xlfn.IFNA(MATCH(LogTable2024[[#This Row],[My Category]], Buckets!$D$4:$D$35, 0), FALSE), ".", "E")</f>
        <v>.</v>
      </c>
    </row>
    <row r="4" spans="1:22" hidden="1" x14ac:dyDescent="0.25">
      <c r="A4" s="1">
        <v>45411</v>
      </c>
      <c r="B4" t="s">
        <v>230</v>
      </c>
      <c r="C4" t="s">
        <v>231</v>
      </c>
      <c r="D4" t="s">
        <v>215</v>
      </c>
      <c r="E4">
        <v>-33.89</v>
      </c>
      <c r="F4" t="s">
        <v>9</v>
      </c>
      <c r="G4" s="5" t="s">
        <v>269</v>
      </c>
      <c r="H4" s="5"/>
      <c r="I4" s="5"/>
      <c r="J4" s="5"/>
      <c r="K4" s="5"/>
      <c r="L4" s="5"/>
      <c r="M4" s="5"/>
      <c r="N4" s="1">
        <f>IF( ISBLANK(LogTable2024[[#This Row],[Date_o]]), IF(ISBLANK(LogTable2024[[#This Row],[Date_i]]), "", LogTable2024[[#This Row],[Date_i]]), LogTable2024[[#This Row],[Date_o]])</f>
        <v>45411</v>
      </c>
      <c r="O4" t="str">
        <f>IF( ISBLANK(LogTable2024[[#This Row],[Description_o]]), IF(ISBLANK(LogTable2024[[#This Row],[Description_i]]), "", LogTable2024[[#This Row],[Description_i]]), LogTable2024[[#This Row],[Description_o]])</f>
        <v>Xcel Energy</v>
      </c>
      <c r="P4" t="str">
        <f>IF( ISBLANK(LogTable2024[[#This Row],[Original Description_o]]), IF(ISBLANK(LogTable2024[[#This Row],[Original Description_i]]), "", LogTable2024[[#This Row],[Original Description_i]]), LogTable2024[[#This Row],[Original Description_o]])</f>
        <v>XCEL ENERGY-PSCO XCELENERGY ***********6821</v>
      </c>
      <c r="Q4" t="str">
        <f>IF( ISBLANK(LogTable2024[[#This Row],[Category_o]]), IF(ISBLANK(LogTable2024[[#This Row],[Category_i]]), "", LogTable2024[[#This Row],[Category_i]]), LogTable2024[[#This Row],[Category_o]])</f>
        <v>Utilities</v>
      </c>
      <c r="R4" s="10">
        <f>IF( ISBLANK(LogTable2024[[#This Row],[Amount_o]]), IF(ISBLANK(LogTable2024[[#This Row],[Amount_i]]), "", LogTable2024[[#This Row],[Amount_i]]), LogTable2024[[#This Row],[Amount_o]])</f>
        <v>-33.89</v>
      </c>
      <c r="S4" s="1" t="str">
        <f>IF( ISBLANK(LogTable2024[[#This Row],[Status_o]]), IF(ISBLANK(LogTable2024[[#This Row],[Status_i]]), "", LogTable2024[[#This Row],[Status_i]]), LogTable2024[[#This Row],[Status_o]])</f>
        <v>Posted</v>
      </c>
      <c r="T4" t="s">
        <v>215</v>
      </c>
      <c r="U4" t="str">
        <f>IF( _xlfn.IFNA(MATCH(LogTable2024[[#This Row],[My Category]], Buckets!$D$4:$D$35, 0), FALSE), ".", "E")</f>
        <v>.</v>
      </c>
    </row>
    <row r="5" spans="1:22" hidden="1" x14ac:dyDescent="0.25">
      <c r="A5" s="1">
        <v>45409</v>
      </c>
      <c r="B5" t="s">
        <v>13</v>
      </c>
      <c r="C5" t="s">
        <v>14</v>
      </c>
      <c r="D5" t="s">
        <v>15</v>
      </c>
      <c r="E5">
        <v>-73.260000000000005</v>
      </c>
      <c r="F5" t="s">
        <v>9</v>
      </c>
      <c r="G5" s="5" t="s">
        <v>195</v>
      </c>
      <c r="H5" s="5"/>
      <c r="I5" s="5"/>
      <c r="J5" s="5"/>
      <c r="K5" s="5"/>
      <c r="L5" s="5"/>
      <c r="M5" s="5"/>
      <c r="N5" s="1">
        <f>IF( ISBLANK(LogTable2024[[#This Row],[Date_o]]), IF(ISBLANK(LogTable2024[[#This Row],[Date_i]]), "", LogTable2024[[#This Row],[Date_i]]), LogTable2024[[#This Row],[Date_o]])</f>
        <v>45409</v>
      </c>
      <c r="O5" t="str">
        <f>IF( ISBLANK(LogTable2024[[#This Row],[Description_o]]), IF(ISBLANK(LogTable2024[[#This Row],[Description_i]]), "", LogTable2024[[#This Row],[Description_i]]), LogTable2024[[#This Row],[Description_o]])</f>
        <v>King Soopers</v>
      </c>
      <c r="P5" t="str">
        <f>IF( ISBLANK(LogTable2024[[#This Row],[Original Description_o]]), IF(ISBLANK(LogTable2024[[#This Row],[Original Description_i]]), "", LogTable2024[[#This Row],[Original Description_i]]), LogTable2024[[#This Row],[Original Description_o]])</f>
        <v>KING SOOPERS #0057       WHEAT RIDGE  CO</v>
      </c>
      <c r="Q5" t="str">
        <f>IF( ISBLANK(LogTable2024[[#This Row],[Category_o]]), IF(ISBLANK(LogTable2024[[#This Row],[Category_i]]), "", LogTable2024[[#This Row],[Category_i]]), LogTable2024[[#This Row],[Category_o]])</f>
        <v>Groceries</v>
      </c>
      <c r="R5" s="10">
        <f>IF( ISBLANK(LogTable2024[[#This Row],[Amount_o]]), IF(ISBLANK(LogTable2024[[#This Row],[Amount_i]]), "", LogTable2024[[#This Row],[Amount_i]]), LogTable2024[[#This Row],[Amount_o]])</f>
        <v>-73.260000000000005</v>
      </c>
      <c r="S5" s="1" t="str">
        <f>IF( ISBLANK(LogTable2024[[#This Row],[Status_o]]), IF(ISBLANK(LogTable2024[[#This Row],[Status_i]]), "", LogTable2024[[#This Row],[Status_i]]), LogTable2024[[#This Row],[Status_o]])</f>
        <v>Posted</v>
      </c>
      <c r="T5" t="s">
        <v>15</v>
      </c>
      <c r="U5" t="str">
        <f>IF( _xlfn.IFNA(MATCH(LogTable2024[[#This Row],[My Category]], Buckets!$D$4:$D$35, 0), FALSE), ".", "E")</f>
        <v>.</v>
      </c>
    </row>
    <row r="6" spans="1:22" hidden="1" x14ac:dyDescent="0.25">
      <c r="A6" s="1">
        <v>45408</v>
      </c>
      <c r="B6" t="s">
        <v>201</v>
      </c>
      <c r="C6" t="s">
        <v>202</v>
      </c>
      <c r="D6" t="s">
        <v>203</v>
      </c>
      <c r="E6">
        <v>0.13</v>
      </c>
      <c r="F6" t="s">
        <v>9</v>
      </c>
      <c r="G6" s="5" t="s">
        <v>269</v>
      </c>
      <c r="H6" s="5"/>
      <c r="I6" s="5"/>
      <c r="J6" s="5"/>
      <c r="K6" s="5"/>
      <c r="L6" s="5"/>
      <c r="M6" s="5"/>
      <c r="N6" s="1">
        <f>IF( ISBLANK(LogTable2024[[#This Row],[Date_o]]), IF(ISBLANK(LogTable2024[[#This Row],[Date_i]]), "", LogTable2024[[#This Row],[Date_i]]), LogTable2024[[#This Row],[Date_o]])</f>
        <v>45408</v>
      </c>
      <c r="O6" t="str">
        <f>IF( ISBLANK(LogTable2024[[#This Row],[Description_o]]), IF(ISBLANK(LogTable2024[[#This Row],[Description_i]]), "", LogTable2024[[#This Row],[Description_i]]), LogTable2024[[#This Row],[Description_o]])</f>
        <v>Interest Paid</v>
      </c>
      <c r="P6" t="str">
        <f>IF( ISBLANK(LogTable2024[[#This Row],[Original Description_o]]), IF(ISBLANK(LogTable2024[[#This Row],[Original Description_i]]), "", LogTable2024[[#This Row],[Original Description_i]]), LogTable2024[[#This Row],[Original Description_o]])</f>
        <v>INTEREST PAID</v>
      </c>
      <c r="Q6" t="str">
        <f>IF( ISBLANK(LogTable2024[[#This Row],[Category_o]]), IF(ISBLANK(LogTable2024[[#This Row],[Category_i]]), "", LogTable2024[[#This Row],[Category_i]]), LogTable2024[[#This Row],[Category_o]])</f>
        <v>Interest Income</v>
      </c>
      <c r="R6" s="10">
        <f>IF( ISBLANK(LogTable2024[[#This Row],[Amount_o]]), IF(ISBLANK(LogTable2024[[#This Row],[Amount_i]]), "", LogTable2024[[#This Row],[Amount_i]]), LogTable2024[[#This Row],[Amount_o]])</f>
        <v>0.13</v>
      </c>
      <c r="S6" s="1" t="str">
        <f>IF( ISBLANK(LogTable2024[[#This Row],[Status_o]]), IF(ISBLANK(LogTable2024[[#This Row],[Status_i]]), "", LogTable2024[[#This Row],[Status_i]]), LogTable2024[[#This Row],[Status_o]])</f>
        <v>Posted</v>
      </c>
      <c r="T6" t="s">
        <v>306</v>
      </c>
      <c r="U6" t="str">
        <f>IF( _xlfn.IFNA(MATCH(LogTable2024[[#This Row],[My Category]], Buckets!$D$4:$D$35, 0), FALSE), ".", "E")</f>
        <v>.</v>
      </c>
    </row>
    <row r="7" spans="1:22" hidden="1" x14ac:dyDescent="0.25">
      <c r="A7" s="1">
        <v>45407</v>
      </c>
      <c r="B7" t="s">
        <v>82</v>
      </c>
      <c r="C7" t="s">
        <v>83</v>
      </c>
      <c r="D7" t="s">
        <v>21</v>
      </c>
      <c r="E7">
        <v>-26.79</v>
      </c>
      <c r="F7" t="s">
        <v>9</v>
      </c>
      <c r="G7" s="5" t="s">
        <v>195</v>
      </c>
      <c r="H7" s="5"/>
      <c r="I7" s="5"/>
      <c r="J7" s="5"/>
      <c r="K7" s="5"/>
      <c r="L7" s="5"/>
      <c r="M7" s="5"/>
      <c r="N7" s="1">
        <f>IF( ISBLANK(LogTable2024[[#This Row],[Date_o]]), IF(ISBLANK(LogTable2024[[#This Row],[Date_i]]), "", LogTable2024[[#This Row],[Date_i]]), LogTable2024[[#This Row],[Date_o]])</f>
        <v>45407</v>
      </c>
      <c r="O7" t="str">
        <f>IF( ISBLANK(LogTable2024[[#This Row],[Description_o]]), IF(ISBLANK(LogTable2024[[#This Row],[Description_i]]), "", LogTable2024[[#This Row],[Description_i]]), LogTable2024[[#This Row],[Description_o]])</f>
        <v>Babajoon's Kabobs &amp; More</v>
      </c>
      <c r="P7" t="str">
        <f>IF( ISBLANK(LogTable2024[[#This Row],[Original Description_o]]), IF(ISBLANK(LogTable2024[[#This Row],[Original Description_i]]), "", LogTable2024[[#This Row],[Original Description_i]]), LogTable2024[[#This Row],[Original Description_o]])</f>
        <v>BABAJOON`S KABOBS &amp; MORE WESTMINSTER  CO</v>
      </c>
      <c r="Q7" t="str">
        <f>IF( ISBLANK(LogTable2024[[#This Row],[Category_o]]), IF(ISBLANK(LogTable2024[[#This Row],[Category_i]]), "", LogTable2024[[#This Row],[Category_i]]), LogTable2024[[#This Row],[Category_o]])</f>
        <v>Restaurants</v>
      </c>
      <c r="R7" s="10">
        <f>IF( ISBLANK(LogTable2024[[#This Row],[Amount_o]]), IF(ISBLANK(LogTable2024[[#This Row],[Amount_i]]), "", LogTable2024[[#This Row],[Amount_i]]), LogTable2024[[#This Row],[Amount_o]])</f>
        <v>-26.79</v>
      </c>
      <c r="S7" s="1" t="str">
        <f>IF( ISBLANK(LogTable2024[[#This Row],[Status_o]]), IF(ISBLANK(LogTable2024[[#This Row],[Status_i]]), "", LogTable2024[[#This Row],[Status_i]]), LogTable2024[[#This Row],[Status_o]])</f>
        <v>Posted</v>
      </c>
      <c r="T7" t="s">
        <v>292</v>
      </c>
      <c r="U7" t="str">
        <f>IF( _xlfn.IFNA(MATCH(LogTable2024[[#This Row],[My Category]], Buckets!$D$4:$D$35, 0), FALSE), ".", "E")</f>
        <v>.</v>
      </c>
    </row>
    <row r="8" spans="1:22" hidden="1" x14ac:dyDescent="0.25">
      <c r="A8" s="1">
        <v>45405</v>
      </c>
      <c r="B8" t="s">
        <v>450</v>
      </c>
      <c r="C8" t="s">
        <v>451</v>
      </c>
      <c r="D8" t="s">
        <v>27</v>
      </c>
      <c r="E8">
        <v>-20.059999999999999</v>
      </c>
      <c r="F8" t="s">
        <v>9</v>
      </c>
      <c r="G8" s="5" t="s">
        <v>195</v>
      </c>
      <c r="H8" s="5"/>
      <c r="I8" s="5"/>
      <c r="J8" s="5"/>
      <c r="K8" s="5"/>
      <c r="L8" s="5"/>
      <c r="M8" s="5"/>
      <c r="N8" s="1">
        <f>IF( ISBLANK(LogTable2024[[#This Row],[Date_o]]), IF(ISBLANK(LogTable2024[[#This Row],[Date_i]]), "", LogTable2024[[#This Row],[Date_i]]), LogTable2024[[#This Row],[Date_o]])</f>
        <v>45405</v>
      </c>
      <c r="O8" t="str">
        <f>IF( ISBLANK(LogTable2024[[#This Row],[Description_o]]), IF(ISBLANK(LogTable2024[[#This Row],[Description_i]]), "", LogTable2024[[#This Row],[Description_i]]), LogTable2024[[#This Row],[Description_o]])</f>
        <v>Snarf's</v>
      </c>
      <c r="P8" t="str">
        <f>IF( ISBLANK(LogTable2024[[#This Row],[Original Description_o]]), IF(ISBLANK(LogTable2024[[#This Row],[Original Description_i]]), "", LogTable2024[[#This Row],[Original Description_i]]), LogTable2024[[#This Row],[Original Description_o]])</f>
        <v>SNARFS WESTMINSTER       DENVER       CO</v>
      </c>
      <c r="Q8" t="str">
        <f>IF( ISBLANK(LogTable2024[[#This Row],[Category_o]]), IF(ISBLANK(LogTable2024[[#This Row],[Category_i]]), "", LogTable2024[[#This Row],[Category_i]]), LogTable2024[[#This Row],[Category_o]])</f>
        <v>Fast Food</v>
      </c>
      <c r="R8" s="10">
        <f>IF( ISBLANK(LogTable2024[[#This Row],[Amount_o]]), IF(ISBLANK(LogTable2024[[#This Row],[Amount_i]]), "", LogTable2024[[#This Row],[Amount_i]]), LogTable2024[[#This Row],[Amount_o]])</f>
        <v>-20.059999999999999</v>
      </c>
      <c r="S8" s="1" t="str">
        <f>IF( ISBLANK(LogTable2024[[#This Row],[Status_o]]), IF(ISBLANK(LogTable2024[[#This Row],[Status_i]]), "", LogTable2024[[#This Row],[Status_i]]), LogTable2024[[#This Row],[Status_o]])</f>
        <v>Posted</v>
      </c>
      <c r="T8" t="s">
        <v>292</v>
      </c>
      <c r="U8" t="str">
        <f>IF( _xlfn.IFNA(MATCH(LogTable2024[[#This Row],[My Category]], Buckets!$D$4:$D$35, 0), FALSE), ".", "E")</f>
        <v>.</v>
      </c>
    </row>
    <row r="9" spans="1:22" hidden="1" x14ac:dyDescent="0.25">
      <c r="A9" s="1">
        <v>45404</v>
      </c>
      <c r="B9" t="s">
        <v>481</v>
      </c>
      <c r="C9" t="s">
        <v>482</v>
      </c>
      <c r="D9" t="s">
        <v>47</v>
      </c>
      <c r="E9">
        <v>-27.17</v>
      </c>
      <c r="F9" t="s">
        <v>9</v>
      </c>
      <c r="G9" s="5" t="s">
        <v>195</v>
      </c>
      <c r="H9" s="5"/>
      <c r="I9" s="5"/>
      <c r="J9" s="5"/>
      <c r="K9" s="5"/>
      <c r="L9" s="5"/>
      <c r="M9" s="5"/>
      <c r="N9" s="1">
        <f>IF( ISBLANK(LogTable2024[[#This Row],[Date_o]]), IF(ISBLANK(LogTable2024[[#This Row],[Date_i]]), "", LogTable2024[[#This Row],[Date_i]]), LogTable2024[[#This Row],[Date_o]])</f>
        <v>45404</v>
      </c>
      <c r="O9" t="str">
        <f>IF( ISBLANK(LogTable2024[[#This Row],[Description_o]]), IF(ISBLANK(LogTable2024[[#This Row],[Description_i]]), "", LogTable2024[[#This Row],[Description_i]]), LogTable2024[[#This Row],[Description_o]])</f>
        <v>Pho Fusion Asian</v>
      </c>
      <c r="P9" t="str">
        <f>IF( ISBLANK(LogTable2024[[#This Row],[Original Description_o]]), IF(ISBLANK(LogTable2024[[#This Row],[Original Description_i]]), "", LogTable2024[[#This Row],[Original Description_i]]), LogTable2024[[#This Row],[Original Description_o]])</f>
        <v>PHO FUSION ASIAN         DENVER       CO</v>
      </c>
      <c r="Q9" t="str">
        <f>IF( ISBLANK(LogTable2024[[#This Row],[Category_o]]), IF(ISBLANK(LogTable2024[[#This Row],[Category_i]]), "", LogTable2024[[#This Row],[Category_i]]), LogTable2024[[#This Row],[Category_o]])</f>
        <v>Food &amp; Dining</v>
      </c>
      <c r="R9" s="10">
        <f>IF( ISBLANK(LogTable2024[[#This Row],[Amount_o]]), IF(ISBLANK(LogTable2024[[#This Row],[Amount_i]]), "", LogTable2024[[#This Row],[Amount_i]]), LogTable2024[[#This Row],[Amount_o]])</f>
        <v>-27.17</v>
      </c>
      <c r="S9" s="1" t="str">
        <f>IF( ISBLANK(LogTable2024[[#This Row],[Status_o]]), IF(ISBLANK(LogTable2024[[#This Row],[Status_i]]), "", LogTable2024[[#This Row],[Status_i]]), LogTable2024[[#This Row],[Status_o]])</f>
        <v>Posted</v>
      </c>
      <c r="T9" t="s">
        <v>292</v>
      </c>
      <c r="U9" t="str">
        <f>IF( _xlfn.IFNA(MATCH(LogTable2024[[#This Row],[My Category]], Buckets!$D$4:$D$35, 0), FALSE), ".", "E")</f>
        <v>.</v>
      </c>
    </row>
    <row r="10" spans="1:22" hidden="1" x14ac:dyDescent="0.25">
      <c r="A10" s="1">
        <v>45400</v>
      </c>
      <c r="B10" t="s">
        <v>48</v>
      </c>
      <c r="C10" t="s">
        <v>49</v>
      </c>
      <c r="D10" t="s">
        <v>47</v>
      </c>
      <c r="E10">
        <v>-34.14</v>
      </c>
      <c r="F10" t="s">
        <v>9</v>
      </c>
      <c r="G10" s="5" t="s">
        <v>195</v>
      </c>
      <c r="H10" s="5"/>
      <c r="I10" s="5"/>
      <c r="J10" s="5"/>
      <c r="K10" s="5"/>
      <c r="L10" s="5"/>
      <c r="M10" s="5"/>
      <c r="N10" s="1">
        <f>IF( ISBLANK(LogTable2024[[#This Row],[Date_o]]), IF(ISBLANK(LogTable2024[[#This Row],[Date_i]]), "", LogTable2024[[#This Row],[Date_i]]), LogTable2024[[#This Row],[Date_o]])</f>
        <v>45400</v>
      </c>
      <c r="O10" t="str">
        <f>IF( ISBLANK(LogTable2024[[#This Row],[Description_o]]), IF(ISBLANK(LogTable2024[[#This Row],[Description_i]]), "", LogTable2024[[#This Row],[Description_i]]), LogTable2024[[#This Row],[Description_o]])</f>
        <v>Cosmos Pizza Federal</v>
      </c>
      <c r="P10" t="str">
        <f>IF( ISBLANK(LogTable2024[[#This Row],[Original Description_o]]), IF(ISBLANK(LogTable2024[[#This Row],[Original Description_i]]), "", LogTable2024[[#This Row],[Original Description_i]]), LogTable2024[[#This Row],[Original Description_o]])</f>
        <v>COSMOS PIZZA - FEDERAL   DENVER       CO</v>
      </c>
      <c r="Q10" t="str">
        <f>IF( ISBLANK(LogTable2024[[#This Row],[Category_o]]), IF(ISBLANK(LogTable2024[[#This Row],[Category_i]]), "", LogTable2024[[#This Row],[Category_i]]), LogTable2024[[#This Row],[Category_o]])</f>
        <v>Food &amp; Dining</v>
      </c>
      <c r="R10" s="10">
        <f>IF( ISBLANK(LogTable2024[[#This Row],[Amount_o]]), IF(ISBLANK(LogTable2024[[#This Row],[Amount_i]]), "", LogTable2024[[#This Row],[Amount_i]]), LogTable2024[[#This Row],[Amount_o]])</f>
        <v>-34.14</v>
      </c>
      <c r="S10" s="1" t="str">
        <f>IF( ISBLANK(LogTable2024[[#This Row],[Status_o]]), IF(ISBLANK(LogTable2024[[#This Row],[Status_i]]), "", LogTable2024[[#This Row],[Status_i]]), LogTable2024[[#This Row],[Status_o]])</f>
        <v>Posted</v>
      </c>
      <c r="T10" t="s">
        <v>292</v>
      </c>
      <c r="U10" t="str">
        <f>IF( _xlfn.IFNA(MATCH(LogTable2024[[#This Row],[My Category]], Buckets!$D$4:$D$35, 0), FALSE), ".", "E")</f>
        <v>.</v>
      </c>
    </row>
    <row r="11" spans="1:22" hidden="1" x14ac:dyDescent="0.25">
      <c r="A11" s="1">
        <v>45400</v>
      </c>
      <c r="B11" t="s">
        <v>499</v>
      </c>
      <c r="C11" t="s">
        <v>500</v>
      </c>
      <c r="D11" t="s">
        <v>501</v>
      </c>
      <c r="E11">
        <v>3934</v>
      </c>
      <c r="F11" t="s">
        <v>9</v>
      </c>
      <c r="G11" s="5" t="s">
        <v>269</v>
      </c>
      <c r="H11" s="5"/>
      <c r="I11" s="5"/>
      <c r="J11" s="5"/>
      <c r="K11" s="5"/>
      <c r="L11" s="5"/>
      <c r="M11" s="5"/>
      <c r="N11" s="1">
        <f>IF( ISBLANK(LogTable2024[[#This Row],[Date_o]]), IF(ISBLANK(LogTable2024[[#This Row],[Date_i]]), "", LogTable2024[[#This Row],[Date_i]]), LogTable2024[[#This Row],[Date_o]])</f>
        <v>45400</v>
      </c>
      <c r="O11" t="str">
        <f>IF( ISBLANK(LogTable2024[[#This Row],[Description_o]]), IF(ISBLANK(LogTable2024[[#This Row],[Description_i]]), "", LogTable2024[[#This Row],[Description_i]]), LogTable2024[[#This Row],[Description_o]])</f>
        <v>Federal Tax Refund</v>
      </c>
      <c r="P11" t="str">
        <f>IF( ISBLANK(LogTable2024[[#This Row],[Original Description_o]]), IF(ISBLANK(LogTable2024[[#This Row],[Original Description_i]]), "", LogTable2024[[#This Row],[Original Description_i]]), LogTable2024[[#This Row],[Original Description_o]])</f>
        <v>IRS  TREAS 310     TAX REF  ***********0918</v>
      </c>
      <c r="Q11" t="str">
        <f>IF( ISBLANK(LogTable2024[[#This Row],[Category_o]]), IF(ISBLANK(LogTable2024[[#This Row],[Category_i]]), "", LogTable2024[[#This Row],[Category_i]]), LogTable2024[[#This Row],[Category_o]])</f>
        <v>Federal Tax</v>
      </c>
      <c r="R11" s="10">
        <f>IF( ISBLANK(LogTable2024[[#This Row],[Amount_o]]), IF(ISBLANK(LogTable2024[[#This Row],[Amount_i]]), "", LogTable2024[[#This Row],[Amount_i]]), LogTable2024[[#This Row],[Amount_o]])</f>
        <v>3934</v>
      </c>
      <c r="S11" s="1" t="str">
        <f>IF( ISBLANK(LogTable2024[[#This Row],[Status_o]]), IF(ISBLANK(LogTable2024[[#This Row],[Status_i]]), "", LogTable2024[[#This Row],[Status_i]]), LogTable2024[[#This Row],[Status_o]])</f>
        <v>Posted</v>
      </c>
      <c r="T11" t="s">
        <v>306</v>
      </c>
      <c r="U11" t="str">
        <f>IF( _xlfn.IFNA(MATCH(LogTable2024[[#This Row],[My Category]], Buckets!$D$4:$D$35, 0), FALSE), ".", "E")</f>
        <v>.</v>
      </c>
    </row>
    <row r="12" spans="1:22" hidden="1" x14ac:dyDescent="0.25">
      <c r="A12" s="1">
        <v>45400</v>
      </c>
      <c r="B12" t="s">
        <v>13</v>
      </c>
      <c r="C12" t="s">
        <v>38</v>
      </c>
      <c r="D12" t="s">
        <v>39</v>
      </c>
      <c r="E12">
        <v>-32.19</v>
      </c>
      <c r="F12" t="s">
        <v>9</v>
      </c>
      <c r="G12" s="5" t="s">
        <v>195</v>
      </c>
      <c r="H12" s="5"/>
      <c r="I12" s="5"/>
      <c r="J12" s="5"/>
      <c r="K12" s="5"/>
      <c r="L12" s="5"/>
      <c r="M12" s="5"/>
      <c r="N12" s="1">
        <f>IF( ISBLANK(LogTable2024[[#This Row],[Date_o]]), IF(ISBLANK(LogTable2024[[#This Row],[Date_i]]), "", LogTable2024[[#This Row],[Date_i]]), LogTable2024[[#This Row],[Date_o]])</f>
        <v>45400</v>
      </c>
      <c r="O12" t="str">
        <f>IF( ISBLANK(LogTable2024[[#This Row],[Description_o]]), IF(ISBLANK(LogTable2024[[#This Row],[Description_i]]), "", LogTable2024[[#This Row],[Description_i]]), LogTable2024[[#This Row],[Description_o]])</f>
        <v>King Soopers</v>
      </c>
      <c r="P12" t="str">
        <f>IF( ISBLANK(LogTable2024[[#This Row],[Original Description_o]]), IF(ISBLANK(LogTable2024[[#This Row],[Original Description_i]]), "", LogTable2024[[#This Row],[Original Description_i]]), LogTable2024[[#This Row],[Original Description_o]])</f>
        <v>KING SOOPERS #0657 FUEL QWHEAT RIDGE  CO</v>
      </c>
      <c r="Q12" t="str">
        <f>IF( ISBLANK(LogTable2024[[#This Row],[Category_o]]), IF(ISBLANK(LogTable2024[[#This Row],[Category_i]]), "", LogTable2024[[#This Row],[Category_i]]), LogTable2024[[#This Row],[Category_o]])</f>
        <v>Gas</v>
      </c>
      <c r="R12" s="10">
        <f>IF( ISBLANK(LogTable2024[[#This Row],[Amount_o]]), IF(ISBLANK(LogTable2024[[#This Row],[Amount_i]]), "", LogTable2024[[#This Row],[Amount_i]]), LogTable2024[[#This Row],[Amount_o]])</f>
        <v>-32.19</v>
      </c>
      <c r="S12" s="1" t="str">
        <f>IF( ISBLANK(LogTable2024[[#This Row],[Status_o]]), IF(ISBLANK(LogTable2024[[#This Row],[Status_i]]), "", LogTable2024[[#This Row],[Status_i]]), LogTable2024[[#This Row],[Status_o]])</f>
        <v>Posted</v>
      </c>
      <c r="T12" t="s">
        <v>15</v>
      </c>
      <c r="U12" t="str">
        <f>IF( _xlfn.IFNA(MATCH(LogTable2024[[#This Row],[My Category]], Buckets!$D$4:$D$35, 0), FALSE), ".", "E")</f>
        <v>.</v>
      </c>
    </row>
    <row r="13" spans="1:22" hidden="1" x14ac:dyDescent="0.25">
      <c r="A13" s="1">
        <v>45400</v>
      </c>
      <c r="B13" t="s">
        <v>13</v>
      </c>
      <c r="C13" t="s">
        <v>14</v>
      </c>
      <c r="D13" t="s">
        <v>15</v>
      </c>
      <c r="E13">
        <v>-139.77000000000001</v>
      </c>
      <c r="F13" t="s">
        <v>9</v>
      </c>
      <c r="G13" s="5" t="s">
        <v>195</v>
      </c>
      <c r="H13" s="5"/>
      <c r="I13" s="5"/>
      <c r="J13" s="5"/>
      <c r="K13" s="5"/>
      <c r="L13" s="5"/>
      <c r="M13" s="5"/>
      <c r="N13" s="1">
        <f>IF( ISBLANK(LogTable2024[[#This Row],[Date_o]]), IF(ISBLANK(LogTable2024[[#This Row],[Date_i]]), "", LogTable2024[[#This Row],[Date_i]]), LogTable2024[[#This Row],[Date_o]])</f>
        <v>45400</v>
      </c>
      <c r="O13" t="str">
        <f>IF( ISBLANK(LogTable2024[[#This Row],[Description_o]]), IF(ISBLANK(LogTable2024[[#This Row],[Description_i]]), "", LogTable2024[[#This Row],[Description_i]]), LogTable2024[[#This Row],[Description_o]])</f>
        <v>King Soopers</v>
      </c>
      <c r="P13" t="str">
        <f>IF( ISBLANK(LogTable2024[[#This Row],[Original Description_o]]), IF(ISBLANK(LogTable2024[[#This Row],[Original Description_i]]), "", LogTable2024[[#This Row],[Original Description_i]]), LogTable2024[[#This Row],[Original Description_o]])</f>
        <v>KING SOOPERS #0057       WHEAT RIDGE  CO</v>
      </c>
      <c r="Q13" t="str">
        <f>IF( ISBLANK(LogTable2024[[#This Row],[Category_o]]), IF(ISBLANK(LogTable2024[[#This Row],[Category_i]]), "", LogTable2024[[#This Row],[Category_i]]), LogTable2024[[#This Row],[Category_o]])</f>
        <v>Groceries</v>
      </c>
      <c r="R13" s="10">
        <f>IF( ISBLANK(LogTable2024[[#This Row],[Amount_o]]), IF(ISBLANK(LogTable2024[[#This Row],[Amount_i]]), "", LogTable2024[[#This Row],[Amount_i]]), LogTable2024[[#This Row],[Amount_o]])</f>
        <v>-139.77000000000001</v>
      </c>
      <c r="S13" s="1" t="str">
        <f>IF( ISBLANK(LogTable2024[[#This Row],[Status_o]]), IF(ISBLANK(LogTable2024[[#This Row],[Status_i]]), "", LogTable2024[[#This Row],[Status_i]]), LogTable2024[[#This Row],[Status_o]])</f>
        <v>Posted</v>
      </c>
      <c r="T13" t="s">
        <v>15</v>
      </c>
      <c r="U13" t="str">
        <f>IF( _xlfn.IFNA(MATCH(LogTable2024[[#This Row],[My Category]], Buckets!$D$4:$D$35, 0), FALSE), ".", "E")</f>
        <v>.</v>
      </c>
    </row>
    <row r="14" spans="1:22" hidden="1" x14ac:dyDescent="0.25">
      <c r="A14" s="1">
        <v>45398</v>
      </c>
      <c r="B14" t="s">
        <v>100</v>
      </c>
      <c r="C14" t="s">
        <v>101</v>
      </c>
      <c r="D14" t="s">
        <v>32</v>
      </c>
      <c r="E14">
        <v>-2</v>
      </c>
      <c r="F14" t="s">
        <v>9</v>
      </c>
      <c r="G14" s="5" t="s">
        <v>195</v>
      </c>
      <c r="H14" s="5"/>
      <c r="I14" s="5"/>
      <c r="J14" s="5"/>
      <c r="K14" s="5"/>
      <c r="L14" s="5"/>
      <c r="M14" s="5"/>
      <c r="N14" s="1">
        <f>IF( ISBLANK(LogTable2024[[#This Row],[Date_o]]), IF(ISBLANK(LogTable2024[[#This Row],[Date_i]]), "", LogTable2024[[#This Row],[Date_i]]), LogTable2024[[#This Row],[Date_o]])</f>
        <v>45398</v>
      </c>
      <c r="O14" t="str">
        <f>IF( ISBLANK(LogTable2024[[#This Row],[Description_o]]), IF(ISBLANK(LogTable2024[[#This Row],[Description_i]]), "", LogTable2024[[#This Row],[Description_i]]), LogTable2024[[#This Row],[Description_o]])</f>
        <v>Patreon</v>
      </c>
      <c r="P14" t="str">
        <f>IF( ISBLANK(LogTable2024[[#This Row],[Original Description_o]]), IF(ISBLANK(LogTable2024[[#This Row],[Original Description_i]]), "", LogTable2024[[#This Row],[Original Description_i]]), LogTable2024[[#This Row],[Original Description_o]])</f>
        <v>PAYPAL *PATREON INC  MEMB402-935-7733 CA</v>
      </c>
      <c r="Q14" t="str">
        <f>IF( ISBLANK(LogTable2024[[#This Row],[Category_o]]), IF(ISBLANK(LogTable2024[[#This Row],[Category_i]]), "", LogTable2024[[#This Row],[Category_i]]), LogTable2024[[#This Row],[Category_o]])</f>
        <v>Entertainment</v>
      </c>
      <c r="R14" s="10">
        <f>IF( ISBLANK(LogTable2024[[#This Row],[Amount_o]]), IF(ISBLANK(LogTable2024[[#This Row],[Amount_i]]), "", LogTable2024[[#This Row],[Amount_i]]), LogTable2024[[#This Row],[Amount_o]])</f>
        <v>-2</v>
      </c>
      <c r="S14" s="1" t="str">
        <f>IF( ISBLANK(LogTable2024[[#This Row],[Status_o]]), IF(ISBLANK(LogTable2024[[#This Row],[Status_i]]), "", LogTable2024[[#This Row],[Status_i]]), LogTable2024[[#This Row],[Status_o]])</f>
        <v>Posted</v>
      </c>
      <c r="T14" t="s">
        <v>464</v>
      </c>
      <c r="U14" t="str">
        <f>IF( _xlfn.IFNA(MATCH(LogTable2024[[#This Row],[My Category]], Buckets!$D$4:$D$35, 0), FALSE), ".", "E")</f>
        <v>.</v>
      </c>
    </row>
    <row r="15" spans="1:22" hidden="1" x14ac:dyDescent="0.25">
      <c r="A15" s="1">
        <v>45397</v>
      </c>
      <c r="B15" t="s">
        <v>502</v>
      </c>
      <c r="C15" t="s">
        <v>503</v>
      </c>
      <c r="D15" t="s">
        <v>504</v>
      </c>
      <c r="E15">
        <v>1349</v>
      </c>
      <c r="F15" t="s">
        <v>9</v>
      </c>
      <c r="G15" s="5" t="s">
        <v>269</v>
      </c>
      <c r="H15" s="5"/>
      <c r="I15" s="5"/>
      <c r="J15" s="5"/>
      <c r="K15" s="5"/>
      <c r="L15" s="5"/>
      <c r="M15" s="5"/>
      <c r="N15" s="1">
        <f>IF( ISBLANK(LogTable2024[[#This Row],[Date_o]]), IF(ISBLANK(LogTable2024[[#This Row],[Date_i]]), "", LogTable2024[[#This Row],[Date_i]]), LogTable2024[[#This Row],[Date_o]])</f>
        <v>45397</v>
      </c>
      <c r="O15" t="str">
        <f>IF( ISBLANK(LogTable2024[[#This Row],[Description_o]]), IF(ISBLANK(LogTable2024[[#This Row],[Description_i]]), "", LogTable2024[[#This Row],[Description_i]]), LogTable2024[[#This Row],[Description_o]])</f>
        <v>State of Colorado</v>
      </c>
      <c r="P15" t="str">
        <f>IF( ISBLANK(LogTable2024[[#This Row],[Original Description_o]]), IF(ISBLANK(LogTable2024[[#This Row],[Original Description_i]]), "", LogTable2024[[#This Row],[Original Description_i]]), LogTable2024[[#This Row],[Original Description_o]])</f>
        <v>CO DEPT REVENUE  COSTTAXRFD ***********7107</v>
      </c>
      <c r="Q15" t="str">
        <f>IF( ISBLANK(LogTable2024[[#This Row],[Category_o]]), IF(ISBLANK(LogTable2024[[#This Row],[Category_i]]), "", LogTable2024[[#This Row],[Category_i]]), LogTable2024[[#This Row],[Category_o]])</f>
        <v>State Tax</v>
      </c>
      <c r="R15" s="10">
        <f>IF( ISBLANK(LogTable2024[[#This Row],[Amount_o]]), IF(ISBLANK(LogTable2024[[#This Row],[Amount_i]]), "", LogTable2024[[#This Row],[Amount_i]]), LogTable2024[[#This Row],[Amount_o]])</f>
        <v>1349</v>
      </c>
      <c r="S15" s="1" t="str">
        <f>IF( ISBLANK(LogTable2024[[#This Row],[Status_o]]), IF(ISBLANK(LogTable2024[[#This Row],[Status_i]]), "", LogTable2024[[#This Row],[Status_i]]), LogTable2024[[#This Row],[Status_o]])</f>
        <v>Posted</v>
      </c>
      <c r="T15" t="s">
        <v>306</v>
      </c>
      <c r="U15" t="str">
        <f>IF( _xlfn.IFNA(MATCH(LogTable2024[[#This Row],[My Category]], Buckets!$D$4:$D$35, 0), FALSE), ".", "E")</f>
        <v>.</v>
      </c>
    </row>
    <row r="16" spans="1:22" x14ac:dyDescent="0.25">
      <c r="A16" s="1">
        <v>45397</v>
      </c>
      <c r="B16" t="s">
        <v>71</v>
      </c>
      <c r="C16" t="s">
        <v>234</v>
      </c>
      <c r="D16" t="s">
        <v>186</v>
      </c>
      <c r="E16">
        <v>-652.29</v>
      </c>
      <c r="F16" t="s">
        <v>9</v>
      </c>
      <c r="G16" s="5" t="s">
        <v>269</v>
      </c>
      <c r="H16" s="5"/>
      <c r="I16" s="5"/>
      <c r="J16" s="5"/>
      <c r="K16" s="5"/>
      <c r="L16" s="5"/>
      <c r="M16" s="5"/>
      <c r="N16" s="1">
        <f>IF( ISBLANK(LogTable2024[[#This Row],[Date_o]]), IF(ISBLANK(LogTable2024[[#This Row],[Date_i]]), "", LogTable2024[[#This Row],[Date_i]]), LogTable2024[[#This Row],[Date_o]])</f>
        <v>45397</v>
      </c>
      <c r="O16" t="str">
        <f>IF( ISBLANK(LogTable2024[[#This Row],[Description_o]]), IF(ISBLANK(LogTable2024[[#This Row],[Description_i]]), "", LogTable2024[[#This Row],[Description_i]]), LogTable2024[[#This Row],[Description_o]])</f>
        <v>USAA Credit Card</v>
      </c>
      <c r="P16" t="str">
        <f>IF( ISBLANK(LogTable2024[[#This Row],[Original Description_o]]), IF(ISBLANK(LogTable2024[[#This Row],[Original Description_i]]), "", LogTable2024[[#This Row],[Original Description_i]]), LogTable2024[[#This Row],[Original Description_o]])</f>
        <v>USAA CREDIT CARD PAYMENT    ***********0051</v>
      </c>
      <c r="Q16" t="str">
        <f>IF( ISBLANK(LogTable2024[[#This Row],[Category_o]]), IF(ISBLANK(LogTable2024[[#This Row],[Category_i]]), "", LogTable2024[[#This Row],[Category_i]]), LogTable2024[[#This Row],[Category_o]])</f>
        <v>Credit Card Payment</v>
      </c>
      <c r="R16" s="10">
        <f>IF( ISBLANK(LogTable2024[[#This Row],[Amount_o]]), IF(ISBLANK(LogTable2024[[#This Row],[Amount_i]]), "", LogTable2024[[#This Row],[Amount_i]]), LogTable2024[[#This Row],[Amount_o]])</f>
        <v>-652.29</v>
      </c>
      <c r="S16" s="1" t="str">
        <f>IF( ISBLANK(LogTable2024[[#This Row],[Status_o]]), IF(ISBLANK(LogTable2024[[#This Row],[Status_i]]), "", LogTable2024[[#This Row],[Status_i]]), LogTable2024[[#This Row],[Status_o]])</f>
        <v>Posted</v>
      </c>
      <c r="T16" t="s">
        <v>307</v>
      </c>
      <c r="U16" t="str">
        <f>IF( _xlfn.IFNA(MATCH(LogTable2024[[#This Row],[My Category]], Buckets!$D$4:$D$35, 0), FALSE), ".", "E")</f>
        <v>.</v>
      </c>
    </row>
    <row r="17" spans="1:22" hidden="1" x14ac:dyDescent="0.25">
      <c r="A17" s="1">
        <v>45395</v>
      </c>
      <c r="B17" t="s">
        <v>52</v>
      </c>
      <c r="C17" t="s">
        <v>53</v>
      </c>
      <c r="D17" t="s">
        <v>54</v>
      </c>
      <c r="E17">
        <v>-47.31</v>
      </c>
      <c r="F17" t="s">
        <v>9</v>
      </c>
      <c r="G17" s="5" t="s">
        <v>195</v>
      </c>
      <c r="H17" s="5"/>
      <c r="I17" s="5"/>
      <c r="J17" s="5"/>
      <c r="K17" s="5"/>
      <c r="L17" s="5"/>
      <c r="M17" s="5"/>
      <c r="N17" s="1">
        <f>IF( ISBLANK(LogTable2024[[#This Row],[Date_o]]), IF(ISBLANK(LogTable2024[[#This Row],[Date_i]]), "", LogTable2024[[#This Row],[Date_i]]), LogTable2024[[#This Row],[Date_o]])</f>
        <v>45395</v>
      </c>
      <c r="O17" t="str">
        <f>IF( ISBLANK(LogTable2024[[#This Row],[Description_o]]), IF(ISBLANK(LogTable2024[[#This Row],[Description_i]]), "", LogTable2024[[#This Row],[Description_i]]), LogTable2024[[#This Row],[Description_o]])</f>
        <v>CVS</v>
      </c>
      <c r="P17" t="str">
        <f>IF( ISBLANK(LogTable2024[[#This Row],[Original Description_o]]), IF(ISBLANK(LogTable2024[[#This Row],[Original Description_i]]), "", LogTable2024[[#This Row],[Original Description_i]]), LogTable2024[[#This Row],[Original Description_o]])</f>
        <v>CVS/PHARMACY #10784      DENVER       CO</v>
      </c>
      <c r="Q17" t="str">
        <f>IF( ISBLANK(LogTable2024[[#This Row],[Category_o]]), IF(ISBLANK(LogTable2024[[#This Row],[Category_i]]), "", LogTable2024[[#This Row],[Category_i]]), LogTable2024[[#This Row],[Category_o]])</f>
        <v>Pharmacy</v>
      </c>
      <c r="R17" s="10">
        <f>IF( ISBLANK(LogTable2024[[#This Row],[Amount_o]]), IF(ISBLANK(LogTable2024[[#This Row],[Amount_i]]), "", LogTable2024[[#This Row],[Amount_i]]), LogTable2024[[#This Row],[Amount_o]])</f>
        <v>-47.31</v>
      </c>
      <c r="S17" s="1" t="str">
        <f>IF( ISBLANK(LogTable2024[[#This Row],[Status_o]]), IF(ISBLANK(LogTable2024[[#This Row],[Status_i]]), "", LogTable2024[[#This Row],[Status_i]]), LogTable2024[[#This Row],[Status_o]])</f>
        <v>Posted</v>
      </c>
      <c r="T17" t="s">
        <v>301</v>
      </c>
      <c r="U17" t="str">
        <f>IF( _xlfn.IFNA(MATCH(LogTable2024[[#This Row],[My Category]], Buckets!$D$4:$D$35, 0), FALSE), ".", "E")</f>
        <v>.</v>
      </c>
    </row>
    <row r="18" spans="1:22" hidden="1" x14ac:dyDescent="0.25">
      <c r="A18" s="1">
        <v>45395</v>
      </c>
      <c r="B18" t="s">
        <v>77</v>
      </c>
      <c r="C18" t="s">
        <v>78</v>
      </c>
      <c r="D18" t="s">
        <v>32</v>
      </c>
      <c r="E18">
        <v>-18.18</v>
      </c>
      <c r="F18" t="s">
        <v>9</v>
      </c>
      <c r="G18" s="5" t="s">
        <v>195</v>
      </c>
      <c r="H18" s="5"/>
      <c r="I18" s="5"/>
      <c r="J18" s="5"/>
      <c r="K18" s="5"/>
      <c r="L18" s="5"/>
      <c r="M18" s="5"/>
      <c r="N18" s="1">
        <f>IF( ISBLANK(LogTable2024[[#This Row],[Date_o]]), IF(ISBLANK(LogTable2024[[#This Row],[Date_i]]), "", LogTable2024[[#This Row],[Date_i]]), LogTable2024[[#This Row],[Date_o]])</f>
        <v>45395</v>
      </c>
      <c r="O18" t="str">
        <f>IF( ISBLANK(LogTable2024[[#This Row],[Description_o]]), IF(ISBLANK(LogTable2024[[#This Row],[Description_i]]), "", LogTable2024[[#This Row],[Description_i]]), LogTable2024[[#This Row],[Description_o]])</f>
        <v>Steam</v>
      </c>
      <c r="P18" t="str">
        <f>IF( ISBLANK(LogTable2024[[#This Row],[Original Description_o]]), IF(ISBLANK(LogTable2024[[#This Row],[Original Description_i]]), "", LogTable2024[[#This Row],[Original Description_i]]), LogTable2024[[#This Row],[Original Description_o]])</f>
        <v>PAYPAL *STEAM GAMES      4259522985   WA</v>
      </c>
      <c r="Q18" t="str">
        <f>IF( ISBLANK(LogTable2024[[#This Row],[Category_o]]), IF(ISBLANK(LogTable2024[[#This Row],[Category_i]]), "", LogTable2024[[#This Row],[Category_i]]), LogTable2024[[#This Row],[Category_o]])</f>
        <v>Entertainment</v>
      </c>
      <c r="R18" s="10">
        <f>IF( ISBLANK(LogTable2024[[#This Row],[Amount_o]]), IF(ISBLANK(LogTable2024[[#This Row],[Amount_i]]), "", LogTable2024[[#This Row],[Amount_i]]), LogTable2024[[#This Row],[Amount_o]])</f>
        <v>-18.18</v>
      </c>
      <c r="S18" s="1" t="str">
        <f>IF( ISBLANK(LogTable2024[[#This Row],[Status_o]]), IF(ISBLANK(LogTable2024[[#This Row],[Status_i]]), "", LogTable2024[[#This Row],[Status_i]]), LogTable2024[[#This Row],[Status_o]])</f>
        <v>Posted</v>
      </c>
      <c r="T18" t="s">
        <v>289</v>
      </c>
      <c r="U18" t="str">
        <f>IF( _xlfn.IFNA(MATCH(LogTable2024[[#This Row],[My Category]], Buckets!$D$4:$D$35, 0), FALSE), ".", "E")</f>
        <v>.</v>
      </c>
    </row>
    <row r="19" spans="1:22" x14ac:dyDescent="0.25">
      <c r="A19" s="1">
        <v>45394</v>
      </c>
      <c r="B19" t="s">
        <v>186</v>
      </c>
      <c r="C19" t="s">
        <v>106</v>
      </c>
      <c r="D19" t="s">
        <v>186</v>
      </c>
      <c r="E19">
        <v>652.29</v>
      </c>
      <c r="F19" t="s">
        <v>9</v>
      </c>
      <c r="G19" s="5" t="s">
        <v>195</v>
      </c>
      <c r="H19" s="5"/>
      <c r="I19" s="5"/>
      <c r="J19" s="5"/>
      <c r="K19" s="5"/>
      <c r="L19" s="5"/>
      <c r="M19" s="5"/>
      <c r="N19" s="1">
        <f>IF( ISBLANK(LogTable2024[[#This Row],[Date_o]]), IF(ISBLANK(LogTable2024[[#This Row],[Date_i]]), "", LogTable2024[[#This Row],[Date_i]]), LogTable2024[[#This Row],[Date_o]])</f>
        <v>45394</v>
      </c>
      <c r="O19" t="str">
        <f>IF( ISBLANK(LogTable2024[[#This Row],[Description_o]]), IF(ISBLANK(LogTable2024[[#This Row],[Description_i]]), "", LogTable2024[[#This Row],[Description_i]]), LogTable2024[[#This Row],[Description_o]])</f>
        <v>Credit Card Payment</v>
      </c>
      <c r="P19" t="str">
        <f>IF( ISBLANK(LogTable2024[[#This Row],[Original Description_o]]), IF(ISBLANK(LogTable2024[[#This Row],[Original Description_i]]), "", LogTable2024[[#This Row],[Original Description_i]]), LogTable2024[[#This Row],[Original Description_o]])</f>
        <v>AUTOMATIC PAYMENT - THANK YOU</v>
      </c>
      <c r="Q19" t="str">
        <f>IF( ISBLANK(LogTable2024[[#This Row],[Category_o]]), IF(ISBLANK(LogTable2024[[#This Row],[Category_i]]), "", LogTable2024[[#This Row],[Category_i]]), LogTable2024[[#This Row],[Category_o]])</f>
        <v>Credit Card Payment</v>
      </c>
      <c r="R19" s="10">
        <f>IF( ISBLANK(LogTable2024[[#This Row],[Amount_o]]), IF(ISBLANK(LogTable2024[[#This Row],[Amount_i]]), "", LogTable2024[[#This Row],[Amount_i]]), LogTable2024[[#This Row],[Amount_o]])</f>
        <v>652.29</v>
      </c>
      <c r="S19" s="1" t="str">
        <f>IF( ISBLANK(LogTable2024[[#This Row],[Status_o]]), IF(ISBLANK(LogTable2024[[#This Row],[Status_i]]), "", LogTable2024[[#This Row],[Status_i]]), LogTable2024[[#This Row],[Status_o]])</f>
        <v>Posted</v>
      </c>
      <c r="T19" t="s">
        <v>307</v>
      </c>
      <c r="U19" t="str">
        <f>IF( _xlfn.IFNA(MATCH(LogTable2024[[#This Row],[My Category]], Buckets!$D$4:$D$35, 0), FALSE), ".", "E")</f>
        <v>.</v>
      </c>
    </row>
    <row r="20" spans="1:22" hidden="1" x14ac:dyDescent="0.25">
      <c r="A20" s="1">
        <v>45394</v>
      </c>
      <c r="B20" t="s">
        <v>52</v>
      </c>
      <c r="C20" t="s">
        <v>53</v>
      </c>
      <c r="D20" t="s">
        <v>54</v>
      </c>
      <c r="E20">
        <v>-37.83</v>
      </c>
      <c r="F20" t="s">
        <v>9</v>
      </c>
      <c r="G20" s="5" t="s">
        <v>195</v>
      </c>
      <c r="H20" s="5"/>
      <c r="I20" s="5"/>
      <c r="J20" s="5"/>
      <c r="K20" s="5"/>
      <c r="L20" s="5"/>
      <c r="M20" s="5"/>
      <c r="N20" s="1">
        <f>IF( ISBLANK(LogTable2024[[#This Row],[Date_o]]), IF(ISBLANK(LogTable2024[[#This Row],[Date_i]]), "", LogTable2024[[#This Row],[Date_i]]), LogTable2024[[#This Row],[Date_o]])</f>
        <v>45394</v>
      </c>
      <c r="O20" t="str">
        <f>IF( ISBLANK(LogTable2024[[#This Row],[Description_o]]), IF(ISBLANK(LogTable2024[[#This Row],[Description_i]]), "", LogTable2024[[#This Row],[Description_i]]), LogTable2024[[#This Row],[Description_o]])</f>
        <v>CVS</v>
      </c>
      <c r="P20" t="str">
        <f>IF( ISBLANK(LogTable2024[[#This Row],[Original Description_o]]), IF(ISBLANK(LogTable2024[[#This Row],[Original Description_i]]), "", LogTable2024[[#This Row],[Original Description_i]]), LogTable2024[[#This Row],[Original Description_o]])</f>
        <v>CVS/PHARMACY #10784      DENVER       CO</v>
      </c>
      <c r="Q20" t="str">
        <f>IF( ISBLANK(LogTable2024[[#This Row],[Category_o]]), IF(ISBLANK(LogTable2024[[#This Row],[Category_i]]), "", LogTable2024[[#This Row],[Category_i]]), LogTable2024[[#This Row],[Category_o]])</f>
        <v>Pharmacy</v>
      </c>
      <c r="R20" s="10">
        <f>IF( ISBLANK(LogTable2024[[#This Row],[Amount_o]]), IF(ISBLANK(LogTable2024[[#This Row],[Amount_i]]), "", LogTable2024[[#This Row],[Amount_i]]), LogTable2024[[#This Row],[Amount_o]])</f>
        <v>-37.83</v>
      </c>
      <c r="S20" s="1" t="str">
        <f>IF( ISBLANK(LogTable2024[[#This Row],[Status_o]]), IF(ISBLANK(LogTable2024[[#This Row],[Status_i]]), "", LogTable2024[[#This Row],[Status_i]]), LogTable2024[[#This Row],[Status_o]])</f>
        <v>Posted</v>
      </c>
      <c r="T20" t="s">
        <v>301</v>
      </c>
      <c r="U20" t="str">
        <f>IF( _xlfn.IFNA(MATCH(LogTable2024[[#This Row],[My Category]], Buckets!$D$4:$D$35, 0), FALSE), ".", "E")</f>
        <v>.</v>
      </c>
    </row>
    <row r="21" spans="1:22" hidden="1" x14ac:dyDescent="0.25">
      <c r="A21" s="1">
        <v>45393</v>
      </c>
      <c r="B21" t="s">
        <v>455</v>
      </c>
      <c r="C21" t="s">
        <v>456</v>
      </c>
      <c r="D21" t="s">
        <v>218</v>
      </c>
      <c r="E21">
        <v>-500</v>
      </c>
      <c r="F21" t="s">
        <v>9</v>
      </c>
      <c r="G21" s="5" t="s">
        <v>269</v>
      </c>
      <c r="H21" s="5"/>
      <c r="I21" s="5"/>
      <c r="J21" s="5"/>
      <c r="K21" s="5"/>
      <c r="L21" s="5"/>
      <c r="M21" s="5"/>
      <c r="N21" s="1">
        <f>IF( ISBLANK(LogTable2024[[#This Row],[Date_o]]), IF(ISBLANK(LogTable2024[[#This Row],[Date_i]]), "", LogTable2024[[#This Row],[Date_i]]), LogTable2024[[#This Row],[Date_o]])</f>
        <v>45393</v>
      </c>
      <c r="O21" t="str">
        <f>IF( ISBLANK(LogTable2024[[#This Row],[Description_o]]), IF(ISBLANK(LogTable2024[[#This Row],[Description_i]]), "", LogTable2024[[#This Row],[Description_i]]), LogTable2024[[#This Row],[Description_o]])</f>
        <v>Advs Ed Serv Studntloan</v>
      </c>
      <c r="P21" t="str">
        <f>IF( ISBLANK(LogTable2024[[#This Row],[Original Description_o]]), IF(ISBLANK(LogTable2024[[#This Row],[Original Description_i]]), "", LogTable2024[[#This Row],[Original Description_i]]), LogTable2024[[#This Row],[Original Description_o]])</f>
        <v>ADVS ED SERV PPD STUDNTLOAN ***********0000</v>
      </c>
      <c r="Q21" t="str">
        <f>IF( ISBLANK(LogTable2024[[#This Row],[Category_o]]), IF(ISBLANK(LogTable2024[[#This Row],[Category_i]]), "", LogTable2024[[#This Row],[Category_i]]), LogTable2024[[#This Row],[Category_o]])</f>
        <v>Student Loan</v>
      </c>
      <c r="R21" s="10">
        <f>IF( ISBLANK(LogTable2024[[#This Row],[Amount_o]]), IF(ISBLANK(LogTable2024[[#This Row],[Amount_i]]), "", LogTable2024[[#This Row],[Amount_i]]), LogTable2024[[#This Row],[Amount_o]])</f>
        <v>-500</v>
      </c>
      <c r="S21" s="1" t="str">
        <f>IF( ISBLANK(LogTable2024[[#This Row],[Status_o]]), IF(ISBLANK(LogTable2024[[#This Row],[Status_i]]), "", LogTable2024[[#This Row],[Status_i]]), LogTable2024[[#This Row],[Status_o]])</f>
        <v>Posted</v>
      </c>
      <c r="T21" t="s">
        <v>285</v>
      </c>
      <c r="U21" t="str">
        <f>IF( _xlfn.IFNA(MATCH(LogTable2024[[#This Row],[My Category]], Buckets!$D$4:$D$35, 0), FALSE), ".", "E")</f>
        <v>.</v>
      </c>
      <c r="V21" t="s">
        <v>361</v>
      </c>
    </row>
    <row r="22" spans="1:22" hidden="1" x14ac:dyDescent="0.25">
      <c r="A22" s="1">
        <v>45393</v>
      </c>
      <c r="B22" t="s">
        <v>204</v>
      </c>
      <c r="C22" t="s">
        <v>205</v>
      </c>
      <c r="D22" t="s">
        <v>206</v>
      </c>
      <c r="E22">
        <v>-189.69</v>
      </c>
      <c r="F22" t="s">
        <v>9</v>
      </c>
      <c r="G22" s="5" t="s">
        <v>269</v>
      </c>
      <c r="H22" s="5"/>
      <c r="I22" s="5"/>
      <c r="J22" s="5"/>
      <c r="K22" s="5"/>
      <c r="L22" s="5"/>
      <c r="M22" s="5"/>
      <c r="N22" s="1">
        <f>IF( ISBLANK(LogTable2024[[#This Row],[Date_o]]), IF(ISBLANK(LogTable2024[[#This Row],[Date_i]]), "", LogTable2024[[#This Row],[Date_i]]), LogTable2024[[#This Row],[Date_o]])</f>
        <v>45393</v>
      </c>
      <c r="O22" t="str">
        <f>IF( ISBLANK(LogTable2024[[#This Row],[Description_o]]), IF(ISBLANK(LogTable2024[[#This Row],[Description_i]]), "", LogTable2024[[#This Row],[Description_i]]), LogTable2024[[#This Row],[Description_o]])</f>
        <v>USAA Property and Casualty Insurance</v>
      </c>
      <c r="P22" t="str">
        <f>IF( ISBLANK(LogTable2024[[#This Row],[Original Description_o]]), IF(ISBLANK(LogTable2024[[#This Row],[Original Description_i]]), "", LogTable2024[[#This Row],[Original Description_i]]), LogTable2024[[#This Row],[Original Description_o]])</f>
        <v>USAA P&amp;C         AUTOPAY    ***********4530</v>
      </c>
      <c r="Q22" t="str">
        <f>IF( ISBLANK(LogTable2024[[#This Row],[Category_o]]), IF(ISBLANK(LogTable2024[[#This Row],[Category_i]]), "", LogTable2024[[#This Row],[Category_i]]), LogTable2024[[#This Row],[Category_o]])</f>
        <v>Financial</v>
      </c>
      <c r="R22" s="10">
        <f>IF( ISBLANK(LogTable2024[[#This Row],[Amount_o]]), IF(ISBLANK(LogTable2024[[#This Row],[Amount_i]]), "", LogTable2024[[#This Row],[Amount_i]]), LogTable2024[[#This Row],[Amount_o]])</f>
        <v>-189.69</v>
      </c>
      <c r="S22" s="1" t="str">
        <f>IF( ISBLANK(LogTable2024[[#This Row],[Status_o]]), IF(ISBLANK(LogTable2024[[#This Row],[Status_i]]), "", LogTable2024[[#This Row],[Status_i]]), LogTable2024[[#This Row],[Status_o]])</f>
        <v>Posted</v>
      </c>
      <c r="T22" t="s">
        <v>282</v>
      </c>
      <c r="U22" t="str">
        <f>IF( _xlfn.IFNA(MATCH(LogTable2024[[#This Row],[My Category]], Buckets!$D$4:$D$35, 0), FALSE), ".", "E")</f>
        <v>.</v>
      </c>
    </row>
    <row r="23" spans="1:22" hidden="1" x14ac:dyDescent="0.25">
      <c r="A23" s="1">
        <v>45392</v>
      </c>
      <c r="B23" t="s">
        <v>207</v>
      </c>
      <c r="C23" t="s">
        <v>208</v>
      </c>
      <c r="D23" t="s">
        <v>209</v>
      </c>
      <c r="E23">
        <v>-11.9</v>
      </c>
      <c r="F23" t="s">
        <v>9</v>
      </c>
      <c r="G23" s="5" t="s">
        <v>269</v>
      </c>
      <c r="H23" s="5"/>
      <c r="I23" s="5"/>
      <c r="J23" s="5"/>
      <c r="K23" s="5"/>
      <c r="L23" s="5"/>
      <c r="M23" s="5"/>
      <c r="N23" s="1">
        <f>IF( ISBLANK(LogTable2024[[#This Row],[Date_o]]), IF(ISBLANK(LogTable2024[[#This Row],[Date_i]]), "", LogTable2024[[#This Row],[Date_i]]), LogTable2024[[#This Row],[Date_o]])</f>
        <v>45392</v>
      </c>
      <c r="O23" t="str">
        <f>IF( ISBLANK(LogTable2024[[#This Row],[Description_o]]), IF(ISBLANK(LogTable2024[[#This Row],[Description_i]]), "", LogTable2024[[#This Row],[Description_i]]), LogTable2024[[#This Row],[Description_o]])</f>
        <v>Spotify</v>
      </c>
      <c r="P23" t="str">
        <f>IF( ISBLANK(LogTable2024[[#This Row],[Original Description_o]]), IF(ISBLANK(LogTable2024[[#This Row],[Original Description_i]]), "", LogTable2024[[#This Row],[Original Description_i]]), LogTable2024[[#This Row],[Original Description_o]])</f>
        <v>PAYPAL           INST XFER  ***********USAI</v>
      </c>
      <c r="Q23" t="str">
        <f>IF( ISBLANK(LogTable2024[[#This Row],[Category_o]]), IF(ISBLANK(LogTable2024[[#This Row],[Category_i]]), "", LogTable2024[[#This Row],[Category_i]]), LogTable2024[[#This Row],[Category_o]])</f>
        <v>Music</v>
      </c>
      <c r="R23" s="10">
        <f>IF( ISBLANK(LogTable2024[[#This Row],[Amount_o]]), IF(ISBLANK(LogTable2024[[#This Row],[Amount_i]]), "", LogTable2024[[#This Row],[Amount_i]]), LogTable2024[[#This Row],[Amount_o]])</f>
        <v>-11.9</v>
      </c>
      <c r="S23" s="1" t="str">
        <f>IF( ISBLANK(LogTable2024[[#This Row],[Status_o]]), IF(ISBLANK(LogTable2024[[#This Row],[Status_i]]), "", LogTable2024[[#This Row],[Status_i]]), LogTable2024[[#This Row],[Status_o]])</f>
        <v>Posted</v>
      </c>
      <c r="T23" t="s">
        <v>464</v>
      </c>
      <c r="U23" t="str">
        <f>IF( _xlfn.IFNA(MATCH(LogTable2024[[#This Row],[My Category]], Buckets!$D$4:$D$35, 0), FALSE), ".", "E")</f>
        <v>.</v>
      </c>
    </row>
    <row r="24" spans="1:22" hidden="1" x14ac:dyDescent="0.25">
      <c r="A24" s="1">
        <v>45390</v>
      </c>
      <c r="B24" t="s">
        <v>483</v>
      </c>
      <c r="C24" t="s">
        <v>484</v>
      </c>
      <c r="D24" t="s">
        <v>12</v>
      </c>
      <c r="E24">
        <v>-10.81</v>
      </c>
      <c r="F24" t="s">
        <v>9</v>
      </c>
      <c r="G24" s="5" t="s">
        <v>195</v>
      </c>
      <c r="H24" s="5"/>
      <c r="I24" s="5"/>
      <c r="J24" s="5"/>
      <c r="K24" s="5"/>
      <c r="L24" s="5"/>
      <c r="M24" s="5"/>
      <c r="N24" s="1">
        <f>IF( ISBLANK(LogTable2024[[#This Row],[Date_o]]), IF(ISBLANK(LogTable2024[[#This Row],[Date_i]]), "", LogTable2024[[#This Row],[Date_i]]), LogTable2024[[#This Row],[Date_o]])</f>
        <v>45390</v>
      </c>
      <c r="O24" t="str">
        <f>IF( ISBLANK(LogTable2024[[#This Row],[Description_o]]), IF(ISBLANK(LogTable2024[[#This Row],[Description_i]]), "", LogTable2024[[#This Row],[Description_i]]), LogTable2024[[#This Row],[Description_o]])</f>
        <v>Amazon Prime Membership</v>
      </c>
      <c r="P24" t="str">
        <f>IF( ISBLANK(LogTable2024[[#This Row],[Original Description_o]]), IF(ISBLANK(LogTable2024[[#This Row],[Original Description_i]]), "", LogTable2024[[#This Row],[Original Description_i]]), LogTable2024[[#This Row],[Original Description_o]])</f>
        <v>AMAZON PRIME*EP9AT3V53   888-802-3080 WA</v>
      </c>
      <c r="Q24" t="str">
        <f>IF( ISBLANK(LogTable2024[[#This Row],[Category_o]]), IF(ISBLANK(LogTable2024[[#This Row],[Category_i]]), "", LogTable2024[[#This Row],[Category_i]]), LogTable2024[[#This Row],[Category_o]])</f>
        <v>Shopping</v>
      </c>
      <c r="R24" s="10">
        <f>IF( ISBLANK(LogTable2024[[#This Row],[Amount_o]]), IF(ISBLANK(LogTable2024[[#This Row],[Amount_i]]), "", LogTable2024[[#This Row],[Amount_i]]), LogTable2024[[#This Row],[Amount_o]])</f>
        <v>-10.81</v>
      </c>
      <c r="S24" s="1" t="str">
        <f>IF( ISBLANK(LogTable2024[[#This Row],[Status_o]]), IF(ISBLANK(LogTable2024[[#This Row],[Status_i]]), "", LogTable2024[[#This Row],[Status_i]]), LogTable2024[[#This Row],[Status_o]])</f>
        <v>Posted</v>
      </c>
      <c r="T24" t="s">
        <v>465</v>
      </c>
      <c r="U24" t="str">
        <f>IF( _xlfn.IFNA(MATCH(LogTable2024[[#This Row],[My Category]], Buckets!$D$4:$D$35, 0), FALSE), ".", "E")</f>
        <v>.</v>
      </c>
      <c r="V24" t="s">
        <v>513</v>
      </c>
    </row>
    <row r="25" spans="1:22" hidden="1" x14ac:dyDescent="0.25">
      <c r="A25" s="1">
        <v>45390</v>
      </c>
      <c r="B25" t="s">
        <v>505</v>
      </c>
      <c r="C25" t="s">
        <v>506</v>
      </c>
      <c r="D25" t="s">
        <v>507</v>
      </c>
      <c r="E25">
        <v>-6500</v>
      </c>
      <c r="F25" t="s">
        <v>9</v>
      </c>
      <c r="G25" s="5" t="s">
        <v>269</v>
      </c>
      <c r="H25" s="5"/>
      <c r="I25" s="5"/>
      <c r="J25" s="5"/>
      <c r="K25" s="5"/>
      <c r="L25" s="5"/>
      <c r="M25" s="5"/>
      <c r="N25" s="1">
        <f>IF( ISBLANK(LogTable2024[[#This Row],[Date_o]]), IF(ISBLANK(LogTable2024[[#This Row],[Date_i]]), "", LogTable2024[[#This Row],[Date_i]]), LogTable2024[[#This Row],[Date_o]])</f>
        <v>45390</v>
      </c>
      <c r="O25" t="str">
        <f>IF( ISBLANK(LogTable2024[[#This Row],[Description_o]]), IF(ISBLANK(LogTable2024[[#This Row],[Description_i]]), "", LogTable2024[[#This Row],[Description_i]]), LogTable2024[[#This Row],[Description_o]])</f>
        <v>Fidelity</v>
      </c>
      <c r="P25" t="str">
        <f>IF( ISBLANK(LogTable2024[[#This Row],[Original Description_o]]), IF(ISBLANK(LogTable2024[[#This Row],[Original Description_i]]), "", LogTable2024[[#This Row],[Original Description_i]]), LogTable2024[[#This Row],[Original Description_o]])</f>
        <v>FID BKG SVC LLC  MONEYLINE  ***********VNNL</v>
      </c>
      <c r="Q25" t="str">
        <f>IF( ISBLANK(LogTable2024[[#This Row],[Category_o]]), IF(ISBLANK(LogTable2024[[#This Row],[Category_i]]), "", LogTable2024[[#This Row],[Category_i]]), LogTable2024[[#This Row],[Category_o]])</f>
        <v>Investments</v>
      </c>
      <c r="R25" s="10">
        <f>IF( ISBLANK(LogTable2024[[#This Row],[Amount_o]]), IF(ISBLANK(LogTable2024[[#This Row],[Amount_i]]), "", LogTable2024[[#This Row],[Amount_i]]), LogTable2024[[#This Row],[Amount_o]])</f>
        <v>-6500</v>
      </c>
      <c r="S25" s="1" t="str">
        <f>IF( ISBLANK(LogTable2024[[#This Row],[Status_o]]), IF(ISBLANK(LogTable2024[[#This Row],[Status_i]]), "", LogTable2024[[#This Row],[Status_i]]), LogTable2024[[#This Row],[Status_o]])</f>
        <v>Posted</v>
      </c>
      <c r="T25" t="s">
        <v>297</v>
      </c>
      <c r="U25" t="str">
        <f>IF( _xlfn.IFNA(MATCH(LogTable2024[[#This Row],[My Category]], Buckets!$D$4:$D$35, 0), FALSE), ".", "E")</f>
        <v>.</v>
      </c>
      <c r="V25" t="s">
        <v>514</v>
      </c>
    </row>
    <row r="26" spans="1:22" hidden="1" x14ac:dyDescent="0.25">
      <c r="A26" s="1">
        <v>45389</v>
      </c>
      <c r="B26" t="s">
        <v>42</v>
      </c>
      <c r="C26" t="s">
        <v>485</v>
      </c>
      <c r="D26" t="s">
        <v>44</v>
      </c>
      <c r="E26">
        <v>-34</v>
      </c>
      <c r="F26" t="s">
        <v>9</v>
      </c>
      <c r="G26" s="5" t="s">
        <v>195</v>
      </c>
      <c r="H26" s="5"/>
      <c r="I26" s="5"/>
      <c r="J26" s="5"/>
      <c r="K26" s="5"/>
      <c r="L26" s="5"/>
      <c r="M26" s="5"/>
      <c r="N26" s="1">
        <f>IF( ISBLANK(LogTable2024[[#This Row],[Date_o]]), IF(ISBLANK(LogTable2024[[#This Row],[Date_i]]), "", LogTable2024[[#This Row],[Date_i]]), LogTable2024[[#This Row],[Date_o]])</f>
        <v>45389</v>
      </c>
      <c r="O26" t="str">
        <f>IF( ISBLANK(LogTable2024[[#This Row],[Description_o]]), IF(ISBLANK(LogTable2024[[#This Row],[Description_i]]), "", LogTable2024[[#This Row],[Description_i]]), LogTable2024[[#This Row],[Description_o]])</f>
        <v>Great Clips</v>
      </c>
      <c r="P26" t="str">
        <f>IF( ISBLANK(LogTable2024[[#This Row],[Original Description_o]]), IF(ISBLANK(LogTable2024[[#This Row],[Original Description_i]]), "", LogTable2024[[#This Row],[Original Description_i]]), LogTable2024[[#This Row],[Original Description_o]])</f>
        <v>0415 GREAT CLIPS AT 44TH DENVER       CO</v>
      </c>
      <c r="Q26" t="str">
        <f>IF( ISBLANK(LogTable2024[[#This Row],[Category_o]]), IF(ISBLANK(LogTable2024[[#This Row],[Category_i]]), "", LogTable2024[[#This Row],[Category_i]]), LogTable2024[[#This Row],[Category_o]])</f>
        <v>Hair</v>
      </c>
      <c r="R26" s="10">
        <f>IF( ISBLANK(LogTable2024[[#This Row],[Amount_o]]), IF(ISBLANK(LogTable2024[[#This Row],[Amount_i]]), "", LogTable2024[[#This Row],[Amount_i]]), LogTable2024[[#This Row],[Amount_o]])</f>
        <v>-34</v>
      </c>
      <c r="S26" s="1" t="str">
        <f>IF( ISBLANK(LogTable2024[[#This Row],[Status_o]]), IF(ISBLANK(LogTable2024[[#This Row],[Status_i]]), "", LogTable2024[[#This Row],[Status_i]]), LogTable2024[[#This Row],[Status_o]])</f>
        <v>Posted</v>
      </c>
      <c r="T26" t="s">
        <v>286</v>
      </c>
      <c r="U26" t="str">
        <f>IF( _xlfn.IFNA(MATCH(LogTable2024[[#This Row],[My Category]], Buckets!$D$4:$D$35, 0), FALSE), ".", "E")</f>
        <v>.</v>
      </c>
    </row>
    <row r="27" spans="1:22" hidden="1" x14ac:dyDescent="0.25">
      <c r="A27" s="1">
        <v>45389</v>
      </c>
      <c r="B27" t="s">
        <v>59</v>
      </c>
      <c r="C27" t="s">
        <v>60</v>
      </c>
      <c r="D27" t="s">
        <v>61</v>
      </c>
      <c r="E27">
        <v>-30</v>
      </c>
      <c r="F27" t="s">
        <v>9</v>
      </c>
      <c r="G27" s="5" t="s">
        <v>195</v>
      </c>
      <c r="H27" s="5"/>
      <c r="I27" s="5"/>
      <c r="J27" s="5"/>
      <c r="K27" s="5"/>
      <c r="L27" s="5"/>
      <c r="M27" s="5"/>
      <c r="N27" s="1">
        <f>IF( ISBLANK(LogTable2024[[#This Row],[Date_o]]), IF(ISBLANK(LogTable2024[[#This Row],[Date_i]]), "", LogTable2024[[#This Row],[Date_i]]), LogTable2024[[#This Row],[Date_o]])</f>
        <v>45389</v>
      </c>
      <c r="O27" t="str">
        <f>IF( ISBLANK(LogTable2024[[#This Row],[Description_o]]), IF(ISBLANK(LogTable2024[[#This Row],[Description_i]]), "", LogTable2024[[#This Row],[Description_i]]), LogTable2024[[#This Row],[Description_o]])</f>
        <v>Nature Conservancy</v>
      </c>
      <c r="P27" t="str">
        <f>IF( ISBLANK(LogTable2024[[#This Row],[Original Description_o]]), IF(ISBLANK(LogTable2024[[#This Row],[Original Description_i]]), "", LogTable2024[[#This Row],[Original Description_i]]), LogTable2024[[#This Row],[Original Description_o]])</f>
        <v>Nature Conservancy       800-6286860  VA</v>
      </c>
      <c r="Q27" t="str">
        <f>IF( ISBLANK(LogTable2024[[#This Row],[Category_o]]), IF(ISBLANK(LogTable2024[[#This Row],[Category_i]]), "", LogTable2024[[#This Row],[Category_i]]), LogTable2024[[#This Row],[Category_o]])</f>
        <v>Gifts &amp; Donations</v>
      </c>
      <c r="R27" s="10">
        <f>IF( ISBLANK(LogTable2024[[#This Row],[Amount_o]]), IF(ISBLANK(LogTable2024[[#This Row],[Amount_i]]), "", LogTable2024[[#This Row],[Amount_i]]), LogTable2024[[#This Row],[Amount_o]])</f>
        <v>-30</v>
      </c>
      <c r="S27" s="1" t="str">
        <f>IF( ISBLANK(LogTable2024[[#This Row],[Status_o]]), IF(ISBLANK(LogTable2024[[#This Row],[Status_i]]), "", LogTable2024[[#This Row],[Status_i]]), LogTable2024[[#This Row],[Status_o]])</f>
        <v>Posted</v>
      </c>
      <c r="T27" t="s">
        <v>465</v>
      </c>
      <c r="U27" t="str">
        <f>IF( _xlfn.IFNA(MATCH(LogTable2024[[#This Row],[My Category]], Buckets!$D$4:$D$35, 0), FALSE), ".", "E")</f>
        <v>.</v>
      </c>
    </row>
    <row r="28" spans="1:22" hidden="1" x14ac:dyDescent="0.25">
      <c r="A28" s="1">
        <v>45389</v>
      </c>
      <c r="B28" t="s">
        <v>69</v>
      </c>
      <c r="C28" t="s">
        <v>70</v>
      </c>
      <c r="D28" t="s">
        <v>21</v>
      </c>
      <c r="E28">
        <v>-14.67</v>
      </c>
      <c r="F28" t="s">
        <v>9</v>
      </c>
      <c r="G28" s="5" t="s">
        <v>195</v>
      </c>
      <c r="H28" s="5"/>
      <c r="I28" s="5"/>
      <c r="J28" s="5"/>
      <c r="K28" s="5"/>
      <c r="L28" s="5"/>
      <c r="M28" s="5"/>
      <c r="N28" s="1">
        <f>IF( ISBLANK(LogTable2024[[#This Row],[Date_o]]), IF(ISBLANK(LogTable2024[[#This Row],[Date_i]]), "", LogTable2024[[#This Row],[Date_i]]), LogTable2024[[#This Row],[Date_o]])</f>
        <v>45389</v>
      </c>
      <c r="O28" t="str">
        <f>IF( ISBLANK(LogTable2024[[#This Row],[Description_o]]), IF(ISBLANK(LogTable2024[[#This Row],[Description_i]]), "", LogTable2024[[#This Row],[Description_i]]), LogTable2024[[#This Row],[Description_o]])</f>
        <v>Post Oak Bbq</v>
      </c>
      <c r="P28" t="str">
        <f>IF( ISBLANK(LogTable2024[[#This Row],[Original Description_o]]), IF(ISBLANK(LogTable2024[[#This Row],[Original Description_i]]), "", LogTable2024[[#This Row],[Original Description_i]]), LogTable2024[[#This Row],[Original Description_o]])</f>
        <v>TST* POST OAK BBQ        DENVER       CO</v>
      </c>
      <c r="Q28" t="str">
        <f>IF( ISBLANK(LogTable2024[[#This Row],[Category_o]]), IF(ISBLANK(LogTable2024[[#This Row],[Category_i]]), "", LogTable2024[[#This Row],[Category_i]]), LogTable2024[[#This Row],[Category_o]])</f>
        <v>Restaurants</v>
      </c>
      <c r="R28" s="10">
        <f>IF( ISBLANK(LogTable2024[[#This Row],[Amount_o]]), IF(ISBLANK(LogTable2024[[#This Row],[Amount_i]]), "", LogTable2024[[#This Row],[Amount_i]]), LogTable2024[[#This Row],[Amount_o]])</f>
        <v>-14.67</v>
      </c>
      <c r="S28" s="1" t="str">
        <f>IF( ISBLANK(LogTable2024[[#This Row],[Status_o]]), IF(ISBLANK(LogTable2024[[#This Row],[Status_i]]), "", LogTable2024[[#This Row],[Status_i]]), LogTable2024[[#This Row],[Status_o]])</f>
        <v>Posted</v>
      </c>
      <c r="T28" t="s">
        <v>292</v>
      </c>
      <c r="U28" t="str">
        <f>IF( _xlfn.IFNA(MATCH(LogTable2024[[#This Row],[My Category]], Buckets!$D$4:$D$35, 0), FALSE), ".", "E")</f>
        <v>.</v>
      </c>
    </row>
    <row r="29" spans="1:22" hidden="1" x14ac:dyDescent="0.25">
      <c r="A29" s="4">
        <v>45389</v>
      </c>
      <c r="B29" s="5" t="s">
        <v>180</v>
      </c>
      <c r="C29" s="5" t="s">
        <v>229</v>
      </c>
      <c r="D29" s="5" t="s">
        <v>15</v>
      </c>
      <c r="E29" s="5">
        <v>-155.44</v>
      </c>
      <c r="F29" s="5" t="s">
        <v>9</v>
      </c>
      <c r="G29" s="5" t="s">
        <v>195</v>
      </c>
      <c r="H29" s="5"/>
      <c r="I29" s="5"/>
      <c r="J29" s="5"/>
      <c r="K29" s="5"/>
      <c r="L29" s="5"/>
      <c r="M29" s="5"/>
      <c r="N29" s="1">
        <f>IF( ISBLANK(LogTable2024[[#This Row],[Date_o]]), IF(ISBLANK(LogTable2024[[#This Row],[Date_i]]), "", LogTable2024[[#This Row],[Date_i]]), LogTable2024[[#This Row],[Date_o]])</f>
        <v>45389</v>
      </c>
      <c r="O29" t="str">
        <f>IF( ISBLANK(LogTable2024[[#This Row],[Description_o]]), IF(ISBLANK(LogTable2024[[#This Row],[Description_i]]), "", LogTable2024[[#This Row],[Description_i]]), LogTable2024[[#This Row],[Description_o]])</f>
        <v>Safeway</v>
      </c>
      <c r="P29" t="str">
        <f>IF( ISBLANK(LogTable2024[[#This Row],[Original Description_o]]), IF(ISBLANK(LogTable2024[[#This Row],[Original Description_i]]), "", LogTable2024[[#This Row],[Original Description_i]]), LogTable2024[[#This Row],[Original Description_o]])</f>
        <v>SAFEWAY #0244            DENVER       CO</v>
      </c>
      <c r="Q29" t="str">
        <f>IF( ISBLANK(LogTable2024[[#This Row],[Category_o]]), IF(ISBLANK(LogTable2024[[#This Row],[Category_i]]), "", LogTable2024[[#This Row],[Category_i]]), LogTable2024[[#This Row],[Category_o]])</f>
        <v>Groceries</v>
      </c>
      <c r="R29" s="10">
        <f>IF( ISBLANK(LogTable2024[[#This Row],[Amount_o]]), IF(ISBLANK(LogTable2024[[#This Row],[Amount_i]]), "", LogTable2024[[#This Row],[Amount_i]]), LogTable2024[[#This Row],[Amount_o]])</f>
        <v>-155.44</v>
      </c>
      <c r="S29" s="1" t="str">
        <f>IF( ISBLANK(LogTable2024[[#This Row],[Status_o]]), IF(ISBLANK(LogTable2024[[#This Row],[Status_i]]), "", LogTable2024[[#This Row],[Status_i]]), LogTable2024[[#This Row],[Status_o]])</f>
        <v>Posted</v>
      </c>
      <c r="T29" t="s">
        <v>15</v>
      </c>
      <c r="U29" t="str">
        <f>IF( _xlfn.IFNA(MATCH(LogTable2024[[#This Row],[My Category]], Buckets!$D$4:$D$35, 0), FALSE), ".", "E")</f>
        <v>.</v>
      </c>
    </row>
    <row r="30" spans="1:22" hidden="1" x14ac:dyDescent="0.25">
      <c r="A30" s="4">
        <v>45388</v>
      </c>
      <c r="B30" s="5" t="s">
        <v>486</v>
      </c>
      <c r="C30" s="5" t="s">
        <v>487</v>
      </c>
      <c r="D30" s="5" t="s">
        <v>488</v>
      </c>
      <c r="E30" s="5">
        <v>-31.2</v>
      </c>
      <c r="F30" s="5" t="s">
        <v>9</v>
      </c>
      <c r="G30" s="5" t="s">
        <v>195</v>
      </c>
      <c r="H30" s="5"/>
      <c r="I30" s="5"/>
      <c r="J30" s="5"/>
      <c r="K30" s="5"/>
      <c r="L30" s="5"/>
      <c r="M30" s="5"/>
      <c r="N30" s="1">
        <f>IF( ISBLANK(LogTable2024[[#This Row],[Date_o]]), IF(ISBLANK(LogTable2024[[#This Row],[Date_i]]), "", LogTable2024[[#This Row],[Date_i]]), LogTable2024[[#This Row],[Date_o]])</f>
        <v>45388</v>
      </c>
      <c r="O30" t="str">
        <f>IF( ISBLANK(LogTable2024[[#This Row],[Description_o]]), IF(ISBLANK(LogTable2024[[#This Row],[Description_i]]), "", LogTable2024[[#This Row],[Description_i]]), LogTable2024[[#This Row],[Description_o]])</f>
        <v>Archery Games Denver</v>
      </c>
      <c r="P30" t="str">
        <f>IF( ISBLANK(LogTable2024[[#This Row],[Original Description_o]]), IF(ISBLANK(LogTable2024[[#This Row],[Original Description_i]]), "", LogTable2024[[#This Row],[Original Description_i]]), LogTable2024[[#This Row],[Original Description_o]])</f>
        <v>ARCHERY GAMES DENVER     303-3054531  CO</v>
      </c>
      <c r="Q30" t="str">
        <f>IF( ISBLANK(LogTable2024[[#This Row],[Category_o]]), IF(ISBLANK(LogTable2024[[#This Row],[Category_i]]), "", LogTable2024[[#This Row],[Category_i]]), LogTable2024[[#This Row],[Category_o]])</f>
        <v>Sporting Goods</v>
      </c>
      <c r="R30" s="10">
        <f>IF( ISBLANK(LogTable2024[[#This Row],[Amount_o]]), IF(ISBLANK(LogTable2024[[#This Row],[Amount_i]]), "", LogTable2024[[#This Row],[Amount_i]]), LogTable2024[[#This Row],[Amount_o]])</f>
        <v>-31.2</v>
      </c>
      <c r="S30" s="1" t="str">
        <f>IF( ISBLANK(LogTable2024[[#This Row],[Status_o]]), IF(ISBLANK(LogTable2024[[#This Row],[Status_i]]), "", LogTable2024[[#This Row],[Status_i]]), LogTable2024[[#This Row],[Status_o]])</f>
        <v>Posted</v>
      </c>
      <c r="T30" t="s">
        <v>290</v>
      </c>
      <c r="U30" t="str">
        <f>IF( _xlfn.IFNA(MATCH(LogTable2024[[#This Row],[My Category]], Buckets!$D$4:$D$35, 0), FALSE), ".", "E")</f>
        <v>.</v>
      </c>
    </row>
    <row r="31" spans="1:22" hidden="1" x14ac:dyDescent="0.25">
      <c r="A31" s="4">
        <v>45388</v>
      </c>
      <c r="B31" s="5" t="s">
        <v>145</v>
      </c>
      <c r="C31" s="5" t="s">
        <v>146</v>
      </c>
      <c r="D31" s="5" t="s">
        <v>47</v>
      </c>
      <c r="E31" s="5">
        <v>-10.87</v>
      </c>
      <c r="F31" s="5" t="s">
        <v>9</v>
      </c>
      <c r="G31" s="5" t="s">
        <v>195</v>
      </c>
      <c r="H31" s="5"/>
      <c r="I31" s="5"/>
      <c r="J31" s="5"/>
      <c r="K31" s="5"/>
      <c r="L31" s="5"/>
      <c r="M31" s="5"/>
      <c r="N31" s="1">
        <f>IF( ISBLANK(LogTable2024[[#This Row],[Date_o]]), IF(ISBLANK(LogTable2024[[#This Row],[Date_i]]), "", LogTable2024[[#This Row],[Date_i]]), LogTable2024[[#This Row],[Date_o]])</f>
        <v>45388</v>
      </c>
      <c r="O31" t="str">
        <f>IF( ISBLANK(LogTable2024[[#This Row],[Description_o]]), IF(ISBLANK(LogTable2024[[#This Row],[Description_i]]), "", LogTable2024[[#This Row],[Description_i]]), LogTable2024[[#This Row],[Description_o]])</f>
        <v>Bakery Four</v>
      </c>
      <c r="P31" t="str">
        <f>IF( ISBLANK(LogTable2024[[#This Row],[Original Description_o]]), IF(ISBLANK(LogTable2024[[#This Row],[Original Description_i]]), "", LogTable2024[[#This Row],[Original Description_i]]), LogTable2024[[#This Row],[Original Description_o]])</f>
        <v>TST* BAKERY FOUR         DENVER       CO</v>
      </c>
      <c r="Q31" t="str">
        <f>IF( ISBLANK(LogTable2024[[#This Row],[Category_o]]), IF(ISBLANK(LogTable2024[[#This Row],[Category_i]]), "", LogTable2024[[#This Row],[Category_i]]), LogTable2024[[#This Row],[Category_o]])</f>
        <v>Food &amp; Dining</v>
      </c>
      <c r="R31" s="10">
        <f>IF( ISBLANK(LogTable2024[[#This Row],[Amount_o]]), IF(ISBLANK(LogTable2024[[#This Row],[Amount_i]]), "", LogTable2024[[#This Row],[Amount_i]]), LogTable2024[[#This Row],[Amount_o]])</f>
        <v>-10.87</v>
      </c>
      <c r="S31" s="1" t="str">
        <f>IF( ISBLANK(LogTable2024[[#This Row],[Status_o]]), IF(ISBLANK(LogTable2024[[#This Row],[Status_i]]), "", LogTable2024[[#This Row],[Status_i]]), LogTable2024[[#This Row],[Status_o]])</f>
        <v>Posted</v>
      </c>
      <c r="T31" t="s">
        <v>292</v>
      </c>
      <c r="U31" t="str">
        <f>IF( _xlfn.IFNA(MATCH(LogTable2024[[#This Row],[My Category]], Buckets!$D$4:$D$35, 0), FALSE), ".", "E")</f>
        <v>.</v>
      </c>
    </row>
    <row r="32" spans="1:22" hidden="1" x14ac:dyDescent="0.25">
      <c r="A32" s="4">
        <v>45388</v>
      </c>
      <c r="B32" s="5" t="s">
        <v>52</v>
      </c>
      <c r="C32" s="5" t="s">
        <v>53</v>
      </c>
      <c r="D32" s="5" t="s">
        <v>54</v>
      </c>
      <c r="E32" s="5">
        <v>-24.01</v>
      </c>
      <c r="F32" s="5" t="s">
        <v>9</v>
      </c>
      <c r="G32" s="5" t="s">
        <v>195</v>
      </c>
      <c r="H32" s="5"/>
      <c r="I32" s="5"/>
      <c r="J32" s="5"/>
      <c r="K32" s="5"/>
      <c r="L32" s="5"/>
      <c r="M32" s="5"/>
      <c r="N32" s="1">
        <f>IF( ISBLANK(LogTable2024[[#This Row],[Date_o]]), IF(ISBLANK(LogTable2024[[#This Row],[Date_i]]), "", LogTable2024[[#This Row],[Date_i]]), LogTable2024[[#This Row],[Date_o]])</f>
        <v>45388</v>
      </c>
      <c r="O32" t="str">
        <f>IF( ISBLANK(LogTable2024[[#This Row],[Description_o]]), IF(ISBLANK(LogTable2024[[#This Row],[Description_i]]), "", LogTable2024[[#This Row],[Description_i]]), LogTable2024[[#This Row],[Description_o]])</f>
        <v>CVS</v>
      </c>
      <c r="P32" t="str">
        <f>IF( ISBLANK(LogTable2024[[#This Row],[Original Description_o]]), IF(ISBLANK(LogTable2024[[#This Row],[Original Description_i]]), "", LogTable2024[[#This Row],[Original Description_i]]), LogTable2024[[#This Row],[Original Description_o]])</f>
        <v>CVS/PHARMACY #10784      DENVER       CO</v>
      </c>
      <c r="Q32" t="str">
        <f>IF( ISBLANK(LogTable2024[[#This Row],[Category_o]]), IF(ISBLANK(LogTable2024[[#This Row],[Category_i]]), "", LogTable2024[[#This Row],[Category_i]]), LogTable2024[[#This Row],[Category_o]])</f>
        <v>Pharmacy</v>
      </c>
      <c r="R32" s="10">
        <f>IF( ISBLANK(LogTable2024[[#This Row],[Amount_o]]), IF(ISBLANK(LogTable2024[[#This Row],[Amount_i]]), "", LogTable2024[[#This Row],[Amount_i]]), LogTable2024[[#This Row],[Amount_o]])</f>
        <v>-24.01</v>
      </c>
      <c r="S32" s="1" t="str">
        <f>IF( ISBLANK(LogTable2024[[#This Row],[Status_o]]), IF(ISBLANK(LogTable2024[[#This Row],[Status_i]]), "", LogTable2024[[#This Row],[Status_i]]), LogTable2024[[#This Row],[Status_o]])</f>
        <v>Posted</v>
      </c>
      <c r="T32" t="s">
        <v>301</v>
      </c>
      <c r="U32" t="str">
        <f>IF( _xlfn.IFNA(MATCH(LogTable2024[[#This Row],[My Category]], Buckets!$D$4:$D$35, 0), FALSE), ".", "E")</f>
        <v>.</v>
      </c>
    </row>
    <row r="33" spans="1:21" hidden="1" x14ac:dyDescent="0.25">
      <c r="A33" s="4">
        <v>45387</v>
      </c>
      <c r="B33" s="5" t="s">
        <v>489</v>
      </c>
      <c r="C33" s="5" t="s">
        <v>490</v>
      </c>
      <c r="D33" s="5" t="s">
        <v>21</v>
      </c>
      <c r="E33" s="5">
        <v>-16.57</v>
      </c>
      <c r="F33" s="5" t="s">
        <v>9</v>
      </c>
      <c r="G33" s="5" t="s">
        <v>195</v>
      </c>
      <c r="H33" s="5"/>
      <c r="I33" s="5"/>
      <c r="J33" s="5"/>
      <c r="K33" s="5"/>
      <c r="L33" s="5"/>
      <c r="M33" s="5"/>
      <c r="N33" s="1">
        <f>IF( ISBLANK(LogTable2024[[#This Row],[Date_o]]), IF(ISBLANK(LogTable2024[[#This Row],[Date_i]]), "", LogTable2024[[#This Row],[Date_i]]), LogTable2024[[#This Row],[Date_o]])</f>
        <v>45387</v>
      </c>
      <c r="O33" t="str">
        <f>IF( ISBLANK(LogTable2024[[#This Row],[Description_o]]), IF(ISBLANK(LogTable2024[[#This Row],[Description_i]]), "", LogTable2024[[#This Row],[Description_i]]), LogTable2024[[#This Row],[Description_o]])</f>
        <v>Sweetgreen</v>
      </c>
      <c r="P33" t="str">
        <f>IF( ISBLANK(LogTable2024[[#This Row],[Original Description_o]]), IF(ISBLANK(LogTable2024[[#This Row],[Original Description_i]]), "", LogTable2024[[#This Row],[Original Description_i]]), LogTable2024[[#This Row],[Original Description_o]])</f>
        <v>SWEETGREEN TENNYSON      DENVER       CO</v>
      </c>
      <c r="Q33" t="str">
        <f>IF( ISBLANK(LogTable2024[[#This Row],[Category_o]]), IF(ISBLANK(LogTable2024[[#This Row],[Category_i]]), "", LogTable2024[[#This Row],[Category_i]]), LogTable2024[[#This Row],[Category_o]])</f>
        <v>Restaurants</v>
      </c>
      <c r="R33" s="10">
        <f>IF( ISBLANK(LogTable2024[[#This Row],[Amount_o]]), IF(ISBLANK(LogTable2024[[#This Row],[Amount_i]]), "", LogTable2024[[#This Row],[Amount_i]]), LogTable2024[[#This Row],[Amount_o]])</f>
        <v>-16.57</v>
      </c>
      <c r="S33" s="1" t="str">
        <f>IF( ISBLANK(LogTable2024[[#This Row],[Status_o]]), IF(ISBLANK(LogTable2024[[#This Row],[Status_i]]), "", LogTable2024[[#This Row],[Status_i]]), LogTable2024[[#This Row],[Status_o]])</f>
        <v>Posted</v>
      </c>
      <c r="T33" t="s">
        <v>292</v>
      </c>
      <c r="U33" t="str">
        <f>IF( _xlfn.IFNA(MATCH(LogTable2024[[#This Row],[My Category]], Buckets!$D$4:$D$35, 0), FALSE), ".", "E")</f>
        <v>.</v>
      </c>
    </row>
    <row r="34" spans="1:21" hidden="1" x14ac:dyDescent="0.25">
      <c r="A34" s="4">
        <v>45386</v>
      </c>
      <c r="B34" s="5" t="s">
        <v>66</v>
      </c>
      <c r="C34" s="5" t="s">
        <v>67</v>
      </c>
      <c r="D34" s="5" t="s">
        <v>68</v>
      </c>
      <c r="E34" s="5">
        <v>-35</v>
      </c>
      <c r="F34" s="5" t="s">
        <v>9</v>
      </c>
      <c r="G34" s="5" t="s">
        <v>195</v>
      </c>
      <c r="H34" s="5"/>
      <c r="I34" s="5"/>
      <c r="J34" s="5"/>
      <c r="K34" s="5"/>
      <c r="L34" s="5"/>
      <c r="M34" s="5"/>
      <c r="N34" s="1">
        <f>IF( ISBLANK(LogTable2024[[#This Row],[Date_o]]), IF(ISBLANK(LogTable2024[[#This Row],[Date_i]]), "", LogTable2024[[#This Row],[Date_i]]), LogTable2024[[#This Row],[Date_o]])</f>
        <v>45386</v>
      </c>
      <c r="O34" t="str">
        <f>IF( ISBLANK(LogTable2024[[#This Row],[Description_o]]), IF(ISBLANK(LogTable2024[[#This Row],[Description_i]]), "", LogTable2024[[#This Row],[Description_i]]), LogTable2024[[#This Row],[Description_o]])</f>
        <v>T-Mobile</v>
      </c>
      <c r="P34" t="str">
        <f>IF( ISBLANK(LogTable2024[[#This Row],[Original Description_o]]), IF(ISBLANK(LogTable2024[[#This Row],[Original Description_i]]), "", LogTable2024[[#This Row],[Original Description_i]]), LogTable2024[[#This Row],[Original Description_o]])</f>
        <v>TMOBILE*AUTO PAY         800-937-8997 WA</v>
      </c>
      <c r="Q34" t="str">
        <f>IF( ISBLANK(LogTable2024[[#This Row],[Category_o]]), IF(ISBLANK(LogTable2024[[#This Row],[Category_i]]), "", LogTable2024[[#This Row],[Category_i]]), LogTable2024[[#This Row],[Category_o]])</f>
        <v>Mobile Phone</v>
      </c>
      <c r="R34" s="10">
        <f>IF( ISBLANK(LogTable2024[[#This Row],[Amount_o]]), IF(ISBLANK(LogTable2024[[#This Row],[Amount_i]]), "", LogTable2024[[#This Row],[Amount_i]]), LogTable2024[[#This Row],[Amount_o]])</f>
        <v>-35</v>
      </c>
      <c r="S34" s="1" t="str">
        <f>IF( ISBLANK(LogTable2024[[#This Row],[Status_o]]), IF(ISBLANK(LogTable2024[[#This Row],[Status_i]]), "", LogTable2024[[#This Row],[Status_i]]), LogTable2024[[#This Row],[Status_o]])</f>
        <v>Posted</v>
      </c>
      <c r="T34" t="s">
        <v>215</v>
      </c>
      <c r="U34" t="str">
        <f>IF( _xlfn.IFNA(MATCH(LogTable2024[[#This Row],[My Category]], Buckets!$D$4:$D$35, 0), FALSE), ".", "E")</f>
        <v>.</v>
      </c>
    </row>
    <row r="35" spans="1:21" hidden="1" x14ac:dyDescent="0.25">
      <c r="A35" s="4">
        <v>45384</v>
      </c>
      <c r="B35" s="5" t="s">
        <v>219</v>
      </c>
      <c r="C35" s="5" t="s">
        <v>508</v>
      </c>
      <c r="D35" s="5" t="s">
        <v>107</v>
      </c>
      <c r="E35" s="5">
        <v>-2060.04</v>
      </c>
      <c r="F35" s="5" t="s">
        <v>9</v>
      </c>
      <c r="G35" s="5" t="s">
        <v>269</v>
      </c>
      <c r="H35" s="5"/>
      <c r="I35" s="5"/>
      <c r="J35" s="5"/>
      <c r="K35" s="5"/>
      <c r="L35" s="5"/>
      <c r="M35" s="5"/>
      <c r="N35" s="1">
        <f>IF( ISBLANK(LogTable2024[[#This Row],[Date_o]]), IF(ISBLANK(LogTable2024[[#This Row],[Date_i]]), "", LogTable2024[[#This Row],[Date_i]]), LogTable2024[[#This Row],[Date_o]])</f>
        <v>45384</v>
      </c>
      <c r="O35" t="str">
        <f>IF( ISBLANK(LogTable2024[[#This Row],[Description_o]]), IF(ISBLANK(LogTable2024[[#This Row],[Description_i]]), "", LogTable2024[[#This Row],[Description_i]]), LogTable2024[[#This Row],[Description_o]])</f>
        <v>Cornerstoneapart Web</v>
      </c>
      <c r="P35" t="str">
        <f>IF( ISBLANK(LogTable2024[[#This Row],[Original Description_o]]), IF(ISBLANK(LogTable2024[[#This Row],[Original Description_i]]), "", LogTable2024[[#This Row],[Original Description_i]]), LogTable2024[[#This Row],[Original Description_o]])</f>
        <v>CORNERSTONEAPART WEB PMTS   ***********TJ1G</v>
      </c>
      <c r="Q35" t="str">
        <f>IF( ISBLANK(LogTable2024[[#This Row],[Category_o]]), IF(ISBLANK(LogTable2024[[#This Row],[Category_i]]), "", LogTable2024[[#This Row],[Category_i]]), LogTable2024[[#This Row],[Category_o]])</f>
        <v>Uncategorized</v>
      </c>
      <c r="R35" s="10">
        <f>IF( ISBLANK(LogTable2024[[#This Row],[Amount_o]]), IF(ISBLANK(LogTable2024[[#This Row],[Amount_i]]), "", LogTable2024[[#This Row],[Amount_i]]), LogTable2024[[#This Row],[Amount_o]])</f>
        <v>-2060.04</v>
      </c>
      <c r="S35" s="1" t="str">
        <f>IF( ISBLANK(LogTable2024[[#This Row],[Status_o]]), IF(ISBLANK(LogTable2024[[#This Row],[Status_i]]), "", LogTable2024[[#This Row],[Status_i]]), LogTable2024[[#This Row],[Status_o]])</f>
        <v>Posted</v>
      </c>
      <c r="T35" t="s">
        <v>293</v>
      </c>
      <c r="U35" t="str">
        <f>IF( _xlfn.IFNA(MATCH(LogTable2024[[#This Row],[My Category]], Buckets!$D$4:$D$35, 0), FALSE), ".", "E")</f>
        <v>.</v>
      </c>
    </row>
    <row r="36" spans="1:21" hidden="1" x14ac:dyDescent="0.25">
      <c r="A36" s="4">
        <v>45384</v>
      </c>
      <c r="B36" s="5" t="s">
        <v>491</v>
      </c>
      <c r="C36" s="5" t="s">
        <v>56</v>
      </c>
      <c r="D36" s="5" t="s">
        <v>27</v>
      </c>
      <c r="E36" s="5">
        <v>-11.87</v>
      </c>
      <c r="F36" s="5" t="s">
        <v>9</v>
      </c>
      <c r="G36" s="5" t="s">
        <v>195</v>
      </c>
      <c r="H36" s="5"/>
      <c r="I36" s="5"/>
      <c r="J36" s="5"/>
      <c r="K36" s="5"/>
      <c r="L36" s="5"/>
      <c r="M36" s="5"/>
      <c r="N36" s="1">
        <f>IF( ISBLANK(LogTable2024[[#This Row],[Date_o]]), IF(ISBLANK(LogTable2024[[#This Row],[Date_i]]), "", LogTable2024[[#This Row],[Date_i]]), LogTable2024[[#This Row],[Date_o]])</f>
        <v>45384</v>
      </c>
      <c r="O36" t="str">
        <f>IF( ISBLANK(LogTable2024[[#This Row],[Description_o]]), IF(ISBLANK(LogTable2024[[#This Row],[Description_i]]), "", LogTable2024[[#This Row],[Description_i]]), LogTable2024[[#This Row],[Description_o]])</f>
        <v>The Pasty Republic Denver</v>
      </c>
      <c r="P36" t="str">
        <f>IF( ISBLANK(LogTable2024[[#This Row],[Original Description_o]]), IF(ISBLANK(LogTable2024[[#This Row],[Original Description_i]]), "", LogTable2024[[#This Row],[Original Description_i]]), LogTable2024[[#This Row],[Original Description_o]])</f>
        <v>SQ *THE PASTY REPUBLIC   Denver       CO</v>
      </c>
      <c r="Q36" t="str">
        <f>IF( ISBLANK(LogTable2024[[#This Row],[Category_o]]), IF(ISBLANK(LogTable2024[[#This Row],[Category_i]]), "", LogTable2024[[#This Row],[Category_i]]), LogTable2024[[#This Row],[Category_o]])</f>
        <v>Fast Food</v>
      </c>
      <c r="R36" s="10">
        <f>IF( ISBLANK(LogTable2024[[#This Row],[Amount_o]]), IF(ISBLANK(LogTable2024[[#This Row],[Amount_i]]), "", LogTable2024[[#This Row],[Amount_i]]), LogTable2024[[#This Row],[Amount_o]])</f>
        <v>-11.87</v>
      </c>
      <c r="S36" s="1" t="str">
        <f>IF( ISBLANK(LogTable2024[[#This Row],[Status_o]]), IF(ISBLANK(LogTable2024[[#This Row],[Status_i]]), "", LogTable2024[[#This Row],[Status_i]]), LogTable2024[[#This Row],[Status_o]])</f>
        <v>Posted</v>
      </c>
      <c r="T36" t="s">
        <v>292</v>
      </c>
      <c r="U36" t="str">
        <f>IF( _xlfn.IFNA(MATCH(LogTable2024[[#This Row],[My Category]], Buckets!$D$4:$D$35, 0), FALSE), ".", "E")</f>
        <v>.</v>
      </c>
    </row>
    <row r="37" spans="1:21" hidden="1" x14ac:dyDescent="0.25">
      <c r="A37" s="4">
        <v>45379</v>
      </c>
      <c r="B37" s="5" t="s">
        <v>196</v>
      </c>
      <c r="C37" s="5" t="s">
        <v>197</v>
      </c>
      <c r="D37" s="5" t="s">
        <v>198</v>
      </c>
      <c r="E37" s="5">
        <v>5616.04</v>
      </c>
      <c r="F37" s="5" t="s">
        <v>9</v>
      </c>
      <c r="G37" s="5" t="s">
        <v>269</v>
      </c>
      <c r="H37" s="5"/>
      <c r="I37" s="5"/>
      <c r="J37" s="5"/>
      <c r="K37" s="5"/>
      <c r="L37" s="5"/>
      <c r="M37" s="5"/>
      <c r="N37" s="1">
        <f>IF( ISBLANK(LogTable2024[[#This Row],[Date_o]]), IF(ISBLANK(LogTable2024[[#This Row],[Date_i]]), "", LogTable2024[[#This Row],[Date_i]]), LogTable2024[[#This Row],[Date_o]])</f>
        <v>45379</v>
      </c>
      <c r="O37" t="str">
        <f>IF( ISBLANK(LogTable2024[[#This Row],[Description_o]]), IF(ISBLANK(LogTable2024[[#This Row],[Description_i]]), "", LogTable2024[[#This Row],[Description_i]]), LogTable2024[[#This Row],[Description_o]])</f>
        <v>Insperity</v>
      </c>
      <c r="P37" t="str">
        <f>IF( ISBLANK(LogTable2024[[#This Row],[Original Description_o]]), IF(ISBLANK(LogTable2024[[#This Row],[Original Description_i]]), "", LogTable2024[[#This Row],[Original Description_i]]), LogTable2024[[#This Row],[Original Description_o]])</f>
        <v>ASF, DBA Insperi PAYROLL    ***********5626</v>
      </c>
      <c r="Q37" t="str">
        <f>IF( ISBLANK(LogTable2024[[#This Row],[Category_o]]), IF(ISBLANK(LogTable2024[[#This Row],[Category_i]]), "", LogTable2024[[#This Row],[Category_i]]), LogTable2024[[#This Row],[Category_o]])</f>
        <v>Paycheck</v>
      </c>
      <c r="R37" s="10">
        <f>IF( ISBLANK(LogTable2024[[#This Row],[Amount_o]]), IF(ISBLANK(LogTable2024[[#This Row],[Amount_i]]), "", LogTable2024[[#This Row],[Amount_i]]), LogTable2024[[#This Row],[Amount_o]])</f>
        <v>5616.04</v>
      </c>
      <c r="S37" s="1" t="str">
        <f>IF( ISBLANK(LogTable2024[[#This Row],[Status_o]]), IF(ISBLANK(LogTable2024[[#This Row],[Status_i]]), "", LogTable2024[[#This Row],[Status_i]]), LogTable2024[[#This Row],[Status_o]])</f>
        <v>Posted</v>
      </c>
      <c r="T37" t="s">
        <v>305</v>
      </c>
      <c r="U37" t="str">
        <f>IF( _xlfn.IFNA(MATCH(LogTable2024[[#This Row],[My Category]], Buckets!$D$4:$D$35, 0), FALSE), ".", "E")</f>
        <v>.</v>
      </c>
    </row>
    <row r="38" spans="1:21" hidden="1" x14ac:dyDescent="0.25">
      <c r="A38" s="4">
        <v>45377</v>
      </c>
      <c r="B38" s="5" t="s">
        <v>201</v>
      </c>
      <c r="C38" s="5" t="s">
        <v>202</v>
      </c>
      <c r="D38" s="5" t="s">
        <v>203</v>
      </c>
      <c r="E38" s="5">
        <v>0.12</v>
      </c>
      <c r="F38" s="5" t="s">
        <v>9</v>
      </c>
      <c r="G38" s="5" t="s">
        <v>269</v>
      </c>
      <c r="H38" s="5"/>
      <c r="I38" s="5"/>
      <c r="J38" s="5"/>
      <c r="K38" s="5"/>
      <c r="L38" s="5"/>
      <c r="M38" s="5"/>
      <c r="N38" s="1">
        <f>IF( ISBLANK(LogTable2024[[#This Row],[Date_o]]), IF(ISBLANK(LogTable2024[[#This Row],[Date_i]]), "", LogTable2024[[#This Row],[Date_i]]), LogTable2024[[#This Row],[Date_o]])</f>
        <v>45377</v>
      </c>
      <c r="O38" t="str">
        <f>IF( ISBLANK(LogTable2024[[#This Row],[Description_o]]), IF(ISBLANK(LogTable2024[[#This Row],[Description_i]]), "", LogTable2024[[#This Row],[Description_i]]), LogTable2024[[#This Row],[Description_o]])</f>
        <v>Interest Paid</v>
      </c>
      <c r="P38" t="str">
        <f>IF( ISBLANK(LogTable2024[[#This Row],[Original Description_o]]), IF(ISBLANK(LogTable2024[[#This Row],[Original Description_i]]), "", LogTable2024[[#This Row],[Original Description_i]]), LogTable2024[[#This Row],[Original Description_o]])</f>
        <v>INTEREST PAID</v>
      </c>
      <c r="Q38" t="str">
        <f>IF( ISBLANK(LogTable2024[[#This Row],[Category_o]]), IF(ISBLANK(LogTable2024[[#This Row],[Category_i]]), "", LogTable2024[[#This Row],[Category_i]]), LogTable2024[[#This Row],[Category_o]])</f>
        <v>Interest Income</v>
      </c>
      <c r="R38" s="10">
        <f>IF( ISBLANK(LogTable2024[[#This Row],[Amount_o]]), IF(ISBLANK(LogTable2024[[#This Row],[Amount_i]]), "", LogTable2024[[#This Row],[Amount_i]]), LogTable2024[[#This Row],[Amount_o]])</f>
        <v>0.12</v>
      </c>
      <c r="S38" s="1" t="str">
        <f>IF( ISBLANK(LogTable2024[[#This Row],[Status_o]]), IF(ISBLANK(LogTable2024[[#This Row],[Status_i]]), "", LogTable2024[[#This Row],[Status_i]]), LogTable2024[[#This Row],[Status_o]])</f>
        <v>Posted</v>
      </c>
      <c r="T38" t="s">
        <v>306</v>
      </c>
      <c r="U38" t="str">
        <f>IF( _xlfn.IFNA(MATCH(LogTable2024[[#This Row],[My Category]], Buckets!$D$4:$D$35, 0), FALSE), ".", "E")</f>
        <v>.</v>
      </c>
    </row>
    <row r="39" spans="1:21" hidden="1" x14ac:dyDescent="0.25">
      <c r="A39" s="4">
        <v>45377</v>
      </c>
      <c r="B39" s="5" t="s">
        <v>13</v>
      </c>
      <c r="C39" s="5" t="s">
        <v>14</v>
      </c>
      <c r="D39" s="5" t="s">
        <v>15</v>
      </c>
      <c r="E39" s="5">
        <v>-26.47</v>
      </c>
      <c r="F39" s="5" t="s">
        <v>9</v>
      </c>
      <c r="G39" s="5" t="s">
        <v>195</v>
      </c>
      <c r="H39" s="5"/>
      <c r="I39" s="5"/>
      <c r="J39" s="5"/>
      <c r="K39" s="5"/>
      <c r="L39" s="5"/>
      <c r="M39" s="5"/>
      <c r="N39" s="1">
        <f>IF( ISBLANK(LogTable2024[[#This Row],[Date_o]]), IF(ISBLANK(LogTable2024[[#This Row],[Date_i]]), "", LogTable2024[[#This Row],[Date_i]]), LogTable2024[[#This Row],[Date_o]])</f>
        <v>45377</v>
      </c>
      <c r="O39" t="str">
        <f>IF( ISBLANK(LogTable2024[[#This Row],[Description_o]]), IF(ISBLANK(LogTable2024[[#This Row],[Description_i]]), "", LogTable2024[[#This Row],[Description_i]]), LogTable2024[[#This Row],[Description_o]])</f>
        <v>King Soopers</v>
      </c>
      <c r="P39" t="str">
        <f>IF( ISBLANK(LogTable2024[[#This Row],[Original Description_o]]), IF(ISBLANK(LogTable2024[[#This Row],[Original Description_i]]), "", LogTable2024[[#This Row],[Original Description_i]]), LogTable2024[[#This Row],[Original Description_o]])</f>
        <v>KING SOOPERS #0057       WHEAT RIDGE  CO</v>
      </c>
      <c r="Q39" t="str">
        <f>IF( ISBLANK(LogTable2024[[#This Row],[Category_o]]), IF(ISBLANK(LogTable2024[[#This Row],[Category_i]]), "", LogTable2024[[#This Row],[Category_i]]), LogTable2024[[#This Row],[Category_o]])</f>
        <v>Groceries</v>
      </c>
      <c r="R39" s="10">
        <f>IF( ISBLANK(LogTable2024[[#This Row],[Amount_o]]), IF(ISBLANK(LogTable2024[[#This Row],[Amount_i]]), "", LogTable2024[[#This Row],[Amount_i]]), LogTable2024[[#This Row],[Amount_o]])</f>
        <v>-26.47</v>
      </c>
      <c r="S39" s="1" t="str">
        <f>IF( ISBLANK(LogTable2024[[#This Row],[Status_o]]), IF(ISBLANK(LogTable2024[[#This Row],[Status_i]]), "", LogTable2024[[#This Row],[Status_i]]), LogTable2024[[#This Row],[Status_o]])</f>
        <v>Posted</v>
      </c>
      <c r="T39" t="s">
        <v>15</v>
      </c>
      <c r="U39" t="str">
        <f>IF( _xlfn.IFNA(MATCH(LogTable2024[[#This Row],[My Category]], Buckets!$D$4:$D$35, 0), FALSE), ".", "E")</f>
        <v>.</v>
      </c>
    </row>
    <row r="40" spans="1:21" hidden="1" x14ac:dyDescent="0.25">
      <c r="A40" s="4">
        <v>45377</v>
      </c>
      <c r="B40" s="5" t="s">
        <v>25</v>
      </c>
      <c r="C40" s="5" t="s">
        <v>26</v>
      </c>
      <c r="D40" s="5" t="s">
        <v>27</v>
      </c>
      <c r="E40" s="5">
        <v>-12.16</v>
      </c>
      <c r="F40" s="5" t="s">
        <v>9</v>
      </c>
      <c r="G40" s="5" t="s">
        <v>195</v>
      </c>
      <c r="H40" s="5"/>
      <c r="I40" s="5"/>
      <c r="J40" s="5"/>
      <c r="K40" s="5"/>
      <c r="L40" s="5"/>
      <c r="M40" s="5"/>
      <c r="N40" s="1">
        <f>IF( ISBLANK(LogTable2024[[#This Row],[Date_o]]), IF(ISBLANK(LogTable2024[[#This Row],[Date_i]]), "", LogTable2024[[#This Row],[Date_i]]), LogTable2024[[#This Row],[Date_o]])</f>
        <v>45377</v>
      </c>
      <c r="O40" t="str">
        <f>IF( ISBLANK(LogTable2024[[#This Row],[Description_o]]), IF(ISBLANK(LogTable2024[[#This Row],[Description_i]]), "", LogTable2024[[#This Row],[Description_i]]), LogTable2024[[#This Row],[Description_o]])</f>
        <v>Qdoba</v>
      </c>
      <c r="P40" t="str">
        <f>IF( ISBLANK(LogTable2024[[#This Row],[Original Description_o]]), IF(ISBLANK(LogTable2024[[#This Row],[Original Description_i]]), "", LogTable2024[[#This Row],[Original Description_i]]), LogTable2024[[#This Row],[Original Description_o]])</f>
        <v>QDOBA 2063               WESTMINSTER  CA</v>
      </c>
      <c r="Q40" t="str">
        <f>IF( ISBLANK(LogTable2024[[#This Row],[Category_o]]), IF(ISBLANK(LogTable2024[[#This Row],[Category_i]]), "", LogTable2024[[#This Row],[Category_i]]), LogTable2024[[#This Row],[Category_o]])</f>
        <v>Fast Food</v>
      </c>
      <c r="R40" s="10">
        <f>IF( ISBLANK(LogTable2024[[#This Row],[Amount_o]]), IF(ISBLANK(LogTable2024[[#This Row],[Amount_i]]), "", LogTable2024[[#This Row],[Amount_i]]), LogTable2024[[#This Row],[Amount_o]])</f>
        <v>-12.16</v>
      </c>
      <c r="S40" s="1" t="str">
        <f>IF( ISBLANK(LogTable2024[[#This Row],[Status_o]]), IF(ISBLANK(LogTable2024[[#This Row],[Status_i]]), "", LogTable2024[[#This Row],[Status_i]]), LogTable2024[[#This Row],[Status_o]])</f>
        <v>Posted</v>
      </c>
      <c r="T40" t="s">
        <v>292</v>
      </c>
      <c r="U40" t="str">
        <f>IF( _xlfn.IFNA(MATCH(LogTable2024[[#This Row],[My Category]], Buckets!$D$4:$D$35, 0), FALSE), ".", "E")</f>
        <v>.</v>
      </c>
    </row>
    <row r="41" spans="1:21" hidden="1" x14ac:dyDescent="0.25">
      <c r="A41" s="4">
        <v>45377</v>
      </c>
      <c r="B41" s="5" t="s">
        <v>77</v>
      </c>
      <c r="C41" s="5" t="s">
        <v>78</v>
      </c>
      <c r="D41" s="5" t="s">
        <v>32</v>
      </c>
      <c r="E41" s="5">
        <v>-14.6</v>
      </c>
      <c r="F41" s="5" t="s">
        <v>9</v>
      </c>
      <c r="G41" s="5" t="s">
        <v>195</v>
      </c>
      <c r="H41" s="5"/>
      <c r="I41" s="5"/>
      <c r="J41" s="5"/>
      <c r="K41" s="5"/>
      <c r="L41" s="5"/>
      <c r="M41" s="5"/>
      <c r="N41" s="1">
        <f>IF( ISBLANK(LogTable2024[[#This Row],[Date_o]]), IF(ISBLANK(LogTable2024[[#This Row],[Date_i]]), "", LogTable2024[[#This Row],[Date_i]]), LogTable2024[[#This Row],[Date_o]])</f>
        <v>45377</v>
      </c>
      <c r="O41" t="str">
        <f>IF( ISBLANK(LogTable2024[[#This Row],[Description_o]]), IF(ISBLANK(LogTable2024[[#This Row],[Description_i]]), "", LogTable2024[[#This Row],[Description_i]]), LogTable2024[[#This Row],[Description_o]])</f>
        <v>Steam</v>
      </c>
      <c r="P41" t="str">
        <f>IF( ISBLANK(LogTable2024[[#This Row],[Original Description_o]]), IF(ISBLANK(LogTable2024[[#This Row],[Original Description_i]]), "", LogTable2024[[#This Row],[Original Description_i]]), LogTable2024[[#This Row],[Original Description_o]])</f>
        <v>PAYPAL *STEAM GAMES      4259522985   WA</v>
      </c>
      <c r="Q41" t="str">
        <f>IF( ISBLANK(LogTable2024[[#This Row],[Category_o]]), IF(ISBLANK(LogTable2024[[#This Row],[Category_i]]), "", LogTable2024[[#This Row],[Category_i]]), LogTable2024[[#This Row],[Category_o]])</f>
        <v>Entertainment</v>
      </c>
      <c r="R41" s="10">
        <f>IF( ISBLANK(LogTable2024[[#This Row],[Amount_o]]), IF(ISBLANK(LogTable2024[[#This Row],[Amount_i]]), "", LogTable2024[[#This Row],[Amount_i]]), LogTable2024[[#This Row],[Amount_o]])</f>
        <v>-14.6</v>
      </c>
      <c r="S41" s="1" t="str">
        <f>IF( ISBLANK(LogTable2024[[#This Row],[Status_o]]), IF(ISBLANK(LogTable2024[[#This Row],[Status_i]]), "", LogTable2024[[#This Row],[Status_i]]), LogTable2024[[#This Row],[Status_o]])</f>
        <v>Posted</v>
      </c>
      <c r="T41" t="s">
        <v>289</v>
      </c>
      <c r="U41" t="str">
        <f>IF( _xlfn.IFNA(MATCH(LogTable2024[[#This Row],[My Category]], Buckets!$D$4:$D$35, 0), FALSE), ".", "E")</f>
        <v>.</v>
      </c>
    </row>
    <row r="42" spans="1:21" hidden="1" x14ac:dyDescent="0.25">
      <c r="A42" s="4">
        <v>45373</v>
      </c>
      <c r="B42" s="5" t="s">
        <v>79</v>
      </c>
      <c r="C42" s="5" t="s">
        <v>80</v>
      </c>
      <c r="D42" s="5" t="s">
        <v>81</v>
      </c>
      <c r="E42" s="5">
        <v>-11.65</v>
      </c>
      <c r="F42" s="5" t="s">
        <v>9</v>
      </c>
      <c r="G42" s="5" t="s">
        <v>195</v>
      </c>
      <c r="H42" s="5"/>
      <c r="I42" s="5"/>
      <c r="J42" s="5"/>
      <c r="K42" s="5"/>
      <c r="L42" s="5"/>
      <c r="M42" s="5"/>
      <c r="N42" s="1">
        <f>IF( ISBLANK(LogTable2024[[#This Row],[Date_o]]), IF(ISBLANK(LogTable2024[[#This Row],[Date_i]]), "", LogTable2024[[#This Row],[Date_i]]), LogTable2024[[#This Row],[Date_o]])</f>
        <v>45373</v>
      </c>
      <c r="O42" t="str">
        <f>IF( ISBLANK(LogTable2024[[#This Row],[Description_o]]), IF(ISBLANK(LogTable2024[[#This Row],[Description_i]]), "", LogTable2024[[#This Row],[Description_i]]), LogTable2024[[#This Row],[Description_o]])</f>
        <v>I Hop Ipa</v>
      </c>
      <c r="P42" t="str">
        <f>IF( ISBLANK(LogTable2024[[#This Row],[Original Description_o]]), IF(ISBLANK(LogTable2024[[#This Row],[Original Description_i]]), "", LogTable2024[[#This Row],[Original Description_i]]), LogTable2024[[#This Row],[Original Description_o]])</f>
        <v>SQ *I HOP IPA            BROOMFIELD   CO</v>
      </c>
      <c r="Q42" t="str">
        <f>IF( ISBLANK(LogTable2024[[#This Row],[Category_o]]), IF(ISBLANK(LogTable2024[[#This Row],[Category_i]]), "", LogTable2024[[#This Row],[Category_i]]), LogTable2024[[#This Row],[Category_o]])</f>
        <v>Business Services</v>
      </c>
      <c r="R42" s="10">
        <f>IF( ISBLANK(LogTable2024[[#This Row],[Amount_o]]), IF(ISBLANK(LogTable2024[[#This Row],[Amount_i]]), "", LogTable2024[[#This Row],[Amount_i]]), LogTable2024[[#This Row],[Amount_o]])</f>
        <v>-11.65</v>
      </c>
      <c r="S42" s="1" t="str">
        <f>IF( ISBLANK(LogTable2024[[#This Row],[Status_o]]), IF(ISBLANK(LogTable2024[[#This Row],[Status_i]]), "", LogTable2024[[#This Row],[Status_i]]), LogTable2024[[#This Row],[Status_o]])</f>
        <v>Posted</v>
      </c>
      <c r="T42" t="s">
        <v>290</v>
      </c>
      <c r="U42" t="str">
        <f>IF( _xlfn.IFNA(MATCH(LogTable2024[[#This Row],[My Category]], Buckets!$D$4:$D$35, 0), FALSE), ".", "E")</f>
        <v>.</v>
      </c>
    </row>
    <row r="43" spans="1:21" hidden="1" x14ac:dyDescent="0.25">
      <c r="A43" s="4">
        <v>45367</v>
      </c>
      <c r="B43" s="5" t="s">
        <v>100</v>
      </c>
      <c r="C43" s="5" t="s">
        <v>101</v>
      </c>
      <c r="D43" s="5" t="s">
        <v>32</v>
      </c>
      <c r="E43" s="5">
        <v>-2</v>
      </c>
      <c r="F43" s="5" t="s">
        <v>9</v>
      </c>
      <c r="G43" s="5" t="s">
        <v>195</v>
      </c>
      <c r="H43" s="5"/>
      <c r="I43" s="5"/>
      <c r="J43" s="5"/>
      <c r="K43" s="5"/>
      <c r="L43" s="5"/>
      <c r="M43" s="5"/>
      <c r="N43" s="1">
        <f>IF( ISBLANK(LogTable2024[[#This Row],[Date_o]]), IF(ISBLANK(LogTable2024[[#This Row],[Date_i]]), "", LogTable2024[[#This Row],[Date_i]]), LogTable2024[[#This Row],[Date_o]])</f>
        <v>45367</v>
      </c>
      <c r="O43" t="str">
        <f>IF( ISBLANK(LogTable2024[[#This Row],[Description_o]]), IF(ISBLANK(LogTable2024[[#This Row],[Description_i]]), "", LogTable2024[[#This Row],[Description_i]]), LogTable2024[[#This Row],[Description_o]])</f>
        <v>Patreon</v>
      </c>
      <c r="P43" t="str">
        <f>IF( ISBLANK(LogTable2024[[#This Row],[Original Description_o]]), IF(ISBLANK(LogTable2024[[#This Row],[Original Description_i]]), "", LogTable2024[[#This Row],[Original Description_i]]), LogTable2024[[#This Row],[Original Description_o]])</f>
        <v>PAYPAL *PATREON INC  MEMB402-935-7733 CA</v>
      </c>
      <c r="Q43" t="str">
        <f>IF( ISBLANK(LogTable2024[[#This Row],[Category_o]]), IF(ISBLANK(LogTable2024[[#This Row],[Category_i]]), "", LogTable2024[[#This Row],[Category_i]]), LogTable2024[[#This Row],[Category_o]])</f>
        <v>Entertainment</v>
      </c>
      <c r="R43" s="10">
        <f>IF( ISBLANK(LogTable2024[[#This Row],[Amount_o]]), IF(ISBLANK(LogTable2024[[#This Row],[Amount_i]]), "", LogTable2024[[#This Row],[Amount_i]]), LogTable2024[[#This Row],[Amount_o]])</f>
        <v>-2</v>
      </c>
      <c r="S43" s="1" t="str">
        <f>IF( ISBLANK(LogTable2024[[#This Row],[Status_o]]), IF(ISBLANK(LogTable2024[[#This Row],[Status_i]]), "", LogTable2024[[#This Row],[Status_i]]), LogTable2024[[#This Row],[Status_o]])</f>
        <v>Posted</v>
      </c>
      <c r="T43" t="s">
        <v>464</v>
      </c>
      <c r="U43" t="str">
        <f>IF( _xlfn.IFNA(MATCH(LogTable2024[[#This Row],[My Category]], Buckets!$D$4:$D$35, 0), FALSE), ".", "E")</f>
        <v>.</v>
      </c>
    </row>
    <row r="44" spans="1:21" hidden="1" x14ac:dyDescent="0.25">
      <c r="A44" s="4">
        <v>45365</v>
      </c>
      <c r="B44" s="5" t="s">
        <v>473</v>
      </c>
      <c r="C44" s="5" t="s">
        <v>474</v>
      </c>
      <c r="D44" s="5" t="s">
        <v>475</v>
      </c>
      <c r="E44" s="5">
        <v>-70</v>
      </c>
      <c r="F44" s="5" t="s">
        <v>9</v>
      </c>
      <c r="G44" s="5" t="s">
        <v>195</v>
      </c>
      <c r="H44" s="5"/>
      <c r="I44" s="5"/>
      <c r="J44" s="5"/>
      <c r="K44" s="5"/>
      <c r="L44" s="5"/>
      <c r="M44" s="5"/>
      <c r="N44" s="1">
        <f>IF( ISBLANK(LogTable2024[[#This Row],[Date_o]]), IF(ISBLANK(LogTable2024[[#This Row],[Date_i]]), "", LogTable2024[[#This Row],[Date_i]]), LogTable2024[[#This Row],[Date_o]])</f>
        <v>45365</v>
      </c>
      <c r="O44" t="str">
        <f>IF( ISBLANK(LogTable2024[[#This Row],[Description_o]]), IF(ISBLANK(LogTable2024[[#This Row],[Description_i]]), "", LogTable2024[[#This Row],[Description_i]]), LogTable2024[[#This Row],[Description_o]])</f>
        <v>Ah Mychart Medepay</v>
      </c>
      <c r="P44" t="str">
        <f>IF( ISBLANK(LogTable2024[[#This Row],[Original Description_o]]), IF(ISBLANK(LogTable2024[[#This Row],[Original Description_i]]), "", LogTable2024[[#This Row],[Original Description_i]]), LogTable2024[[#This Row],[Original Description_o]])</f>
        <v>AH MYCHART MEDEPAY       855-2412455  FL</v>
      </c>
      <c r="Q44" t="str">
        <f>IF( ISBLANK(LogTable2024[[#This Row],[Category_o]]), IF(ISBLANK(LogTable2024[[#This Row],[Category_i]]), "", LogTable2024[[#This Row],[Category_i]]), LogTable2024[[#This Row],[Category_o]])</f>
        <v>Doctor</v>
      </c>
      <c r="R44" s="10">
        <f>IF( ISBLANK(LogTable2024[[#This Row],[Amount_o]]), IF(ISBLANK(LogTable2024[[#This Row],[Amount_i]]), "", LogTable2024[[#This Row],[Amount_i]]), LogTable2024[[#This Row],[Amount_o]])</f>
        <v>-70</v>
      </c>
      <c r="S44" s="1" t="str">
        <f>IF( ISBLANK(LogTable2024[[#This Row],[Status_o]]), IF(ISBLANK(LogTable2024[[#This Row],[Status_i]]), "", LogTable2024[[#This Row],[Status_i]]), LogTable2024[[#This Row],[Status_o]])</f>
        <v>Posted</v>
      </c>
      <c r="T44" t="s">
        <v>301</v>
      </c>
      <c r="U44" t="str">
        <f>IF( _xlfn.IFNA(MATCH(LogTable2024[[#This Row],[My Category]], Buckets!$D$4:$D$35, 0), FALSE), ".", "E")</f>
        <v>.</v>
      </c>
    </row>
    <row r="45" spans="1:21" hidden="1" x14ac:dyDescent="0.25">
      <c r="A45" s="4">
        <v>45365</v>
      </c>
      <c r="B45" s="5" t="s">
        <v>77</v>
      </c>
      <c r="C45" s="5" t="s">
        <v>78</v>
      </c>
      <c r="D45" s="5" t="s">
        <v>32</v>
      </c>
      <c r="E45" s="5">
        <v>-20.29</v>
      </c>
      <c r="F45" s="5" t="s">
        <v>9</v>
      </c>
      <c r="G45" s="5" t="s">
        <v>195</v>
      </c>
      <c r="H45" s="5"/>
      <c r="I45" s="5"/>
      <c r="J45" s="5"/>
      <c r="K45" s="5"/>
      <c r="L45" s="5"/>
      <c r="M45" s="5"/>
      <c r="N45" s="1">
        <f>IF( ISBLANK(LogTable2024[[#This Row],[Date_o]]), IF(ISBLANK(LogTable2024[[#This Row],[Date_i]]), "", LogTable2024[[#This Row],[Date_i]]), LogTable2024[[#This Row],[Date_o]])</f>
        <v>45365</v>
      </c>
      <c r="O45" t="str">
        <f>IF( ISBLANK(LogTable2024[[#This Row],[Description_o]]), IF(ISBLANK(LogTable2024[[#This Row],[Description_i]]), "", LogTable2024[[#This Row],[Description_i]]), LogTable2024[[#This Row],[Description_o]])</f>
        <v>Steam</v>
      </c>
      <c r="P45" t="str">
        <f>IF( ISBLANK(LogTable2024[[#This Row],[Original Description_o]]), IF(ISBLANK(LogTable2024[[#This Row],[Original Description_i]]), "", LogTable2024[[#This Row],[Original Description_i]]), LogTable2024[[#This Row],[Original Description_o]])</f>
        <v>PAYPAL *STEAM GAMES      4259522985   WA</v>
      </c>
      <c r="Q45" t="str">
        <f>IF( ISBLANK(LogTable2024[[#This Row],[Category_o]]), IF(ISBLANK(LogTable2024[[#This Row],[Category_i]]), "", LogTable2024[[#This Row],[Category_i]]), LogTable2024[[#This Row],[Category_o]])</f>
        <v>Entertainment</v>
      </c>
      <c r="R45" s="10">
        <f>IF( ISBLANK(LogTable2024[[#This Row],[Amount_o]]), IF(ISBLANK(LogTable2024[[#This Row],[Amount_i]]), "", LogTable2024[[#This Row],[Amount_i]]), LogTable2024[[#This Row],[Amount_o]])</f>
        <v>-20.29</v>
      </c>
      <c r="S45" s="1" t="str">
        <f>IF( ISBLANK(LogTable2024[[#This Row],[Status_o]]), IF(ISBLANK(LogTable2024[[#This Row],[Status_i]]), "", LogTable2024[[#This Row],[Status_i]]), LogTable2024[[#This Row],[Status_o]])</f>
        <v>Posted</v>
      </c>
      <c r="T45" t="s">
        <v>289</v>
      </c>
      <c r="U45" t="str">
        <f>IF( _xlfn.IFNA(MATCH(LogTable2024[[#This Row],[My Category]], Buckets!$D$4:$D$35, 0), FALSE), ".", "E")</f>
        <v>.</v>
      </c>
    </row>
    <row r="46" spans="1:21" hidden="1" x14ac:dyDescent="0.25">
      <c r="A46" s="4">
        <v>45364</v>
      </c>
      <c r="B46" s="5" t="s">
        <v>77</v>
      </c>
      <c r="C46" s="5" t="s">
        <v>78</v>
      </c>
      <c r="D46" s="5" t="s">
        <v>32</v>
      </c>
      <c r="E46" s="5">
        <v>-12.98</v>
      </c>
      <c r="F46" s="5" t="s">
        <v>9</v>
      </c>
      <c r="G46" s="5" t="s">
        <v>195</v>
      </c>
      <c r="H46" s="5"/>
      <c r="I46" s="5"/>
      <c r="J46" s="5"/>
      <c r="K46" s="5"/>
      <c r="L46" s="5"/>
      <c r="M46" s="5"/>
      <c r="N46" s="1">
        <f>IF( ISBLANK(LogTable2024[[#This Row],[Date_o]]), IF(ISBLANK(LogTable2024[[#This Row],[Date_i]]), "", LogTable2024[[#This Row],[Date_i]]), LogTable2024[[#This Row],[Date_o]])</f>
        <v>45364</v>
      </c>
      <c r="O46" t="str">
        <f>IF( ISBLANK(LogTable2024[[#This Row],[Description_o]]), IF(ISBLANK(LogTable2024[[#This Row],[Description_i]]), "", LogTable2024[[#This Row],[Description_i]]), LogTable2024[[#This Row],[Description_o]])</f>
        <v>Steam</v>
      </c>
      <c r="P46" t="str">
        <f>IF( ISBLANK(LogTable2024[[#This Row],[Original Description_o]]), IF(ISBLANK(LogTable2024[[#This Row],[Original Description_i]]), "", LogTable2024[[#This Row],[Original Description_i]]), LogTable2024[[#This Row],[Original Description_o]])</f>
        <v>PAYPAL *STEAM GAMES      4259522985   WA</v>
      </c>
      <c r="Q46" t="str">
        <f>IF( ISBLANK(LogTable2024[[#This Row],[Category_o]]), IF(ISBLANK(LogTable2024[[#This Row],[Category_i]]), "", LogTable2024[[#This Row],[Category_i]]), LogTable2024[[#This Row],[Category_o]])</f>
        <v>Entertainment</v>
      </c>
      <c r="R46" s="10">
        <f>IF( ISBLANK(LogTable2024[[#This Row],[Amount_o]]), IF(ISBLANK(LogTable2024[[#This Row],[Amount_i]]), "", LogTable2024[[#This Row],[Amount_i]]), LogTable2024[[#This Row],[Amount_o]])</f>
        <v>-12.98</v>
      </c>
      <c r="S46" s="1" t="str">
        <f>IF( ISBLANK(LogTable2024[[#This Row],[Status_o]]), IF(ISBLANK(LogTable2024[[#This Row],[Status_i]]), "", LogTable2024[[#This Row],[Status_i]]), LogTable2024[[#This Row],[Status_o]])</f>
        <v>Posted</v>
      </c>
      <c r="T46" t="s">
        <v>289</v>
      </c>
      <c r="U46" t="str">
        <f>IF( _xlfn.IFNA(MATCH(LogTable2024[[#This Row],[My Category]], Buckets!$D$4:$D$35, 0), FALSE), ".", "E")</f>
        <v>.</v>
      </c>
    </row>
    <row r="47" spans="1:21" x14ac:dyDescent="0.25">
      <c r="A47" s="4">
        <v>45364</v>
      </c>
      <c r="B47" s="5" t="s">
        <v>71</v>
      </c>
      <c r="C47" s="5" t="s">
        <v>234</v>
      </c>
      <c r="D47" s="5" t="s">
        <v>186</v>
      </c>
      <c r="E47" s="5">
        <v>-114.23</v>
      </c>
      <c r="F47" s="5" t="s">
        <v>9</v>
      </c>
      <c r="G47" s="5" t="s">
        <v>269</v>
      </c>
      <c r="H47" s="5"/>
      <c r="I47" s="5"/>
      <c r="J47" s="5"/>
      <c r="K47" s="5"/>
      <c r="L47" s="5"/>
      <c r="M47" s="5"/>
      <c r="N47" s="1">
        <f>IF( ISBLANK(LogTable2024[[#This Row],[Date_o]]), IF(ISBLANK(LogTable2024[[#This Row],[Date_i]]), "", LogTable2024[[#This Row],[Date_i]]), LogTable2024[[#This Row],[Date_o]])</f>
        <v>45364</v>
      </c>
      <c r="O47" t="str">
        <f>IF( ISBLANK(LogTable2024[[#This Row],[Description_o]]), IF(ISBLANK(LogTable2024[[#This Row],[Description_i]]), "", LogTable2024[[#This Row],[Description_i]]), LogTable2024[[#This Row],[Description_o]])</f>
        <v>USAA Credit Card</v>
      </c>
      <c r="P47" t="str">
        <f>IF( ISBLANK(LogTable2024[[#This Row],[Original Description_o]]), IF(ISBLANK(LogTable2024[[#This Row],[Original Description_i]]), "", LogTable2024[[#This Row],[Original Description_i]]), LogTable2024[[#This Row],[Original Description_o]])</f>
        <v>USAA CREDIT CARD PAYMENT    ***********0051</v>
      </c>
      <c r="Q47" t="str">
        <f>IF( ISBLANK(LogTable2024[[#This Row],[Category_o]]), IF(ISBLANK(LogTable2024[[#This Row],[Category_i]]), "", LogTable2024[[#This Row],[Category_i]]), LogTable2024[[#This Row],[Category_o]])</f>
        <v>Credit Card Payment</v>
      </c>
      <c r="R47" s="10">
        <f>IF( ISBLANK(LogTable2024[[#This Row],[Amount_o]]), IF(ISBLANK(LogTable2024[[#This Row],[Amount_i]]), "", LogTable2024[[#This Row],[Amount_i]]), LogTable2024[[#This Row],[Amount_o]])</f>
        <v>-114.23</v>
      </c>
      <c r="S47" s="1" t="str">
        <f>IF( ISBLANK(LogTable2024[[#This Row],[Status_o]]), IF(ISBLANK(LogTable2024[[#This Row],[Status_i]]), "", LogTable2024[[#This Row],[Status_i]]), LogTable2024[[#This Row],[Status_o]])</f>
        <v>Posted</v>
      </c>
      <c r="T47" t="s">
        <v>307</v>
      </c>
      <c r="U47" t="str">
        <f>IF( _xlfn.IFNA(MATCH(LogTable2024[[#This Row],[My Category]], Buckets!$D$4:$D$35, 0), FALSE), ".", "E")</f>
        <v>.</v>
      </c>
    </row>
    <row r="48" spans="1:21" x14ac:dyDescent="0.25">
      <c r="A48" s="4">
        <v>45363</v>
      </c>
      <c r="B48" s="5" t="s">
        <v>186</v>
      </c>
      <c r="C48" s="5" t="s">
        <v>106</v>
      </c>
      <c r="D48" s="5" t="s">
        <v>186</v>
      </c>
      <c r="E48" s="5">
        <v>114.23</v>
      </c>
      <c r="F48" s="5" t="s">
        <v>9</v>
      </c>
      <c r="G48" s="5" t="s">
        <v>195</v>
      </c>
      <c r="H48" s="5"/>
      <c r="I48" s="5"/>
      <c r="J48" s="5"/>
      <c r="K48" s="5"/>
      <c r="L48" s="5"/>
      <c r="M48" s="5"/>
      <c r="N48" s="1">
        <f>IF( ISBLANK(LogTable2024[[#This Row],[Date_o]]), IF(ISBLANK(LogTable2024[[#This Row],[Date_i]]), "", LogTable2024[[#This Row],[Date_i]]), LogTable2024[[#This Row],[Date_o]])</f>
        <v>45363</v>
      </c>
      <c r="O48" t="str">
        <f>IF( ISBLANK(LogTable2024[[#This Row],[Description_o]]), IF(ISBLANK(LogTable2024[[#This Row],[Description_i]]), "", LogTable2024[[#This Row],[Description_i]]), LogTable2024[[#This Row],[Description_o]])</f>
        <v>Credit Card Payment</v>
      </c>
      <c r="P48" t="str">
        <f>IF( ISBLANK(LogTable2024[[#This Row],[Original Description_o]]), IF(ISBLANK(LogTable2024[[#This Row],[Original Description_i]]), "", LogTable2024[[#This Row],[Original Description_i]]), LogTable2024[[#This Row],[Original Description_o]])</f>
        <v>AUTOMATIC PAYMENT - THANK YOU</v>
      </c>
      <c r="Q48" t="str">
        <f>IF( ISBLANK(LogTable2024[[#This Row],[Category_o]]), IF(ISBLANK(LogTable2024[[#This Row],[Category_i]]), "", LogTable2024[[#This Row],[Category_i]]), LogTable2024[[#This Row],[Category_o]])</f>
        <v>Credit Card Payment</v>
      </c>
      <c r="R48" s="10">
        <f>IF( ISBLANK(LogTable2024[[#This Row],[Amount_o]]), IF(ISBLANK(LogTable2024[[#This Row],[Amount_i]]), "", LogTable2024[[#This Row],[Amount_i]]), LogTable2024[[#This Row],[Amount_o]])</f>
        <v>114.23</v>
      </c>
      <c r="S48" s="1" t="str">
        <f>IF( ISBLANK(LogTable2024[[#This Row],[Status_o]]), IF(ISBLANK(LogTable2024[[#This Row],[Status_i]]), "", LogTable2024[[#This Row],[Status_i]]), LogTable2024[[#This Row],[Status_o]])</f>
        <v>Posted</v>
      </c>
      <c r="T48" t="s">
        <v>307</v>
      </c>
      <c r="U48" t="str">
        <f>IF( _xlfn.IFNA(MATCH(LogTable2024[[#This Row],[My Category]], Buckets!$D$4:$D$35, 0), FALSE), ".", "E")</f>
        <v>.</v>
      </c>
    </row>
    <row r="49" spans="1:22" hidden="1" x14ac:dyDescent="0.25">
      <c r="A49" s="4">
        <v>45363</v>
      </c>
      <c r="B49" s="5" t="s">
        <v>204</v>
      </c>
      <c r="C49" s="5" t="s">
        <v>205</v>
      </c>
      <c r="D49" s="5" t="s">
        <v>206</v>
      </c>
      <c r="E49" s="5">
        <v>-190.19</v>
      </c>
      <c r="F49" s="5" t="s">
        <v>9</v>
      </c>
      <c r="G49" s="5" t="s">
        <v>269</v>
      </c>
      <c r="H49" s="5"/>
      <c r="I49" s="5"/>
      <c r="J49" s="5"/>
      <c r="K49" s="5"/>
      <c r="L49" s="5"/>
      <c r="M49" s="5"/>
      <c r="N49" s="1">
        <f>IF( ISBLANK(LogTable2024[[#This Row],[Date_o]]), IF(ISBLANK(LogTable2024[[#This Row],[Date_i]]), "", LogTable2024[[#This Row],[Date_i]]), LogTable2024[[#This Row],[Date_o]])</f>
        <v>45363</v>
      </c>
      <c r="O49" t="str">
        <f>IF( ISBLANK(LogTable2024[[#This Row],[Description_o]]), IF(ISBLANK(LogTable2024[[#This Row],[Description_i]]), "", LogTable2024[[#This Row],[Description_i]]), LogTable2024[[#This Row],[Description_o]])</f>
        <v>USAA Property and Casualty Insurance</v>
      </c>
      <c r="P49" t="str">
        <f>IF( ISBLANK(LogTable2024[[#This Row],[Original Description_o]]), IF(ISBLANK(LogTable2024[[#This Row],[Original Description_i]]), "", LogTable2024[[#This Row],[Original Description_i]]), LogTable2024[[#This Row],[Original Description_o]])</f>
        <v>USAA P&amp;C         AUTOPAY    ***********4530</v>
      </c>
      <c r="Q49" t="str">
        <f>IF( ISBLANK(LogTable2024[[#This Row],[Category_o]]), IF(ISBLANK(LogTable2024[[#This Row],[Category_i]]), "", LogTable2024[[#This Row],[Category_i]]), LogTable2024[[#This Row],[Category_o]])</f>
        <v>Financial</v>
      </c>
      <c r="R49" s="10">
        <f>IF( ISBLANK(LogTable2024[[#This Row],[Amount_o]]), IF(ISBLANK(LogTable2024[[#This Row],[Amount_i]]), "", LogTable2024[[#This Row],[Amount_i]]), LogTable2024[[#This Row],[Amount_o]])</f>
        <v>-190.19</v>
      </c>
      <c r="S49" s="1" t="str">
        <f>IF( ISBLANK(LogTable2024[[#This Row],[Status_o]]), IF(ISBLANK(LogTable2024[[#This Row],[Status_i]]), "", LogTable2024[[#This Row],[Status_i]]), LogTable2024[[#This Row],[Status_o]])</f>
        <v>Posted</v>
      </c>
      <c r="T49" t="s">
        <v>282</v>
      </c>
      <c r="U49" t="str">
        <f>IF( _xlfn.IFNA(MATCH(LogTable2024[[#This Row],[My Category]], Buckets!$D$4:$D$35, 0), FALSE), ".", "E")</f>
        <v>.</v>
      </c>
    </row>
    <row r="50" spans="1:22" hidden="1" x14ac:dyDescent="0.25">
      <c r="A50" s="4">
        <v>45362</v>
      </c>
      <c r="B50" s="5" t="s">
        <v>455</v>
      </c>
      <c r="C50" s="5" t="s">
        <v>456</v>
      </c>
      <c r="D50" s="5" t="s">
        <v>218</v>
      </c>
      <c r="E50" s="5">
        <v>-500</v>
      </c>
      <c r="F50" s="5" t="s">
        <v>9</v>
      </c>
      <c r="G50" s="5" t="s">
        <v>269</v>
      </c>
      <c r="H50" s="5"/>
      <c r="I50" s="5"/>
      <c r="J50" s="5"/>
      <c r="K50" s="5"/>
      <c r="L50" s="5"/>
      <c r="M50" s="5"/>
      <c r="N50" s="1">
        <f>IF( ISBLANK(LogTable2024[[#This Row],[Date_o]]), IF(ISBLANK(LogTable2024[[#This Row],[Date_i]]), "", LogTable2024[[#This Row],[Date_i]]), LogTable2024[[#This Row],[Date_o]])</f>
        <v>45362</v>
      </c>
      <c r="O50" t="str">
        <f>IF( ISBLANK(LogTable2024[[#This Row],[Description_o]]), IF(ISBLANK(LogTable2024[[#This Row],[Description_i]]), "", LogTable2024[[#This Row],[Description_i]]), LogTable2024[[#This Row],[Description_o]])</f>
        <v>Advs Ed Serv Studntloan</v>
      </c>
      <c r="P50" t="str">
        <f>IF( ISBLANK(LogTable2024[[#This Row],[Original Description_o]]), IF(ISBLANK(LogTable2024[[#This Row],[Original Description_i]]), "", LogTable2024[[#This Row],[Original Description_i]]), LogTable2024[[#This Row],[Original Description_o]])</f>
        <v>ADVS ED SERV PPD STUDNTLOAN ***********0000</v>
      </c>
      <c r="Q50" t="str">
        <f>IF( ISBLANK(LogTable2024[[#This Row],[Category_o]]), IF(ISBLANK(LogTable2024[[#This Row],[Category_i]]), "", LogTable2024[[#This Row],[Category_i]]), LogTable2024[[#This Row],[Category_o]])</f>
        <v>Student Loan</v>
      </c>
      <c r="R50" s="10">
        <f>IF( ISBLANK(LogTable2024[[#This Row],[Amount_o]]), IF(ISBLANK(LogTable2024[[#This Row],[Amount_i]]), "", LogTable2024[[#This Row],[Amount_i]]), LogTable2024[[#This Row],[Amount_o]])</f>
        <v>-500</v>
      </c>
      <c r="S50" s="1" t="str">
        <f>IF( ISBLANK(LogTable2024[[#This Row],[Status_o]]), IF(ISBLANK(LogTable2024[[#This Row],[Status_i]]), "", LogTable2024[[#This Row],[Status_i]]), LogTable2024[[#This Row],[Status_o]])</f>
        <v>Posted</v>
      </c>
      <c r="T50" t="s">
        <v>285</v>
      </c>
      <c r="U50" t="str">
        <f>IF( _xlfn.IFNA(MATCH(LogTable2024[[#This Row],[My Category]], Buckets!$D$4:$D$35, 0), FALSE), ".", "E")</f>
        <v>.</v>
      </c>
      <c r="V50" t="s">
        <v>361</v>
      </c>
    </row>
    <row r="51" spans="1:22" hidden="1" x14ac:dyDescent="0.25">
      <c r="A51" s="4">
        <v>45362</v>
      </c>
      <c r="B51" s="5" t="s">
        <v>207</v>
      </c>
      <c r="C51" s="5" t="s">
        <v>208</v>
      </c>
      <c r="D51" s="5" t="s">
        <v>209</v>
      </c>
      <c r="E51" s="5">
        <v>-11.9</v>
      </c>
      <c r="F51" s="5" t="s">
        <v>9</v>
      </c>
      <c r="G51" s="5" t="s">
        <v>269</v>
      </c>
      <c r="H51" s="5"/>
      <c r="I51" s="5"/>
      <c r="J51" s="5"/>
      <c r="K51" s="5"/>
      <c r="L51" s="5"/>
      <c r="M51" s="5"/>
      <c r="N51" s="1">
        <f>IF( ISBLANK(LogTable2024[[#This Row],[Date_o]]), IF(ISBLANK(LogTable2024[[#This Row],[Date_i]]), "", LogTable2024[[#This Row],[Date_i]]), LogTable2024[[#This Row],[Date_o]])</f>
        <v>45362</v>
      </c>
      <c r="O51" t="str">
        <f>IF( ISBLANK(LogTable2024[[#This Row],[Description_o]]), IF(ISBLANK(LogTable2024[[#This Row],[Description_i]]), "", LogTable2024[[#This Row],[Description_i]]), LogTable2024[[#This Row],[Description_o]])</f>
        <v>Spotify</v>
      </c>
      <c r="P51" t="str">
        <f>IF( ISBLANK(LogTable2024[[#This Row],[Original Description_o]]), IF(ISBLANK(LogTable2024[[#This Row],[Original Description_i]]), "", LogTable2024[[#This Row],[Original Description_i]]), LogTable2024[[#This Row],[Original Description_o]])</f>
        <v>PAYPAL           INST XFER  ***********USAI</v>
      </c>
      <c r="Q51" t="str">
        <f>IF( ISBLANK(LogTable2024[[#This Row],[Category_o]]), IF(ISBLANK(LogTable2024[[#This Row],[Category_i]]), "", LogTable2024[[#This Row],[Category_i]]), LogTable2024[[#This Row],[Category_o]])</f>
        <v>Music</v>
      </c>
      <c r="R51" s="10">
        <f>IF( ISBLANK(LogTable2024[[#This Row],[Amount_o]]), IF(ISBLANK(LogTable2024[[#This Row],[Amount_i]]), "", LogTable2024[[#This Row],[Amount_i]]), LogTable2024[[#This Row],[Amount_o]])</f>
        <v>-11.9</v>
      </c>
      <c r="S51" s="1" t="str">
        <f>IF( ISBLANK(LogTable2024[[#This Row],[Status_o]]), IF(ISBLANK(LogTable2024[[#This Row],[Status_i]]), "", LogTable2024[[#This Row],[Status_i]]), LogTable2024[[#This Row],[Status_o]])</f>
        <v>Posted</v>
      </c>
      <c r="T51" t="s">
        <v>464</v>
      </c>
      <c r="U51" t="str">
        <f>IF( _xlfn.IFNA(MATCH(LogTable2024[[#This Row],[My Category]], Buckets!$D$4:$D$35, 0), FALSE), ".", "E")</f>
        <v>.</v>
      </c>
    </row>
    <row r="52" spans="1:22" hidden="1" x14ac:dyDescent="0.25">
      <c r="A52" s="4">
        <v>45362</v>
      </c>
      <c r="B52" s="5" t="s">
        <v>492</v>
      </c>
      <c r="C52" s="5" t="s">
        <v>493</v>
      </c>
      <c r="D52" s="5" t="s">
        <v>21</v>
      </c>
      <c r="E52" s="5">
        <v>-19.579999999999998</v>
      </c>
      <c r="F52" s="5" t="s">
        <v>9</v>
      </c>
      <c r="G52" s="5" t="s">
        <v>195</v>
      </c>
      <c r="H52" s="5"/>
      <c r="I52" s="5"/>
      <c r="J52" s="5"/>
      <c r="K52" s="5"/>
      <c r="L52" s="5"/>
      <c r="M52" s="5"/>
      <c r="N52" s="1">
        <f>IF( ISBLANK(LogTable2024[[#This Row],[Date_o]]), IF(ISBLANK(LogTable2024[[#This Row],[Date_i]]), "", LogTable2024[[#This Row],[Date_i]]), LogTable2024[[#This Row],[Date_o]])</f>
        <v>45362</v>
      </c>
      <c r="O52" t="str">
        <f>IF( ISBLANK(LogTable2024[[#This Row],[Description_o]]), IF(ISBLANK(LogTable2024[[#This Row],[Description_i]]), "", LogTable2024[[#This Row],[Description_i]]), LogTable2024[[#This Row],[Description_o]])</f>
        <v>Tokyo Teriyaki</v>
      </c>
      <c r="P52" t="str">
        <f>IF( ISBLANK(LogTable2024[[#This Row],[Original Description_o]]), IF(ISBLANK(LogTable2024[[#This Row],[Original Description_i]]), "", LogTable2024[[#This Row],[Original Description_i]]), LogTable2024[[#This Row],[Original Description_o]])</f>
        <v>TOKYO TERIYAKI           NORTHGLENN   CO</v>
      </c>
      <c r="Q52" t="str">
        <f>IF( ISBLANK(LogTable2024[[#This Row],[Category_o]]), IF(ISBLANK(LogTable2024[[#This Row],[Category_i]]), "", LogTable2024[[#This Row],[Category_i]]), LogTable2024[[#This Row],[Category_o]])</f>
        <v>Restaurants</v>
      </c>
      <c r="R52" s="10">
        <f>IF( ISBLANK(LogTable2024[[#This Row],[Amount_o]]), IF(ISBLANK(LogTable2024[[#This Row],[Amount_i]]), "", LogTable2024[[#This Row],[Amount_i]]), LogTable2024[[#This Row],[Amount_o]])</f>
        <v>-19.579999999999998</v>
      </c>
      <c r="S52" s="1" t="str">
        <f>IF( ISBLANK(LogTable2024[[#This Row],[Status_o]]), IF(ISBLANK(LogTable2024[[#This Row],[Status_i]]), "", LogTable2024[[#This Row],[Status_i]]), LogTable2024[[#This Row],[Status_o]])</f>
        <v>Posted</v>
      </c>
      <c r="T52" t="s">
        <v>292</v>
      </c>
      <c r="U52" t="str">
        <f>IF( _xlfn.IFNA(MATCH(LogTable2024[[#This Row],[My Category]], Buckets!$D$4:$D$35, 0), FALSE), ".", "E")</f>
        <v>.</v>
      </c>
    </row>
    <row r="53" spans="1:22" hidden="1" x14ac:dyDescent="0.25">
      <c r="A53" s="4">
        <v>45361</v>
      </c>
      <c r="B53" s="5" t="s">
        <v>13</v>
      </c>
      <c r="C53" s="5" t="s">
        <v>14</v>
      </c>
      <c r="D53" s="5" t="s">
        <v>15</v>
      </c>
      <c r="E53" s="5">
        <v>-87.45</v>
      </c>
      <c r="F53" s="5" t="s">
        <v>9</v>
      </c>
      <c r="G53" s="5" t="s">
        <v>195</v>
      </c>
      <c r="H53" s="5"/>
      <c r="I53" s="5"/>
      <c r="J53" s="5"/>
      <c r="K53" s="5"/>
      <c r="L53" s="5"/>
      <c r="M53" s="5"/>
      <c r="N53" s="1">
        <f>IF( ISBLANK(LogTable2024[[#This Row],[Date_o]]), IF(ISBLANK(LogTable2024[[#This Row],[Date_i]]), "", LogTable2024[[#This Row],[Date_i]]), LogTable2024[[#This Row],[Date_o]])</f>
        <v>45361</v>
      </c>
      <c r="O53" t="str">
        <f>IF( ISBLANK(LogTable2024[[#This Row],[Description_o]]), IF(ISBLANK(LogTable2024[[#This Row],[Description_i]]), "", LogTable2024[[#This Row],[Description_i]]), LogTable2024[[#This Row],[Description_o]])</f>
        <v>King Soopers</v>
      </c>
      <c r="P53" t="str">
        <f>IF( ISBLANK(LogTable2024[[#This Row],[Original Description_o]]), IF(ISBLANK(LogTable2024[[#This Row],[Original Description_i]]), "", LogTable2024[[#This Row],[Original Description_i]]), LogTable2024[[#This Row],[Original Description_o]])</f>
        <v>KING SOOPERS #0057       WHEAT RIDGE  CO</v>
      </c>
      <c r="Q53" t="str">
        <f>IF( ISBLANK(LogTable2024[[#This Row],[Category_o]]), IF(ISBLANK(LogTable2024[[#This Row],[Category_i]]), "", LogTable2024[[#This Row],[Category_i]]), LogTable2024[[#This Row],[Category_o]])</f>
        <v>Groceries</v>
      </c>
      <c r="R53" s="10">
        <f>IF( ISBLANK(LogTable2024[[#This Row],[Amount_o]]), IF(ISBLANK(LogTable2024[[#This Row],[Amount_i]]), "", LogTable2024[[#This Row],[Amount_i]]), LogTable2024[[#This Row],[Amount_o]])</f>
        <v>-87.45</v>
      </c>
      <c r="S53" s="1" t="str">
        <f>IF( ISBLANK(LogTable2024[[#This Row],[Status_o]]), IF(ISBLANK(LogTable2024[[#This Row],[Status_i]]), "", LogTable2024[[#This Row],[Status_i]]), LogTable2024[[#This Row],[Status_o]])</f>
        <v>Posted</v>
      </c>
      <c r="T53" t="s">
        <v>15</v>
      </c>
      <c r="U53" t="str">
        <f>IF( _xlfn.IFNA(MATCH(LogTable2024[[#This Row],[My Category]], Buckets!$D$4:$D$35, 0), FALSE), ".", "E")</f>
        <v>.</v>
      </c>
    </row>
    <row r="54" spans="1:22" hidden="1" x14ac:dyDescent="0.25">
      <c r="A54" s="4">
        <v>45361</v>
      </c>
      <c r="B54" s="5" t="s">
        <v>410</v>
      </c>
      <c r="C54" s="5" t="s">
        <v>411</v>
      </c>
      <c r="D54" s="5" t="s">
        <v>35</v>
      </c>
      <c r="E54" s="5">
        <v>-15.7</v>
      </c>
      <c r="F54" s="5" t="s">
        <v>9</v>
      </c>
      <c r="G54" s="5" t="s">
        <v>195</v>
      </c>
      <c r="H54" s="5"/>
      <c r="I54" s="5"/>
      <c r="J54" s="5"/>
      <c r="K54" s="5"/>
      <c r="L54" s="5"/>
      <c r="M54" s="5"/>
      <c r="N54" s="1">
        <f>IF( ISBLANK(LogTable2024[[#This Row],[Date_o]]), IF(ISBLANK(LogTable2024[[#This Row],[Date_i]]), "", LogTable2024[[#This Row],[Date_i]]), LogTable2024[[#This Row],[Date_o]])</f>
        <v>45361</v>
      </c>
      <c r="O54" t="str">
        <f>IF( ISBLANK(LogTable2024[[#This Row],[Description_o]]), IF(ISBLANK(LogTable2024[[#This Row],[Description_i]]), "", LogTable2024[[#This Row],[Description_i]]), LogTable2024[[#This Row],[Description_o]])</f>
        <v>The Grateful Gnome</v>
      </c>
      <c r="P54" t="str">
        <f>IF( ISBLANK(LogTable2024[[#This Row],[Original Description_o]]), IF(ISBLANK(LogTable2024[[#This Row],[Original Description_i]]), "", LogTable2024[[#This Row],[Original Description_i]]), LogTable2024[[#This Row],[Original Description_o]])</f>
        <v>THE GRATEFUL GNOME       973-8858125  CO</v>
      </c>
      <c r="Q54" t="str">
        <f>IF( ISBLANK(LogTable2024[[#This Row],[Category_o]]), IF(ISBLANK(LogTable2024[[#This Row],[Category_i]]), "", LogTable2024[[#This Row],[Category_i]]), LogTable2024[[#This Row],[Category_o]])</f>
        <v>Alcohol &amp; Bars</v>
      </c>
      <c r="R54" s="10">
        <f>IF( ISBLANK(LogTable2024[[#This Row],[Amount_o]]), IF(ISBLANK(LogTable2024[[#This Row],[Amount_i]]), "", LogTable2024[[#This Row],[Amount_i]]), LogTable2024[[#This Row],[Amount_o]])</f>
        <v>-15.7</v>
      </c>
      <c r="S54" s="1" t="str">
        <f>IF( ISBLANK(LogTable2024[[#This Row],[Status_o]]), IF(ISBLANK(LogTable2024[[#This Row],[Status_i]]), "", LogTable2024[[#This Row],[Status_i]]), LogTable2024[[#This Row],[Status_o]])</f>
        <v>Posted</v>
      </c>
      <c r="T54" t="s">
        <v>292</v>
      </c>
      <c r="U54" t="str">
        <f>IF( _xlfn.IFNA(MATCH(LogTable2024[[#This Row],[My Category]], Buckets!$D$4:$D$35, 0), FALSE), ".", "E")</f>
        <v>.</v>
      </c>
    </row>
    <row r="55" spans="1:22" hidden="1" x14ac:dyDescent="0.25">
      <c r="A55" s="4">
        <v>45358</v>
      </c>
      <c r="B55" s="5" t="s">
        <v>509</v>
      </c>
      <c r="C55" s="5" t="s">
        <v>510</v>
      </c>
      <c r="D55" s="5" t="s">
        <v>107</v>
      </c>
      <c r="E55" s="5">
        <v>-229.83</v>
      </c>
      <c r="F55" s="5" t="s">
        <v>9</v>
      </c>
      <c r="G55" s="5" t="s">
        <v>269</v>
      </c>
      <c r="H55" s="5"/>
      <c r="I55" s="5"/>
      <c r="J55" s="5"/>
      <c r="K55" s="5"/>
      <c r="L55" s="5"/>
      <c r="M55" s="5"/>
      <c r="N55" s="1">
        <f>IF( ISBLANK(LogTable2024[[#This Row],[Date_o]]), IF(ISBLANK(LogTable2024[[#This Row],[Date_i]]), "", LogTable2024[[#This Row],[Date_i]]), LogTable2024[[#This Row],[Date_o]])</f>
        <v>45358</v>
      </c>
      <c r="O55" t="str">
        <f>IF( ISBLANK(LogTable2024[[#This Row],[Description_o]]), IF(ISBLANK(LogTable2024[[#This Row],[Description_i]]), "", LogTable2024[[#This Row],[Description_i]]), LogTable2024[[#This Row],[Description_o]])</f>
        <v>Cornerstoneapart Web Lyf</v>
      </c>
      <c r="P55" t="str">
        <f>IF( ISBLANK(LogTable2024[[#This Row],[Original Description_o]]), IF(ISBLANK(LogTable2024[[#This Row],[Original Description_i]]), "", LogTable2024[[#This Row],[Original Description_i]]), LogTable2024[[#This Row],[Original Description_o]])</f>
        <v>CORNERSTONEAPART WEB PMTS   ***********1LYF</v>
      </c>
      <c r="Q55" t="str">
        <f>IF( ISBLANK(LogTable2024[[#This Row],[Category_o]]), IF(ISBLANK(LogTable2024[[#This Row],[Category_i]]), "", LogTable2024[[#This Row],[Category_i]]), LogTable2024[[#This Row],[Category_o]])</f>
        <v>Uncategorized</v>
      </c>
      <c r="R55" s="10">
        <f>IF( ISBLANK(LogTable2024[[#This Row],[Amount_o]]), IF(ISBLANK(LogTable2024[[#This Row],[Amount_i]]), "", LogTable2024[[#This Row],[Amount_i]]), LogTable2024[[#This Row],[Amount_o]])</f>
        <v>-229.83</v>
      </c>
      <c r="S55" s="1" t="str">
        <f>IF( ISBLANK(LogTable2024[[#This Row],[Status_o]]), IF(ISBLANK(LogTable2024[[#This Row],[Status_i]]), "", LogTable2024[[#This Row],[Status_i]]), LogTable2024[[#This Row],[Status_o]])</f>
        <v>Posted</v>
      </c>
      <c r="T55" t="s">
        <v>293</v>
      </c>
      <c r="U55" t="str">
        <f>IF( _xlfn.IFNA(MATCH(LogTable2024[[#This Row],[My Category]], Buckets!$D$4:$D$35, 0), FALSE), ".", "E")</f>
        <v>.</v>
      </c>
    </row>
    <row r="56" spans="1:22" hidden="1" x14ac:dyDescent="0.25">
      <c r="A56" s="4">
        <v>45358</v>
      </c>
      <c r="B56" s="5" t="s">
        <v>48</v>
      </c>
      <c r="C56" s="5" t="s">
        <v>49</v>
      </c>
      <c r="D56" s="5" t="s">
        <v>47</v>
      </c>
      <c r="E56" s="5">
        <v>-32.14</v>
      </c>
      <c r="F56" s="5" t="s">
        <v>9</v>
      </c>
      <c r="G56" s="5" t="s">
        <v>195</v>
      </c>
      <c r="H56" s="5"/>
      <c r="I56" s="5"/>
      <c r="J56" s="5"/>
      <c r="K56" s="5"/>
      <c r="L56" s="5"/>
      <c r="M56" s="5"/>
      <c r="N56" s="1">
        <f>IF( ISBLANK(LogTable2024[[#This Row],[Date_o]]), IF(ISBLANK(LogTable2024[[#This Row],[Date_i]]), "", LogTable2024[[#This Row],[Date_i]]), LogTable2024[[#This Row],[Date_o]])</f>
        <v>45358</v>
      </c>
      <c r="O56" t="str">
        <f>IF( ISBLANK(LogTable2024[[#This Row],[Description_o]]), IF(ISBLANK(LogTable2024[[#This Row],[Description_i]]), "", LogTable2024[[#This Row],[Description_i]]), LogTable2024[[#This Row],[Description_o]])</f>
        <v>Cosmos Pizza Federal</v>
      </c>
      <c r="P56" t="str">
        <f>IF( ISBLANK(LogTable2024[[#This Row],[Original Description_o]]), IF(ISBLANK(LogTable2024[[#This Row],[Original Description_i]]), "", LogTable2024[[#This Row],[Original Description_i]]), LogTable2024[[#This Row],[Original Description_o]])</f>
        <v>COSMOS PIZZA - FEDERAL   DENVER       CO</v>
      </c>
      <c r="Q56" t="str">
        <f>IF( ISBLANK(LogTable2024[[#This Row],[Category_o]]), IF(ISBLANK(LogTable2024[[#This Row],[Category_i]]), "", LogTable2024[[#This Row],[Category_i]]), LogTable2024[[#This Row],[Category_o]])</f>
        <v>Food &amp; Dining</v>
      </c>
      <c r="R56" s="10">
        <f>IF( ISBLANK(LogTable2024[[#This Row],[Amount_o]]), IF(ISBLANK(LogTable2024[[#This Row],[Amount_i]]), "", LogTable2024[[#This Row],[Amount_i]]), LogTable2024[[#This Row],[Amount_o]])</f>
        <v>-32.14</v>
      </c>
      <c r="S56" s="1" t="str">
        <f>IF( ISBLANK(LogTable2024[[#This Row],[Status_o]]), IF(ISBLANK(LogTable2024[[#This Row],[Status_i]]), "", LogTable2024[[#This Row],[Status_i]]), LogTable2024[[#This Row],[Status_o]])</f>
        <v>Posted</v>
      </c>
      <c r="T56" t="s">
        <v>292</v>
      </c>
      <c r="U56" t="str">
        <f>IF( _xlfn.IFNA(MATCH(LogTable2024[[#This Row],[My Category]], Buckets!$D$4:$D$35, 0), FALSE), ".", "E")</f>
        <v>.</v>
      </c>
    </row>
    <row r="57" spans="1:22" hidden="1" x14ac:dyDescent="0.25">
      <c r="A57" s="4">
        <v>45358</v>
      </c>
      <c r="B57" s="5" t="s">
        <v>59</v>
      </c>
      <c r="C57" s="5" t="s">
        <v>60</v>
      </c>
      <c r="D57" s="5" t="s">
        <v>61</v>
      </c>
      <c r="E57" s="5">
        <v>-30</v>
      </c>
      <c r="F57" s="5" t="s">
        <v>9</v>
      </c>
      <c r="G57" s="5" t="s">
        <v>195</v>
      </c>
      <c r="H57" s="5"/>
      <c r="I57" s="5"/>
      <c r="J57" s="5"/>
      <c r="K57" s="5"/>
      <c r="L57" s="5"/>
      <c r="M57" s="5"/>
      <c r="N57" s="1">
        <f>IF( ISBLANK(LogTable2024[[#This Row],[Date_o]]), IF(ISBLANK(LogTable2024[[#This Row],[Date_i]]), "", LogTable2024[[#This Row],[Date_i]]), LogTable2024[[#This Row],[Date_o]])</f>
        <v>45358</v>
      </c>
      <c r="O57" t="str">
        <f>IF( ISBLANK(LogTable2024[[#This Row],[Description_o]]), IF(ISBLANK(LogTable2024[[#This Row],[Description_i]]), "", LogTable2024[[#This Row],[Description_i]]), LogTable2024[[#This Row],[Description_o]])</f>
        <v>Nature Conservancy</v>
      </c>
      <c r="P57" t="str">
        <f>IF( ISBLANK(LogTable2024[[#This Row],[Original Description_o]]), IF(ISBLANK(LogTable2024[[#This Row],[Original Description_i]]), "", LogTable2024[[#This Row],[Original Description_i]]), LogTable2024[[#This Row],[Original Description_o]])</f>
        <v>Nature Conservancy       800-6286860  VA</v>
      </c>
      <c r="Q57" t="str">
        <f>IF( ISBLANK(LogTable2024[[#This Row],[Category_o]]), IF(ISBLANK(LogTable2024[[#This Row],[Category_i]]), "", LogTable2024[[#This Row],[Category_i]]), LogTable2024[[#This Row],[Category_o]])</f>
        <v>Gifts &amp; Donations</v>
      </c>
      <c r="R57" s="10">
        <f>IF( ISBLANK(LogTable2024[[#This Row],[Amount_o]]), IF(ISBLANK(LogTable2024[[#This Row],[Amount_i]]), "", LogTable2024[[#This Row],[Amount_i]]), LogTable2024[[#This Row],[Amount_o]])</f>
        <v>-30</v>
      </c>
      <c r="S57" s="1" t="str">
        <f>IF( ISBLANK(LogTable2024[[#This Row],[Status_o]]), IF(ISBLANK(LogTable2024[[#This Row],[Status_i]]), "", LogTable2024[[#This Row],[Status_i]]), LogTable2024[[#This Row],[Status_o]])</f>
        <v>Posted</v>
      </c>
      <c r="T57" t="s">
        <v>465</v>
      </c>
      <c r="U57" t="str">
        <f>IF( _xlfn.IFNA(MATCH(LogTable2024[[#This Row],[My Category]], Buckets!$D$4:$D$35, 0), FALSE), ".", "E")</f>
        <v>.</v>
      </c>
    </row>
    <row r="58" spans="1:22" hidden="1" x14ac:dyDescent="0.25">
      <c r="A58" s="4">
        <v>45357</v>
      </c>
      <c r="B58" s="5" t="s">
        <v>64</v>
      </c>
      <c r="C58" s="5" t="s">
        <v>65</v>
      </c>
      <c r="D58" s="5" t="s">
        <v>39</v>
      </c>
      <c r="E58" s="5">
        <v>-26.36</v>
      </c>
      <c r="F58" s="5" t="s">
        <v>9</v>
      </c>
      <c r="G58" s="5" t="s">
        <v>195</v>
      </c>
      <c r="H58" s="5"/>
      <c r="I58" s="5"/>
      <c r="J58" s="5"/>
      <c r="K58" s="5"/>
      <c r="L58" s="5"/>
      <c r="M58" s="5"/>
      <c r="N58" s="1">
        <f>IF( ISBLANK(LogTable2024[[#This Row],[Date_o]]), IF(ISBLANK(LogTable2024[[#This Row],[Date_i]]), "", LogTable2024[[#This Row],[Date_i]]), LogTable2024[[#This Row],[Date_o]])</f>
        <v>45357</v>
      </c>
      <c r="O58" t="str">
        <f>IF( ISBLANK(LogTable2024[[#This Row],[Description_o]]), IF(ISBLANK(LogTable2024[[#This Row],[Description_i]]), "", LogTable2024[[#This Row],[Description_i]]), LogTable2024[[#This Row],[Description_o]])</f>
        <v>Conoco</v>
      </c>
      <c r="P58" t="str">
        <f>IF( ISBLANK(LogTable2024[[#This Row],[Original Description_o]]), IF(ISBLANK(LogTable2024[[#This Row],[Original Description_i]]), "", LogTable2024[[#This Row],[Original Description_i]]), LogTable2024[[#This Row],[Original Description_o]])</f>
        <v>CONOCO - SEI 25325       WESTMINSTER  CO</v>
      </c>
      <c r="Q58" t="str">
        <f>IF( ISBLANK(LogTable2024[[#This Row],[Category_o]]), IF(ISBLANK(LogTable2024[[#This Row],[Category_i]]), "", LogTable2024[[#This Row],[Category_i]]), LogTable2024[[#This Row],[Category_o]])</f>
        <v>Gas</v>
      </c>
      <c r="R58" s="10">
        <f>IF( ISBLANK(LogTable2024[[#This Row],[Amount_o]]), IF(ISBLANK(LogTable2024[[#This Row],[Amount_i]]), "", LogTable2024[[#This Row],[Amount_i]]), LogTable2024[[#This Row],[Amount_o]])</f>
        <v>-26.36</v>
      </c>
      <c r="S58" s="1" t="str">
        <f>IF( ISBLANK(LogTable2024[[#This Row],[Status_o]]), IF(ISBLANK(LogTable2024[[#This Row],[Status_i]]), "", LogTable2024[[#This Row],[Status_i]]), LogTable2024[[#This Row],[Status_o]])</f>
        <v>Posted</v>
      </c>
      <c r="T58" t="s">
        <v>462</v>
      </c>
      <c r="U58" t="str">
        <f>IF( _xlfn.IFNA(MATCH(LogTable2024[[#This Row],[My Category]], Buckets!$D$4:$D$35, 0), FALSE), ".", "E")</f>
        <v>.</v>
      </c>
    </row>
    <row r="59" spans="1:22" hidden="1" x14ac:dyDescent="0.25">
      <c r="A59" s="4">
        <v>45357</v>
      </c>
      <c r="B59" s="5" t="s">
        <v>62</v>
      </c>
      <c r="C59" s="5" t="s">
        <v>63</v>
      </c>
      <c r="D59" s="5" t="s">
        <v>27</v>
      </c>
      <c r="E59" s="5">
        <v>-12.67</v>
      </c>
      <c r="F59" s="5" t="s">
        <v>9</v>
      </c>
      <c r="G59" s="5" t="s">
        <v>195</v>
      </c>
      <c r="H59" s="5"/>
      <c r="I59" s="5"/>
      <c r="J59" s="5"/>
      <c r="K59" s="5"/>
      <c r="L59" s="5"/>
      <c r="M59" s="5"/>
      <c r="N59" s="1">
        <f>IF( ISBLANK(LogTable2024[[#This Row],[Date_o]]), IF(ISBLANK(LogTable2024[[#This Row],[Date_i]]), "", LogTable2024[[#This Row],[Date_i]]), LogTable2024[[#This Row],[Date_o]])</f>
        <v>45357</v>
      </c>
      <c r="O59" t="str">
        <f>IF( ISBLANK(LogTable2024[[#This Row],[Description_o]]), IF(ISBLANK(LogTable2024[[#This Row],[Description_i]]), "", LogTable2024[[#This Row],[Description_i]]), LogTable2024[[#This Row],[Description_o]])</f>
        <v>Jersey Mike's Subs</v>
      </c>
      <c r="P59" t="str">
        <f>IF( ISBLANK(LogTable2024[[#This Row],[Original Description_o]]), IF(ISBLANK(LogTable2024[[#This Row],[Original Description_i]]), "", LogTable2024[[#This Row],[Original Description_i]]), LogTable2024[[#This Row],[Original Description_o]])</f>
        <v>JERSEY MIKES 22003       WESTMINSTER  CO</v>
      </c>
      <c r="Q59" t="str">
        <f>IF( ISBLANK(LogTable2024[[#This Row],[Category_o]]), IF(ISBLANK(LogTable2024[[#This Row],[Category_i]]), "", LogTable2024[[#This Row],[Category_i]]), LogTable2024[[#This Row],[Category_o]])</f>
        <v>Fast Food</v>
      </c>
      <c r="R59" s="10">
        <f>IF( ISBLANK(LogTable2024[[#This Row],[Amount_o]]), IF(ISBLANK(LogTable2024[[#This Row],[Amount_i]]), "", LogTable2024[[#This Row],[Amount_i]]), LogTable2024[[#This Row],[Amount_o]])</f>
        <v>-12.67</v>
      </c>
      <c r="S59" s="1" t="str">
        <f>IF( ISBLANK(LogTable2024[[#This Row],[Status_o]]), IF(ISBLANK(LogTable2024[[#This Row],[Status_i]]), "", LogTable2024[[#This Row],[Status_i]]), LogTable2024[[#This Row],[Status_o]])</f>
        <v>Posted</v>
      </c>
      <c r="T59" t="s">
        <v>292</v>
      </c>
      <c r="U59" t="str">
        <f>IF( _xlfn.IFNA(MATCH(LogTable2024[[#This Row],[My Category]], Buckets!$D$4:$D$35, 0), FALSE), ".", "E")</f>
        <v>.</v>
      </c>
    </row>
    <row r="60" spans="1:22" hidden="1" x14ac:dyDescent="0.25">
      <c r="A60" s="4">
        <v>45355</v>
      </c>
      <c r="B60" s="5" t="s">
        <v>219</v>
      </c>
      <c r="C60" s="5" t="s">
        <v>511</v>
      </c>
      <c r="D60" s="5" t="s">
        <v>107</v>
      </c>
      <c r="E60" s="5">
        <v>-1945</v>
      </c>
      <c r="F60" s="5" t="s">
        <v>9</v>
      </c>
      <c r="G60" s="5" t="s">
        <v>269</v>
      </c>
      <c r="H60" s="5"/>
      <c r="I60" s="5"/>
      <c r="J60" s="5"/>
      <c r="K60" s="5"/>
      <c r="L60" s="5"/>
      <c r="M60" s="5"/>
      <c r="N60" s="1">
        <f>IF( ISBLANK(LogTable2024[[#This Row],[Date_o]]), IF(ISBLANK(LogTable2024[[#This Row],[Date_i]]), "", LogTable2024[[#This Row],[Date_i]]), LogTable2024[[#This Row],[Date_o]])</f>
        <v>45355</v>
      </c>
      <c r="O60" t="str">
        <f>IF( ISBLANK(LogTable2024[[#This Row],[Description_o]]), IF(ISBLANK(LogTable2024[[#This Row],[Description_i]]), "", LogTable2024[[#This Row],[Description_i]]), LogTable2024[[#This Row],[Description_o]])</f>
        <v>Cornerstoneapart Web</v>
      </c>
      <c r="P60" t="str">
        <f>IF( ISBLANK(LogTable2024[[#This Row],[Original Description_o]]), IF(ISBLANK(LogTable2024[[#This Row],[Original Description_i]]), "", LogTable2024[[#This Row],[Original Description_i]]), LogTable2024[[#This Row],[Original Description_o]])</f>
        <v>CORNERSTONEAPART WEB PMTS   ***********0WVF</v>
      </c>
      <c r="Q60" t="str">
        <f>IF( ISBLANK(LogTable2024[[#This Row],[Category_o]]), IF(ISBLANK(LogTable2024[[#This Row],[Category_i]]), "", LogTable2024[[#This Row],[Category_i]]), LogTable2024[[#This Row],[Category_o]])</f>
        <v>Uncategorized</v>
      </c>
      <c r="R60" s="10">
        <f>IF( ISBLANK(LogTable2024[[#This Row],[Amount_o]]), IF(ISBLANK(LogTable2024[[#This Row],[Amount_i]]), "", LogTable2024[[#This Row],[Amount_i]]), LogTable2024[[#This Row],[Amount_o]])</f>
        <v>-1945</v>
      </c>
      <c r="S60" s="1" t="str">
        <f>IF( ISBLANK(LogTable2024[[#This Row],[Status_o]]), IF(ISBLANK(LogTable2024[[#This Row],[Status_i]]), "", LogTable2024[[#This Row],[Status_i]]), LogTable2024[[#This Row],[Status_o]])</f>
        <v>Posted</v>
      </c>
      <c r="T60" t="s">
        <v>293</v>
      </c>
      <c r="U60" t="str">
        <f>IF( _xlfn.IFNA(MATCH(LogTable2024[[#This Row],[My Category]], Buckets!$D$4:$D$35, 0), FALSE), ".", "E")</f>
        <v>.</v>
      </c>
    </row>
    <row r="61" spans="1:22" hidden="1" x14ac:dyDescent="0.25">
      <c r="A61" s="4">
        <v>45355</v>
      </c>
      <c r="B61" s="5" t="s">
        <v>66</v>
      </c>
      <c r="C61" s="5" t="s">
        <v>67</v>
      </c>
      <c r="D61" s="5" t="s">
        <v>68</v>
      </c>
      <c r="E61" s="5">
        <v>-35</v>
      </c>
      <c r="F61" s="5" t="s">
        <v>9</v>
      </c>
      <c r="G61" s="5" t="s">
        <v>195</v>
      </c>
      <c r="H61" s="5"/>
      <c r="I61" s="5"/>
      <c r="J61" s="5"/>
      <c r="K61" s="5"/>
      <c r="L61" s="5"/>
      <c r="M61" s="5"/>
      <c r="N61" s="1">
        <f>IF( ISBLANK(LogTable2024[[#This Row],[Date_o]]), IF(ISBLANK(LogTable2024[[#This Row],[Date_i]]), "", LogTable2024[[#This Row],[Date_i]]), LogTable2024[[#This Row],[Date_o]])</f>
        <v>45355</v>
      </c>
      <c r="O61" t="str">
        <f>IF( ISBLANK(LogTable2024[[#This Row],[Description_o]]), IF(ISBLANK(LogTable2024[[#This Row],[Description_i]]), "", LogTable2024[[#This Row],[Description_i]]), LogTable2024[[#This Row],[Description_o]])</f>
        <v>T-Mobile</v>
      </c>
      <c r="P61" t="str">
        <f>IF( ISBLANK(LogTable2024[[#This Row],[Original Description_o]]), IF(ISBLANK(LogTable2024[[#This Row],[Original Description_i]]), "", LogTable2024[[#This Row],[Original Description_i]]), LogTable2024[[#This Row],[Original Description_o]])</f>
        <v>TMOBILE*AUTO PAY         800-937-8997 WA</v>
      </c>
      <c r="Q61" t="str">
        <f>IF( ISBLANK(LogTable2024[[#This Row],[Category_o]]), IF(ISBLANK(LogTable2024[[#This Row],[Category_i]]), "", LogTable2024[[#This Row],[Category_i]]), LogTable2024[[#This Row],[Category_o]])</f>
        <v>Mobile Phone</v>
      </c>
      <c r="R61" s="10">
        <f>IF( ISBLANK(LogTable2024[[#This Row],[Amount_o]]), IF(ISBLANK(LogTable2024[[#This Row],[Amount_i]]), "", LogTable2024[[#This Row],[Amount_i]]), LogTable2024[[#This Row],[Amount_o]])</f>
        <v>-35</v>
      </c>
      <c r="S61" s="1" t="str">
        <f>IF( ISBLANK(LogTable2024[[#This Row],[Status_o]]), IF(ISBLANK(LogTable2024[[#This Row],[Status_i]]), "", LogTable2024[[#This Row],[Status_i]]), LogTable2024[[#This Row],[Status_o]])</f>
        <v>Posted</v>
      </c>
      <c r="T61" t="s">
        <v>215</v>
      </c>
      <c r="U61" t="str">
        <f>IF( _xlfn.IFNA(MATCH(LogTable2024[[#This Row],[My Category]], Buckets!$D$4:$D$35, 0), FALSE), ".", "E")</f>
        <v>.</v>
      </c>
    </row>
    <row r="62" spans="1:22" hidden="1" x14ac:dyDescent="0.25">
      <c r="A62" s="4">
        <v>45354</v>
      </c>
      <c r="B62" s="5" t="s">
        <v>494</v>
      </c>
      <c r="C62" s="5" t="s">
        <v>495</v>
      </c>
      <c r="D62" s="5" t="s">
        <v>21</v>
      </c>
      <c r="E62" s="5">
        <v>-21.69</v>
      </c>
      <c r="F62" s="5" t="s">
        <v>9</v>
      </c>
      <c r="G62" s="5" t="s">
        <v>195</v>
      </c>
      <c r="H62" s="5"/>
      <c r="I62" s="5"/>
      <c r="J62" s="5"/>
      <c r="K62" s="5"/>
      <c r="L62" s="5"/>
      <c r="M62" s="5"/>
      <c r="N62" s="1">
        <f>IF( ISBLANK(LogTable2024[[#This Row],[Date_o]]), IF(ISBLANK(LogTable2024[[#This Row],[Date_i]]), "", LogTable2024[[#This Row],[Date_i]]), LogTable2024[[#This Row],[Date_o]])</f>
        <v>45354</v>
      </c>
      <c r="O62" t="str">
        <f>IF( ISBLANK(LogTable2024[[#This Row],[Description_o]]), IF(ISBLANK(LogTable2024[[#This Row],[Description_i]]), "", LogTable2024[[#This Row],[Description_i]]), LogTable2024[[#This Row],[Description_o]])</f>
        <v>Flower Child</v>
      </c>
      <c r="P62" t="str">
        <f>IF( ISBLANK(LogTable2024[[#This Row],[Original Description_o]]), IF(ISBLANK(LogTable2024[[#This Row],[Original Description_i]]), "", LogTable2024[[#This Row],[Original Description_i]]), LogTable2024[[#This Row],[Original Description_o]])</f>
        <v>FLOWER CHILD BOULDER     BOULDER      CO</v>
      </c>
      <c r="Q62" t="str">
        <f>IF( ISBLANK(LogTable2024[[#This Row],[Category_o]]), IF(ISBLANK(LogTable2024[[#This Row],[Category_i]]), "", LogTable2024[[#This Row],[Category_i]]), LogTable2024[[#This Row],[Category_o]])</f>
        <v>Restaurants</v>
      </c>
      <c r="R62" s="10">
        <f>IF( ISBLANK(LogTable2024[[#This Row],[Amount_o]]), IF(ISBLANK(LogTable2024[[#This Row],[Amount_i]]), "", LogTable2024[[#This Row],[Amount_i]]), LogTable2024[[#This Row],[Amount_o]])</f>
        <v>-21.69</v>
      </c>
      <c r="S62" s="1" t="str">
        <f>IF( ISBLANK(LogTable2024[[#This Row],[Status_o]]), IF(ISBLANK(LogTable2024[[#This Row],[Status_i]]), "", LogTable2024[[#This Row],[Status_i]]), LogTable2024[[#This Row],[Status_o]])</f>
        <v>Posted</v>
      </c>
      <c r="T62" t="s">
        <v>292</v>
      </c>
      <c r="U62" t="str">
        <f>IF( _xlfn.IFNA(MATCH(LogTable2024[[#This Row],[My Category]], Buckets!$D$4:$D$35, 0), FALSE), ".", "E")</f>
        <v>.</v>
      </c>
    </row>
    <row r="63" spans="1:22" hidden="1" x14ac:dyDescent="0.25">
      <c r="A63" s="4">
        <v>45354</v>
      </c>
      <c r="B63" s="5" t="s">
        <v>496</v>
      </c>
      <c r="C63" s="5" t="s">
        <v>497</v>
      </c>
      <c r="D63" s="5" t="s">
        <v>498</v>
      </c>
      <c r="E63" s="5">
        <v>-24.2</v>
      </c>
      <c r="F63" s="5" t="s">
        <v>9</v>
      </c>
      <c r="G63" s="5" t="s">
        <v>195</v>
      </c>
      <c r="H63" s="5"/>
      <c r="I63" s="5"/>
      <c r="J63" s="5"/>
      <c r="K63" s="5"/>
      <c r="L63" s="5"/>
      <c r="M63" s="5"/>
      <c r="N63" s="1">
        <f>IF( ISBLANK(LogTable2024[[#This Row],[Date_o]]), IF(ISBLANK(LogTable2024[[#This Row],[Date_i]]), "", LogTable2024[[#This Row],[Date_i]]), LogTable2024[[#This Row],[Date_o]])</f>
        <v>45354</v>
      </c>
      <c r="O63" t="str">
        <f>IF( ISBLANK(LogTable2024[[#This Row],[Description_o]]), IF(ISBLANK(LogTable2024[[#This Row],[Description_i]]), "", LogTable2024[[#This Row],[Description_i]]), LogTable2024[[#This Row],[Description_o]])</f>
        <v>Gleam Car Wash</v>
      </c>
      <c r="P63" t="str">
        <f>IF( ISBLANK(LogTable2024[[#This Row],[Original Description_o]]), IF(ISBLANK(LogTable2024[[#This Row],[Original Description_i]]), "", LogTable2024[[#This Row],[Original Description_i]]), LogTable2024[[#This Row],[Original Description_o]])</f>
        <v>GLEAM CAR WASH           DENVER       CO</v>
      </c>
      <c r="Q63" t="str">
        <f>IF( ISBLANK(LogTable2024[[#This Row],[Category_o]]), IF(ISBLANK(LogTable2024[[#This Row],[Category_i]]), "", LogTable2024[[#This Row],[Category_i]]), LogTable2024[[#This Row],[Category_o]])</f>
        <v>Service &amp; Parts</v>
      </c>
      <c r="R63" s="10">
        <f>IF( ISBLANK(LogTable2024[[#This Row],[Amount_o]]), IF(ISBLANK(LogTable2024[[#This Row],[Amount_i]]), "", LogTable2024[[#This Row],[Amount_i]]), LogTable2024[[#This Row],[Amount_o]])</f>
        <v>-24.2</v>
      </c>
      <c r="S63" s="1" t="str">
        <f>IF( ISBLANK(LogTable2024[[#This Row],[Status_o]]), IF(ISBLANK(LogTable2024[[#This Row],[Status_i]]), "", LogTable2024[[#This Row],[Status_i]]), LogTable2024[[#This Row],[Status_o]])</f>
        <v>Posted</v>
      </c>
      <c r="T63" t="s">
        <v>462</v>
      </c>
      <c r="U63" t="str">
        <f>IF( _xlfn.IFNA(MATCH(LogTable2024[[#This Row],[My Category]], Buckets!$D$4:$D$35, 0), FALSE), ".", "E")</f>
        <v>.</v>
      </c>
    </row>
    <row r="64" spans="1:22" hidden="1" x14ac:dyDescent="0.25">
      <c r="A64" s="4">
        <v>45354</v>
      </c>
      <c r="B64" s="5" t="s">
        <v>13</v>
      </c>
      <c r="C64" s="5" t="s">
        <v>14</v>
      </c>
      <c r="D64" s="5" t="s">
        <v>15</v>
      </c>
      <c r="E64" s="5">
        <v>-143.41</v>
      </c>
      <c r="F64" s="5" t="s">
        <v>9</v>
      </c>
      <c r="G64" s="5" t="s">
        <v>195</v>
      </c>
      <c r="H64" s="5"/>
      <c r="I64" s="5"/>
      <c r="J64" s="5"/>
      <c r="K64" s="5"/>
      <c r="L64" s="5"/>
      <c r="M64" s="5"/>
      <c r="N64" s="1">
        <f>IF( ISBLANK(LogTable2024[[#This Row],[Date_o]]), IF(ISBLANK(LogTable2024[[#This Row],[Date_i]]), "", LogTable2024[[#This Row],[Date_i]]), LogTable2024[[#This Row],[Date_o]])</f>
        <v>45354</v>
      </c>
      <c r="O64" t="str">
        <f>IF( ISBLANK(LogTable2024[[#This Row],[Description_o]]), IF(ISBLANK(LogTable2024[[#This Row],[Description_i]]), "", LogTable2024[[#This Row],[Description_i]]), LogTable2024[[#This Row],[Description_o]])</f>
        <v>King Soopers</v>
      </c>
      <c r="P64" t="str">
        <f>IF( ISBLANK(LogTable2024[[#This Row],[Original Description_o]]), IF(ISBLANK(LogTable2024[[#This Row],[Original Description_i]]), "", LogTable2024[[#This Row],[Original Description_i]]), LogTable2024[[#This Row],[Original Description_o]])</f>
        <v>KING SOOPERS #0057       WHEAT RIDGE  CO</v>
      </c>
      <c r="Q64" t="str">
        <f>IF( ISBLANK(LogTable2024[[#This Row],[Category_o]]), IF(ISBLANK(LogTable2024[[#This Row],[Category_i]]), "", LogTable2024[[#This Row],[Category_i]]), LogTable2024[[#This Row],[Category_o]])</f>
        <v>Groceries</v>
      </c>
      <c r="R64" s="10">
        <f>IF( ISBLANK(LogTable2024[[#This Row],[Amount_o]]), IF(ISBLANK(LogTable2024[[#This Row],[Amount_i]]), "", LogTable2024[[#This Row],[Amount_i]]), LogTable2024[[#This Row],[Amount_o]])</f>
        <v>-143.41</v>
      </c>
      <c r="S64" s="1" t="str">
        <f>IF( ISBLANK(LogTable2024[[#This Row],[Status_o]]), IF(ISBLANK(LogTable2024[[#This Row],[Status_i]]), "", LogTable2024[[#This Row],[Status_i]]), LogTable2024[[#This Row],[Status_o]])</f>
        <v>Posted</v>
      </c>
      <c r="T64" t="s">
        <v>15</v>
      </c>
      <c r="U64" t="str">
        <f>IF( _xlfn.IFNA(MATCH(LogTable2024[[#This Row],[My Category]], Buckets!$D$4:$D$35, 0), FALSE), ".", "E")</f>
        <v>.</v>
      </c>
    </row>
    <row r="65" spans="1:22" hidden="1" x14ac:dyDescent="0.25">
      <c r="A65" s="4">
        <v>45350</v>
      </c>
      <c r="B65" s="5" t="s">
        <v>196</v>
      </c>
      <c r="C65" s="5" t="s">
        <v>197</v>
      </c>
      <c r="D65" s="5" t="s">
        <v>198</v>
      </c>
      <c r="E65" s="5">
        <v>5616.04</v>
      </c>
      <c r="F65" s="5" t="s">
        <v>9</v>
      </c>
      <c r="G65" s="5" t="s">
        <v>269</v>
      </c>
      <c r="H65" s="5"/>
      <c r="I65" s="5"/>
      <c r="J65" s="5"/>
      <c r="K65" s="5"/>
      <c r="L65" s="5"/>
      <c r="M65" s="5"/>
      <c r="N65" s="1">
        <f>IF( ISBLANK(LogTable2024[[#This Row],[Date_o]]), IF(ISBLANK(LogTable2024[[#This Row],[Date_i]]), "", LogTable2024[[#This Row],[Date_i]]), LogTable2024[[#This Row],[Date_o]])</f>
        <v>45350</v>
      </c>
      <c r="O65" t="str">
        <f>IF( ISBLANK(LogTable2024[[#This Row],[Description_o]]), IF(ISBLANK(LogTable2024[[#This Row],[Description_i]]), "", LogTable2024[[#This Row],[Description_i]]), LogTable2024[[#This Row],[Description_o]])</f>
        <v>Insperity</v>
      </c>
      <c r="P65" t="str">
        <f>IF( ISBLANK(LogTable2024[[#This Row],[Original Description_o]]), IF(ISBLANK(LogTable2024[[#This Row],[Original Description_i]]), "", LogTable2024[[#This Row],[Original Description_i]]), LogTable2024[[#This Row],[Original Description_o]])</f>
        <v>ASF, DBA Insperi PAYROLL    ***********5626</v>
      </c>
      <c r="Q65" t="str">
        <f>IF( ISBLANK(LogTable2024[[#This Row],[Category_o]]), IF(ISBLANK(LogTable2024[[#This Row],[Category_i]]), "", LogTable2024[[#This Row],[Category_i]]), LogTable2024[[#This Row],[Category_o]])</f>
        <v>Paycheck</v>
      </c>
      <c r="R65" s="10">
        <f>IF( ISBLANK(LogTable2024[[#This Row],[Amount_o]]), IF(ISBLANK(LogTable2024[[#This Row],[Amount_i]]), "", LogTable2024[[#This Row],[Amount_i]]), LogTable2024[[#This Row],[Amount_o]])</f>
        <v>5616.04</v>
      </c>
      <c r="S65" s="1" t="str">
        <f>IF( ISBLANK(LogTable2024[[#This Row],[Status_o]]), IF(ISBLANK(LogTable2024[[#This Row],[Status_i]]), "", LogTable2024[[#This Row],[Status_i]]), LogTable2024[[#This Row],[Status_o]])</f>
        <v>Posted</v>
      </c>
      <c r="T65" t="s">
        <v>305</v>
      </c>
      <c r="U65" t="str">
        <f>IF( _xlfn.IFNA(MATCH(LogTable2024[[#This Row],[My Category]], Buckets!$D$4:$D$35, 0), FALSE), ".", "E")</f>
        <v>.</v>
      </c>
    </row>
    <row r="66" spans="1:22" hidden="1" x14ac:dyDescent="0.25">
      <c r="A66" s="4">
        <v>45348</v>
      </c>
      <c r="B66" s="5" t="s">
        <v>201</v>
      </c>
      <c r="C66" s="5" t="s">
        <v>202</v>
      </c>
      <c r="D66" s="5" t="s">
        <v>203</v>
      </c>
      <c r="E66" s="5">
        <v>0.1</v>
      </c>
      <c r="F66" s="5" t="s">
        <v>9</v>
      </c>
      <c r="G66" s="5" t="s">
        <v>269</v>
      </c>
      <c r="H66" s="5"/>
      <c r="I66" s="5"/>
      <c r="J66" s="5"/>
      <c r="K66" s="5"/>
      <c r="L66" s="5"/>
      <c r="M66" s="5"/>
      <c r="N66" s="1">
        <f>IF( ISBLANK(LogTable2024[[#This Row],[Date_o]]), IF(ISBLANK(LogTable2024[[#This Row],[Date_i]]), "", LogTable2024[[#This Row],[Date_i]]), LogTable2024[[#This Row],[Date_o]])</f>
        <v>45348</v>
      </c>
      <c r="O66" t="str">
        <f>IF( ISBLANK(LogTable2024[[#This Row],[Description_o]]), IF(ISBLANK(LogTable2024[[#This Row],[Description_i]]), "", LogTable2024[[#This Row],[Description_i]]), LogTable2024[[#This Row],[Description_o]])</f>
        <v>Interest Paid</v>
      </c>
      <c r="P66" t="str">
        <f>IF( ISBLANK(LogTable2024[[#This Row],[Original Description_o]]), IF(ISBLANK(LogTable2024[[#This Row],[Original Description_i]]), "", LogTable2024[[#This Row],[Original Description_i]]), LogTable2024[[#This Row],[Original Description_o]])</f>
        <v>INTEREST PAID</v>
      </c>
      <c r="Q66" t="str">
        <f>IF( ISBLANK(LogTable2024[[#This Row],[Category_o]]), IF(ISBLANK(LogTable2024[[#This Row],[Category_i]]), "", LogTable2024[[#This Row],[Category_i]]), LogTable2024[[#This Row],[Category_o]])</f>
        <v>Interest Income</v>
      </c>
      <c r="R66" s="10">
        <f>IF( ISBLANK(LogTable2024[[#This Row],[Amount_o]]), IF(ISBLANK(LogTable2024[[#This Row],[Amount_i]]), "", LogTable2024[[#This Row],[Amount_i]]), LogTable2024[[#This Row],[Amount_o]])</f>
        <v>0.1</v>
      </c>
      <c r="S66" s="1" t="str">
        <f>IF( ISBLANK(LogTable2024[[#This Row],[Status_o]]), IF(ISBLANK(LogTable2024[[#This Row],[Status_i]]), "", LogTable2024[[#This Row],[Status_i]]), LogTable2024[[#This Row],[Status_o]])</f>
        <v>Posted</v>
      </c>
      <c r="T66" t="s">
        <v>306</v>
      </c>
      <c r="U66" t="str">
        <f>IF( _xlfn.IFNA(MATCH(LogTable2024[[#This Row],[My Category]], Buckets!$D$4:$D$35, 0), FALSE), ".", "E")</f>
        <v>.</v>
      </c>
    </row>
    <row r="67" spans="1:22" hidden="1" x14ac:dyDescent="0.25">
      <c r="A67" s="4">
        <v>45348</v>
      </c>
      <c r="B67" s="5" t="s">
        <v>25</v>
      </c>
      <c r="C67" s="5" t="s">
        <v>26</v>
      </c>
      <c r="D67" s="5" t="s">
        <v>27</v>
      </c>
      <c r="E67" s="5">
        <v>-14.53</v>
      </c>
      <c r="F67" s="5" t="s">
        <v>9</v>
      </c>
      <c r="G67" s="5" t="s">
        <v>195</v>
      </c>
      <c r="H67" s="5"/>
      <c r="I67" s="5"/>
      <c r="J67" s="5"/>
      <c r="K67" s="5"/>
      <c r="L67" s="5"/>
      <c r="M67" s="5"/>
      <c r="N67" s="1">
        <f>IF( ISBLANK(LogTable2024[[#This Row],[Date_o]]), IF(ISBLANK(LogTable2024[[#This Row],[Date_i]]), "", LogTable2024[[#This Row],[Date_i]]), LogTable2024[[#This Row],[Date_o]])</f>
        <v>45348</v>
      </c>
      <c r="O67" t="str">
        <f>IF( ISBLANK(LogTable2024[[#This Row],[Description_o]]), IF(ISBLANK(LogTable2024[[#This Row],[Description_i]]), "", LogTable2024[[#This Row],[Description_i]]), LogTable2024[[#This Row],[Description_o]])</f>
        <v>Qdoba</v>
      </c>
      <c r="P67" t="str">
        <f>IF( ISBLANK(LogTable2024[[#This Row],[Original Description_o]]), IF(ISBLANK(LogTable2024[[#This Row],[Original Description_i]]), "", LogTable2024[[#This Row],[Original Description_i]]), LogTable2024[[#This Row],[Original Description_o]])</f>
        <v>QDOBA 2063               WESTMINSTER  CA</v>
      </c>
      <c r="Q67" t="str">
        <f>IF( ISBLANK(LogTable2024[[#This Row],[Category_o]]), IF(ISBLANK(LogTable2024[[#This Row],[Category_i]]), "", LogTable2024[[#This Row],[Category_i]]), LogTable2024[[#This Row],[Category_o]])</f>
        <v>Fast Food</v>
      </c>
      <c r="R67" s="10">
        <f>IF( ISBLANK(LogTable2024[[#This Row],[Amount_o]]), IF(ISBLANK(LogTable2024[[#This Row],[Amount_i]]), "", LogTable2024[[#This Row],[Amount_i]]), LogTable2024[[#This Row],[Amount_o]])</f>
        <v>-14.53</v>
      </c>
      <c r="S67" s="1" t="str">
        <f>IF( ISBLANK(LogTable2024[[#This Row],[Status_o]]), IF(ISBLANK(LogTable2024[[#This Row],[Status_i]]), "", LogTable2024[[#This Row],[Status_i]]), LogTable2024[[#This Row],[Status_o]])</f>
        <v>Posted</v>
      </c>
      <c r="T67" t="s">
        <v>292</v>
      </c>
      <c r="U67" t="str">
        <f>IF( _xlfn.IFNA(MATCH(LogTable2024[[#This Row],[My Category]], Buckets!$D$4:$D$35, 0), FALSE), ".", "E")</f>
        <v>.</v>
      </c>
    </row>
    <row r="68" spans="1:22" hidden="1" x14ac:dyDescent="0.25">
      <c r="A68" s="4">
        <v>45345</v>
      </c>
      <c r="B68" s="5" t="s">
        <v>471</v>
      </c>
      <c r="C68" s="5" t="s">
        <v>472</v>
      </c>
      <c r="D68" s="5" t="s">
        <v>21</v>
      </c>
      <c r="E68" s="5">
        <v>-18.37</v>
      </c>
      <c r="F68" s="5" t="s">
        <v>9</v>
      </c>
      <c r="G68" s="5" t="s">
        <v>195</v>
      </c>
      <c r="H68" s="5"/>
      <c r="I68" s="5"/>
      <c r="J68" s="5"/>
      <c r="K68" s="5"/>
      <c r="L68" s="5"/>
      <c r="M68" s="5"/>
      <c r="N68" s="1">
        <f>IF( ISBLANK(LogTable2024[[#This Row],[Date_o]]), IF(ISBLANK(LogTable2024[[#This Row],[Date_i]]), "", LogTable2024[[#This Row],[Date_i]]), LogTable2024[[#This Row],[Date_o]])</f>
        <v>45345</v>
      </c>
      <c r="O68" t="str">
        <f>IF( ISBLANK(LogTable2024[[#This Row],[Description_o]]), IF(ISBLANK(LogTable2024[[#This Row],[Description_i]]), "", LogTable2024[[#This Row],[Description_i]]), LogTable2024[[#This Row],[Description_o]])</f>
        <v>Los Dos Potrillos</v>
      </c>
      <c r="P68" t="str">
        <f>IF( ISBLANK(LogTable2024[[#This Row],[Original Description_o]]), IF(ISBLANK(LogTable2024[[#This Row],[Original Description_i]]), "", LogTable2024[[#This Row],[Original Description_i]]), LogTable2024[[#This Row],[Original Description_o]])</f>
        <v>TST* LOS DOS POTRILLOS - Northglenn   CO</v>
      </c>
      <c r="Q68" t="str">
        <f>IF( ISBLANK(LogTable2024[[#This Row],[Category_o]]), IF(ISBLANK(LogTable2024[[#This Row],[Category_i]]), "", LogTable2024[[#This Row],[Category_i]]), LogTable2024[[#This Row],[Category_o]])</f>
        <v>Restaurants</v>
      </c>
      <c r="R68" s="10">
        <f>IF( ISBLANK(LogTable2024[[#This Row],[Amount_o]]), IF(ISBLANK(LogTable2024[[#This Row],[Amount_i]]), "", LogTable2024[[#This Row],[Amount_i]]), LogTable2024[[#This Row],[Amount_o]])</f>
        <v>-18.37</v>
      </c>
      <c r="S68" s="1" t="str">
        <f>IF( ISBLANK(LogTable2024[[#This Row],[Status_o]]), IF(ISBLANK(LogTable2024[[#This Row],[Status_i]]), "", LogTable2024[[#This Row],[Status_i]]), LogTable2024[[#This Row],[Status_o]])</f>
        <v>Posted</v>
      </c>
      <c r="T68" t="s">
        <v>292</v>
      </c>
      <c r="U68" t="str">
        <f>IF( _xlfn.IFNA(MATCH(LogTable2024[[#This Row],[My Category]], Buckets!$D$4:$D$35, 0), FALSE), ".", "E")</f>
        <v>.</v>
      </c>
    </row>
    <row r="69" spans="1:22" hidden="1" x14ac:dyDescent="0.25">
      <c r="A69" s="4">
        <v>45343</v>
      </c>
      <c r="B69" s="5" t="s">
        <v>13</v>
      </c>
      <c r="C69" s="5" t="s">
        <v>14</v>
      </c>
      <c r="D69" s="5" t="s">
        <v>15</v>
      </c>
      <c r="E69" s="5">
        <v>-63.92</v>
      </c>
      <c r="F69" s="5" t="s">
        <v>9</v>
      </c>
      <c r="G69" s="5" t="s">
        <v>195</v>
      </c>
      <c r="H69" s="5"/>
      <c r="I69" s="5"/>
      <c r="J69" s="5"/>
      <c r="K69" s="5"/>
      <c r="L69" s="5"/>
      <c r="M69" s="5"/>
      <c r="N69" s="1">
        <f>IF( ISBLANK(LogTable2024[[#This Row],[Date_o]]), IF(ISBLANK(LogTable2024[[#This Row],[Date_i]]), "", LogTable2024[[#This Row],[Date_i]]), LogTable2024[[#This Row],[Date_o]])</f>
        <v>45343</v>
      </c>
      <c r="O69" t="str">
        <f>IF( ISBLANK(LogTable2024[[#This Row],[Description_o]]), IF(ISBLANK(LogTable2024[[#This Row],[Description_i]]), "", LogTable2024[[#This Row],[Description_i]]), LogTable2024[[#This Row],[Description_o]])</f>
        <v>King Soopers</v>
      </c>
      <c r="P69" t="str">
        <f>IF( ISBLANK(LogTable2024[[#This Row],[Original Description_o]]), IF(ISBLANK(LogTable2024[[#This Row],[Original Description_i]]), "", LogTable2024[[#This Row],[Original Description_i]]), LogTable2024[[#This Row],[Original Description_o]])</f>
        <v>KING SOOPERS #0057       WHEAT RIDGE  CO</v>
      </c>
      <c r="Q69" t="str">
        <f>IF( ISBLANK(LogTable2024[[#This Row],[Category_o]]), IF(ISBLANK(LogTable2024[[#This Row],[Category_i]]), "", LogTable2024[[#This Row],[Category_i]]), LogTable2024[[#This Row],[Category_o]])</f>
        <v>Groceries</v>
      </c>
      <c r="R69" s="10">
        <f>IF( ISBLANK(LogTable2024[[#This Row],[Amount_o]]), IF(ISBLANK(LogTable2024[[#This Row],[Amount_i]]), "", LogTable2024[[#This Row],[Amount_i]]), LogTable2024[[#This Row],[Amount_o]])</f>
        <v>-63.92</v>
      </c>
      <c r="S69" s="1" t="str">
        <f>IF( ISBLANK(LogTable2024[[#This Row],[Status_o]]), IF(ISBLANK(LogTable2024[[#This Row],[Status_i]]), "", LogTable2024[[#This Row],[Status_i]]), LogTable2024[[#This Row],[Status_o]])</f>
        <v>Posted</v>
      </c>
      <c r="T69" t="s">
        <v>15</v>
      </c>
      <c r="U69" t="str">
        <f>IF( _xlfn.IFNA(MATCH(LogTable2024[[#This Row],[My Category]], Buckets!$D$4:$D$35, 0), FALSE), ".", "E")</f>
        <v>.</v>
      </c>
    </row>
    <row r="70" spans="1:22" hidden="1" x14ac:dyDescent="0.25">
      <c r="A70" s="4">
        <v>45341</v>
      </c>
      <c r="B70" s="5" t="s">
        <v>108</v>
      </c>
      <c r="C70" s="5" t="s">
        <v>109</v>
      </c>
      <c r="D70" s="5" t="s">
        <v>186</v>
      </c>
      <c r="E70" s="5">
        <v>25</v>
      </c>
      <c r="F70" s="5" t="s">
        <v>9</v>
      </c>
      <c r="G70" s="5" t="s">
        <v>195</v>
      </c>
      <c r="H70" s="5"/>
      <c r="I70" s="5"/>
      <c r="J70" s="5"/>
      <c r="K70" s="5"/>
      <c r="L70" s="5"/>
      <c r="M70" s="5"/>
      <c r="N70" s="1">
        <f>IF( ISBLANK(LogTable2024[[#This Row],[Date_o]]), IF(ISBLANK(LogTable2024[[#This Row],[Date_i]]), "", LogTable2024[[#This Row],[Date_i]]), LogTable2024[[#This Row],[Date_o]])</f>
        <v>45341</v>
      </c>
      <c r="O70" t="str">
        <f>IF( ISBLANK(LogTable2024[[#This Row],[Description_o]]), IF(ISBLANK(LogTable2024[[#This Row],[Description_i]]), "", LogTable2024[[#This Row],[Description_i]]), LogTable2024[[#This Row],[Description_o]])</f>
        <v>Recurring Reward Points Redemption</v>
      </c>
      <c r="P70" t="str">
        <f>IF( ISBLANK(LogTable2024[[#This Row],[Original Description_o]]), IF(ISBLANK(LogTable2024[[#This Row],[Original Description_i]]), "", LogTable2024[[#This Row],[Original Description_i]]), LogTable2024[[#This Row],[Original Description_o]])</f>
        <v>RECURRING REWARD POINTS REDEMPTION</v>
      </c>
      <c r="Q70" t="str">
        <f>IF( ISBLANK(LogTable2024[[#This Row],[Category_o]]), IF(ISBLANK(LogTable2024[[#This Row],[Category_i]]), "", LogTable2024[[#This Row],[Category_i]]), LogTable2024[[#This Row],[Category_o]])</f>
        <v>Credit Card Payment</v>
      </c>
      <c r="R70" s="10">
        <f>IF( ISBLANK(LogTable2024[[#This Row],[Amount_o]]), IF(ISBLANK(LogTable2024[[#This Row],[Amount_i]]), "", LogTable2024[[#This Row],[Amount_i]]), LogTable2024[[#This Row],[Amount_o]])</f>
        <v>25</v>
      </c>
      <c r="S70" s="1" t="str">
        <f>IF( ISBLANK(LogTable2024[[#This Row],[Status_o]]), IF(ISBLANK(LogTable2024[[#This Row],[Status_i]]), "", LogTable2024[[#This Row],[Status_i]]), LogTable2024[[#This Row],[Status_o]])</f>
        <v>Posted</v>
      </c>
      <c r="T70" t="s">
        <v>306</v>
      </c>
      <c r="U70" t="str">
        <f>IF( _xlfn.IFNA(MATCH(LogTable2024[[#This Row],[My Category]], Buckets!$D$4:$D$35, 0), FALSE), ".", "E")</f>
        <v>.</v>
      </c>
    </row>
    <row r="71" spans="1:22" hidden="1" x14ac:dyDescent="0.25">
      <c r="A71" s="4">
        <v>45339</v>
      </c>
      <c r="B71" s="5" t="s">
        <v>100</v>
      </c>
      <c r="C71" s="5" t="s">
        <v>101</v>
      </c>
      <c r="D71" s="5" t="s">
        <v>32</v>
      </c>
      <c r="E71" s="5">
        <v>-2</v>
      </c>
      <c r="F71" s="5" t="s">
        <v>9</v>
      </c>
      <c r="G71" s="5" t="s">
        <v>195</v>
      </c>
      <c r="H71" s="5"/>
      <c r="I71" s="5"/>
      <c r="J71" s="5"/>
      <c r="K71" s="5"/>
      <c r="L71" s="5"/>
      <c r="M71" s="5"/>
      <c r="N71" s="1">
        <f>IF( ISBLANK(LogTable2024[[#This Row],[Date_o]]), IF(ISBLANK(LogTable2024[[#This Row],[Date_i]]), "", LogTable2024[[#This Row],[Date_i]]), LogTable2024[[#This Row],[Date_o]])</f>
        <v>45339</v>
      </c>
      <c r="O71" t="str">
        <f>IF( ISBLANK(LogTable2024[[#This Row],[Description_o]]), IF(ISBLANK(LogTable2024[[#This Row],[Description_i]]), "", LogTable2024[[#This Row],[Description_i]]), LogTable2024[[#This Row],[Description_o]])</f>
        <v>Patreon</v>
      </c>
      <c r="P71" t="str">
        <f>IF( ISBLANK(LogTable2024[[#This Row],[Original Description_o]]), IF(ISBLANK(LogTable2024[[#This Row],[Original Description_i]]), "", LogTable2024[[#This Row],[Original Description_i]]), LogTable2024[[#This Row],[Original Description_o]])</f>
        <v>PAYPAL *PATREON INC  MEMB402-935-7733 CA</v>
      </c>
      <c r="Q71" t="str">
        <f>IF( ISBLANK(LogTable2024[[#This Row],[Category_o]]), IF(ISBLANK(LogTable2024[[#This Row],[Category_i]]), "", LogTable2024[[#This Row],[Category_i]]), LogTable2024[[#This Row],[Category_o]])</f>
        <v>Entertainment</v>
      </c>
      <c r="R71" s="10">
        <f>IF( ISBLANK(LogTable2024[[#This Row],[Amount_o]]), IF(ISBLANK(LogTable2024[[#This Row],[Amount_i]]), "", LogTable2024[[#This Row],[Amount_i]]), LogTable2024[[#This Row],[Amount_o]])</f>
        <v>-2</v>
      </c>
      <c r="S71" s="1" t="str">
        <f>IF( ISBLANK(LogTable2024[[#This Row],[Status_o]]), IF(ISBLANK(LogTable2024[[#This Row],[Status_i]]), "", LogTable2024[[#This Row],[Status_i]]), LogTable2024[[#This Row],[Status_o]])</f>
        <v>Posted</v>
      </c>
      <c r="T71" t="s">
        <v>464</v>
      </c>
      <c r="U71" t="str">
        <f>IF( _xlfn.IFNA(MATCH(LogTable2024[[#This Row],[My Category]], Buckets!$D$4:$D$35, 0), FALSE), ".", "E")</f>
        <v>.</v>
      </c>
    </row>
    <row r="72" spans="1:22" hidden="1" x14ac:dyDescent="0.25">
      <c r="A72" s="4">
        <v>45337</v>
      </c>
      <c r="B72" s="5" t="s">
        <v>473</v>
      </c>
      <c r="C72" s="5" t="s">
        <v>474</v>
      </c>
      <c r="D72" s="5" t="s">
        <v>475</v>
      </c>
      <c r="E72" s="5">
        <v>-70</v>
      </c>
      <c r="F72" s="5" t="s">
        <v>9</v>
      </c>
      <c r="G72" s="5" t="s">
        <v>195</v>
      </c>
      <c r="H72" s="5"/>
      <c r="I72" s="5"/>
      <c r="J72" s="5"/>
      <c r="K72" s="5"/>
      <c r="L72" s="5"/>
      <c r="M72" s="5"/>
      <c r="N72" s="1">
        <f>IF( ISBLANK(LogTable2024[[#This Row],[Date_o]]), IF(ISBLANK(LogTable2024[[#This Row],[Date_i]]), "", LogTable2024[[#This Row],[Date_i]]), LogTable2024[[#This Row],[Date_o]])</f>
        <v>45337</v>
      </c>
      <c r="O72" t="str">
        <f>IF( ISBLANK(LogTable2024[[#This Row],[Description_o]]), IF(ISBLANK(LogTable2024[[#This Row],[Description_i]]), "", LogTable2024[[#This Row],[Description_i]]), LogTable2024[[#This Row],[Description_o]])</f>
        <v>Ah Mychart Medepay</v>
      </c>
      <c r="P72" t="str">
        <f>IF( ISBLANK(LogTable2024[[#This Row],[Original Description_o]]), IF(ISBLANK(LogTable2024[[#This Row],[Original Description_i]]), "", LogTable2024[[#This Row],[Original Description_i]]), LogTable2024[[#This Row],[Original Description_o]])</f>
        <v>AH MYCHART MEDEPAY       855-2412455  FL</v>
      </c>
      <c r="Q72" t="str">
        <f>IF( ISBLANK(LogTable2024[[#This Row],[Category_o]]), IF(ISBLANK(LogTable2024[[#This Row],[Category_i]]), "", LogTable2024[[#This Row],[Category_i]]), LogTable2024[[#This Row],[Category_o]])</f>
        <v>Doctor</v>
      </c>
      <c r="R72" s="10">
        <f>IF( ISBLANK(LogTable2024[[#This Row],[Amount_o]]), IF(ISBLANK(LogTable2024[[#This Row],[Amount_i]]), "", LogTable2024[[#This Row],[Amount_i]]), LogTable2024[[#This Row],[Amount_o]])</f>
        <v>-70</v>
      </c>
      <c r="S72" s="1" t="str">
        <f>IF( ISBLANK(LogTable2024[[#This Row],[Status_o]]), IF(ISBLANK(LogTable2024[[#This Row],[Status_i]]), "", LogTable2024[[#This Row],[Status_i]]), LogTable2024[[#This Row],[Status_o]])</f>
        <v>Posted</v>
      </c>
      <c r="T72" t="s">
        <v>301</v>
      </c>
      <c r="U72" t="str">
        <f>IF( _xlfn.IFNA(MATCH(LogTable2024[[#This Row],[My Category]], Buckets!$D$4:$D$35, 0), FALSE), ".", "E")</f>
        <v>.</v>
      </c>
    </row>
    <row r="73" spans="1:22" hidden="1" x14ac:dyDescent="0.25">
      <c r="A73" s="4">
        <v>45337</v>
      </c>
      <c r="B73" s="5" t="s">
        <v>13</v>
      </c>
      <c r="C73" s="5" t="s">
        <v>14</v>
      </c>
      <c r="D73" s="5" t="s">
        <v>15</v>
      </c>
      <c r="E73" s="5">
        <v>-14.43</v>
      </c>
      <c r="F73" s="5" t="s">
        <v>9</v>
      </c>
      <c r="G73" s="5" t="s">
        <v>195</v>
      </c>
      <c r="H73" s="5"/>
      <c r="I73" s="5"/>
      <c r="J73" s="5"/>
      <c r="K73" s="5"/>
      <c r="L73" s="5"/>
      <c r="M73" s="5"/>
      <c r="N73" s="1">
        <f>IF( ISBLANK(LogTable2024[[#This Row],[Date_o]]), IF(ISBLANK(LogTable2024[[#This Row],[Date_i]]), "", LogTable2024[[#This Row],[Date_i]]), LogTable2024[[#This Row],[Date_o]])</f>
        <v>45337</v>
      </c>
      <c r="O73" t="str">
        <f>IF( ISBLANK(LogTable2024[[#This Row],[Description_o]]), IF(ISBLANK(LogTable2024[[#This Row],[Description_i]]), "", LogTable2024[[#This Row],[Description_i]]), LogTable2024[[#This Row],[Description_o]])</f>
        <v>King Soopers</v>
      </c>
      <c r="P73" t="str">
        <f>IF( ISBLANK(LogTable2024[[#This Row],[Original Description_o]]), IF(ISBLANK(LogTable2024[[#This Row],[Original Description_i]]), "", LogTable2024[[#This Row],[Original Description_i]]), LogTable2024[[#This Row],[Original Description_o]])</f>
        <v>KING SOOPERS #0057       WHEAT RIDGE  CO</v>
      </c>
      <c r="Q73" t="str">
        <f>IF( ISBLANK(LogTable2024[[#This Row],[Category_o]]), IF(ISBLANK(LogTable2024[[#This Row],[Category_i]]), "", LogTable2024[[#This Row],[Category_i]]), LogTable2024[[#This Row],[Category_o]])</f>
        <v>Groceries</v>
      </c>
      <c r="R73" s="10">
        <f>IF( ISBLANK(LogTable2024[[#This Row],[Amount_o]]), IF(ISBLANK(LogTable2024[[#This Row],[Amount_i]]), "", LogTable2024[[#This Row],[Amount_i]]), LogTable2024[[#This Row],[Amount_o]])</f>
        <v>-14.43</v>
      </c>
      <c r="S73" s="1" t="str">
        <f>IF( ISBLANK(LogTable2024[[#This Row],[Status_o]]), IF(ISBLANK(LogTable2024[[#This Row],[Status_i]]), "", LogTable2024[[#This Row],[Status_i]]), LogTable2024[[#This Row],[Status_o]])</f>
        <v>Posted</v>
      </c>
      <c r="T73" t="s">
        <v>301</v>
      </c>
      <c r="U73" t="str">
        <f>IF( _xlfn.IFNA(MATCH(LogTable2024[[#This Row],[My Category]], Buckets!$D$4:$D$35, 0), FALSE), ".", "E")</f>
        <v>.</v>
      </c>
      <c r="V73" t="s">
        <v>512</v>
      </c>
    </row>
    <row r="74" spans="1:22" hidden="1" x14ac:dyDescent="0.25">
      <c r="A74" s="4">
        <v>45337</v>
      </c>
      <c r="B74" s="5" t="s">
        <v>13</v>
      </c>
      <c r="C74" s="5" t="s">
        <v>14</v>
      </c>
      <c r="D74" s="5" t="s">
        <v>15</v>
      </c>
      <c r="E74" s="5">
        <v>-11.51</v>
      </c>
      <c r="F74" s="5" t="s">
        <v>9</v>
      </c>
      <c r="G74" s="5" t="s">
        <v>195</v>
      </c>
      <c r="H74" s="5"/>
      <c r="I74" s="5"/>
      <c r="J74" s="5"/>
      <c r="K74" s="5"/>
      <c r="L74" s="5"/>
      <c r="M74" s="5"/>
      <c r="N74" s="1">
        <f>IF( ISBLANK(LogTable2024[[#This Row],[Date_o]]), IF(ISBLANK(LogTable2024[[#This Row],[Date_i]]), "", LogTable2024[[#This Row],[Date_i]]), LogTable2024[[#This Row],[Date_o]])</f>
        <v>45337</v>
      </c>
      <c r="O74" t="str">
        <f>IF( ISBLANK(LogTable2024[[#This Row],[Description_o]]), IF(ISBLANK(LogTable2024[[#This Row],[Description_i]]), "", LogTable2024[[#This Row],[Description_i]]), LogTable2024[[#This Row],[Description_o]])</f>
        <v>King Soopers</v>
      </c>
      <c r="P74" t="str">
        <f>IF( ISBLANK(LogTable2024[[#This Row],[Original Description_o]]), IF(ISBLANK(LogTable2024[[#This Row],[Original Description_i]]), "", LogTable2024[[#This Row],[Original Description_i]]), LogTable2024[[#This Row],[Original Description_o]])</f>
        <v>KING SOOPERS #0057       WHEAT RIDGE  CO</v>
      </c>
      <c r="Q74" t="str">
        <f>IF( ISBLANK(LogTable2024[[#This Row],[Category_o]]), IF(ISBLANK(LogTable2024[[#This Row],[Category_i]]), "", LogTable2024[[#This Row],[Category_i]]), LogTable2024[[#This Row],[Category_o]])</f>
        <v>Groceries</v>
      </c>
      <c r="R74" s="10">
        <f>IF( ISBLANK(LogTable2024[[#This Row],[Amount_o]]), IF(ISBLANK(LogTable2024[[#This Row],[Amount_i]]), "", LogTable2024[[#This Row],[Amount_i]]), LogTable2024[[#This Row],[Amount_o]])</f>
        <v>-11.51</v>
      </c>
      <c r="S74" s="1" t="str">
        <f>IF( ISBLANK(LogTable2024[[#This Row],[Status_o]]), IF(ISBLANK(LogTable2024[[#This Row],[Status_i]]), "", LogTable2024[[#This Row],[Status_i]]), LogTable2024[[#This Row],[Status_o]])</f>
        <v>Posted</v>
      </c>
      <c r="T74" t="s">
        <v>15</v>
      </c>
      <c r="U74" t="str">
        <f>IF( _xlfn.IFNA(MATCH(LogTable2024[[#This Row],[My Category]], Buckets!$D$4:$D$35, 0), FALSE), ".", "E")</f>
        <v>.</v>
      </c>
    </row>
    <row r="75" spans="1:22" hidden="1" x14ac:dyDescent="0.25">
      <c r="A75" s="4">
        <v>45336</v>
      </c>
      <c r="B75" s="5" t="s">
        <v>196</v>
      </c>
      <c r="C75" s="5" t="s">
        <v>197</v>
      </c>
      <c r="D75" s="5" t="s">
        <v>198</v>
      </c>
      <c r="E75" s="5">
        <v>1169.82</v>
      </c>
      <c r="F75" s="5" t="s">
        <v>9</v>
      </c>
      <c r="G75" s="5" t="s">
        <v>269</v>
      </c>
      <c r="H75" s="5"/>
      <c r="I75" s="5"/>
      <c r="J75" s="5"/>
      <c r="K75" s="5"/>
      <c r="L75" s="5"/>
      <c r="M75" s="5"/>
      <c r="N75" s="1">
        <f>IF( ISBLANK(LogTable2024[[#This Row],[Date_o]]), IF(ISBLANK(LogTable2024[[#This Row],[Date_i]]), "", LogTable2024[[#This Row],[Date_i]]), LogTable2024[[#This Row],[Date_o]])</f>
        <v>45336</v>
      </c>
      <c r="O75" t="str">
        <f>IF( ISBLANK(LogTable2024[[#This Row],[Description_o]]), IF(ISBLANK(LogTable2024[[#This Row],[Description_i]]), "", LogTable2024[[#This Row],[Description_i]]), LogTable2024[[#This Row],[Description_o]])</f>
        <v>Insperity</v>
      </c>
      <c r="P75" t="str">
        <f>IF( ISBLANK(LogTable2024[[#This Row],[Original Description_o]]), IF(ISBLANK(LogTable2024[[#This Row],[Original Description_i]]), "", LogTable2024[[#This Row],[Original Description_i]]), LogTable2024[[#This Row],[Original Description_o]])</f>
        <v>ASF, DBA Insperi PAYROLL    ***********5626</v>
      </c>
      <c r="Q75" t="str">
        <f>IF( ISBLANK(LogTable2024[[#This Row],[Category_o]]), IF(ISBLANK(LogTable2024[[#This Row],[Category_i]]), "", LogTable2024[[#This Row],[Category_i]]), LogTable2024[[#This Row],[Category_o]])</f>
        <v>Paycheck</v>
      </c>
      <c r="R75" s="10">
        <f>IF( ISBLANK(LogTable2024[[#This Row],[Amount_o]]), IF(ISBLANK(LogTable2024[[#This Row],[Amount_i]]), "", LogTable2024[[#This Row],[Amount_i]]), LogTable2024[[#This Row],[Amount_o]])</f>
        <v>1169.82</v>
      </c>
      <c r="S75" s="1" t="str">
        <f>IF( ISBLANK(LogTable2024[[#This Row],[Status_o]]), IF(ISBLANK(LogTable2024[[#This Row],[Status_i]]), "", LogTable2024[[#This Row],[Status_i]]), LogTable2024[[#This Row],[Status_o]])</f>
        <v>Posted</v>
      </c>
      <c r="T75" t="s">
        <v>306</v>
      </c>
      <c r="U75" t="str">
        <f>IF( _xlfn.IFNA(MATCH(LogTable2024[[#This Row],[My Category]], Buckets!$D$4:$D$35, 0), FALSE), ".", "E")</f>
        <v>.</v>
      </c>
      <c r="V75" t="s">
        <v>480</v>
      </c>
    </row>
    <row r="76" spans="1:22" x14ac:dyDescent="0.25">
      <c r="A76" s="4">
        <v>45336</v>
      </c>
      <c r="B76" s="5" t="s">
        <v>71</v>
      </c>
      <c r="C76" s="5" t="s">
        <v>228</v>
      </c>
      <c r="D76" s="5" t="s">
        <v>186</v>
      </c>
      <c r="E76" s="5">
        <v>-705.86</v>
      </c>
      <c r="F76" s="5" t="s">
        <v>9</v>
      </c>
      <c r="G76" s="5" t="s">
        <v>269</v>
      </c>
      <c r="H76" s="5"/>
      <c r="I76" s="5"/>
      <c r="J76" s="5"/>
      <c r="K76" s="5"/>
      <c r="L76" s="5"/>
      <c r="M76" s="5"/>
      <c r="N76" s="1">
        <f>IF( ISBLANK(LogTable2024[[#This Row],[Date_o]]), IF(ISBLANK(LogTable2024[[#This Row],[Date_i]]), "", LogTable2024[[#This Row],[Date_i]]), LogTable2024[[#This Row],[Date_o]])</f>
        <v>45336</v>
      </c>
      <c r="O76" t="str">
        <f>IF( ISBLANK(LogTable2024[[#This Row],[Description_o]]), IF(ISBLANK(LogTable2024[[#This Row],[Description_i]]), "", LogTable2024[[#This Row],[Description_i]]), LogTable2024[[#This Row],[Description_o]])</f>
        <v>USAA Credit Card</v>
      </c>
      <c r="P76" t="str">
        <f>IF( ISBLANK(LogTable2024[[#This Row],[Original Description_o]]), IF(ISBLANK(LogTable2024[[#This Row],[Original Description_i]]), "", LogTable2024[[#This Row],[Original Description_i]]), LogTable2024[[#This Row],[Original Description_o]])</f>
        <v>USAA CREDIT CARD PAYMENT</v>
      </c>
      <c r="Q76" t="str">
        <f>IF( ISBLANK(LogTable2024[[#This Row],[Category_o]]), IF(ISBLANK(LogTable2024[[#This Row],[Category_i]]), "", LogTable2024[[#This Row],[Category_i]]), LogTable2024[[#This Row],[Category_o]])</f>
        <v>Credit Card Payment</v>
      </c>
      <c r="R76" s="10">
        <f>IF( ISBLANK(LogTable2024[[#This Row],[Amount_o]]), IF(ISBLANK(LogTable2024[[#This Row],[Amount_i]]), "", LogTable2024[[#This Row],[Amount_i]]), LogTable2024[[#This Row],[Amount_o]])</f>
        <v>-705.86</v>
      </c>
      <c r="S76" s="1" t="str">
        <f>IF( ISBLANK(LogTable2024[[#This Row],[Status_o]]), IF(ISBLANK(LogTable2024[[#This Row],[Status_i]]), "", LogTable2024[[#This Row],[Status_i]]), LogTable2024[[#This Row],[Status_o]])</f>
        <v>Posted</v>
      </c>
      <c r="T76" t="s">
        <v>307</v>
      </c>
      <c r="U76" t="str">
        <f>IF( _xlfn.IFNA(MATCH(LogTable2024[[#This Row],[My Category]], Buckets!$D$4:$D$35, 0), FALSE), ".", "E")</f>
        <v>.</v>
      </c>
    </row>
    <row r="77" spans="1:22" x14ac:dyDescent="0.25">
      <c r="A77" s="4">
        <v>45336</v>
      </c>
      <c r="B77" s="5" t="s">
        <v>71</v>
      </c>
      <c r="C77" s="5" t="s">
        <v>72</v>
      </c>
      <c r="D77" s="5" t="s">
        <v>186</v>
      </c>
      <c r="E77" s="5">
        <v>705.86</v>
      </c>
      <c r="F77" s="5" t="s">
        <v>9</v>
      </c>
      <c r="G77" s="5" t="s">
        <v>195</v>
      </c>
      <c r="H77" s="5"/>
      <c r="I77" s="5"/>
      <c r="J77" s="5"/>
      <c r="K77" s="5"/>
      <c r="L77" s="5"/>
      <c r="M77" s="5"/>
      <c r="N77" s="1">
        <f>IF( ISBLANK(LogTable2024[[#This Row],[Date_o]]), IF(ISBLANK(LogTable2024[[#This Row],[Date_i]]), "", LogTable2024[[#This Row],[Date_i]]), LogTable2024[[#This Row],[Date_o]])</f>
        <v>45336</v>
      </c>
      <c r="O77" t="str">
        <f>IF( ISBLANK(LogTable2024[[#This Row],[Description_o]]), IF(ISBLANK(LogTable2024[[#This Row],[Description_i]]), "", LogTable2024[[#This Row],[Description_i]]), LogTable2024[[#This Row],[Description_o]])</f>
        <v>USAA Credit Card</v>
      </c>
      <c r="P77" t="str">
        <f>IF( ISBLANK(LogTable2024[[#This Row],[Original Description_o]]), IF(ISBLANK(LogTable2024[[#This Row],[Original Description_i]]), "", LogTable2024[[#This Row],[Original Description_i]]), LogTable2024[[#This Row],[Original Description_o]])</f>
        <v>USAA CREDIT CARD PAYMENT SAN ANTONIO  TX</v>
      </c>
      <c r="Q77" t="str">
        <f>IF( ISBLANK(LogTable2024[[#This Row],[Category_o]]), IF(ISBLANK(LogTable2024[[#This Row],[Category_i]]), "", LogTable2024[[#This Row],[Category_i]]), LogTable2024[[#This Row],[Category_o]])</f>
        <v>Credit Card Payment</v>
      </c>
      <c r="R77" s="10">
        <f>IF( ISBLANK(LogTable2024[[#This Row],[Amount_o]]), IF(ISBLANK(LogTable2024[[#This Row],[Amount_i]]), "", LogTable2024[[#This Row],[Amount_i]]), LogTable2024[[#This Row],[Amount_o]])</f>
        <v>705.86</v>
      </c>
      <c r="S77" s="1" t="str">
        <f>IF( ISBLANK(LogTable2024[[#This Row],[Status_o]]), IF(ISBLANK(LogTable2024[[#This Row],[Status_i]]), "", LogTable2024[[#This Row],[Status_i]]), LogTable2024[[#This Row],[Status_o]])</f>
        <v>Posted</v>
      </c>
      <c r="T77" t="s">
        <v>307</v>
      </c>
      <c r="U77" t="str">
        <f>IF( _xlfn.IFNA(MATCH(LogTable2024[[#This Row],[My Category]], Buckets!$D$4:$D$35, 0), FALSE), ".", "E")</f>
        <v>.</v>
      </c>
    </row>
    <row r="78" spans="1:22" hidden="1" x14ac:dyDescent="0.25">
      <c r="A78" s="4">
        <v>45335</v>
      </c>
      <c r="B78" s="5" t="s">
        <v>77</v>
      </c>
      <c r="C78" s="5" t="s">
        <v>78</v>
      </c>
      <c r="D78" s="5" t="s">
        <v>32</v>
      </c>
      <c r="E78" s="5">
        <v>-43.29</v>
      </c>
      <c r="F78" s="5" t="s">
        <v>9</v>
      </c>
      <c r="G78" s="5" t="s">
        <v>195</v>
      </c>
      <c r="H78" s="5"/>
      <c r="I78" s="5"/>
      <c r="J78" s="5"/>
      <c r="K78" s="5"/>
      <c r="L78" s="5"/>
      <c r="M78" s="5"/>
      <c r="N78" s="1">
        <f>IF( ISBLANK(LogTable2024[[#This Row],[Date_o]]), IF(ISBLANK(LogTable2024[[#This Row],[Date_i]]), "", LogTable2024[[#This Row],[Date_i]]), LogTable2024[[#This Row],[Date_o]])</f>
        <v>45335</v>
      </c>
      <c r="O78" t="str">
        <f>IF( ISBLANK(LogTable2024[[#This Row],[Description_o]]), IF(ISBLANK(LogTable2024[[#This Row],[Description_i]]), "", LogTable2024[[#This Row],[Description_i]]), LogTable2024[[#This Row],[Description_o]])</f>
        <v>Steam</v>
      </c>
      <c r="P78" t="str">
        <f>IF( ISBLANK(LogTable2024[[#This Row],[Original Description_o]]), IF(ISBLANK(LogTable2024[[#This Row],[Original Description_i]]), "", LogTable2024[[#This Row],[Original Description_i]]), LogTable2024[[#This Row],[Original Description_o]])</f>
        <v>PAYPAL *STEAM GAMES      4259522985   WA</v>
      </c>
      <c r="Q78" t="str">
        <f>IF( ISBLANK(LogTable2024[[#This Row],[Category_o]]), IF(ISBLANK(LogTable2024[[#This Row],[Category_i]]), "", LogTable2024[[#This Row],[Category_i]]), LogTable2024[[#This Row],[Category_o]])</f>
        <v>Entertainment</v>
      </c>
      <c r="R78" s="10">
        <f>IF( ISBLANK(LogTable2024[[#This Row],[Amount_o]]), IF(ISBLANK(LogTable2024[[#This Row],[Amount_i]]), "", LogTable2024[[#This Row],[Amount_i]]), LogTable2024[[#This Row],[Amount_o]])</f>
        <v>-43.29</v>
      </c>
      <c r="S78" s="1" t="str">
        <f>IF( ISBLANK(LogTable2024[[#This Row],[Status_o]]), IF(ISBLANK(LogTable2024[[#This Row],[Status_i]]), "", LogTable2024[[#This Row],[Status_i]]), LogTable2024[[#This Row],[Status_o]])</f>
        <v>Posted</v>
      </c>
      <c r="T78" t="s">
        <v>289</v>
      </c>
      <c r="U78" t="str">
        <f>IF( _xlfn.IFNA(MATCH(LogTable2024[[#This Row],[My Category]], Buckets!$D$4:$D$35, 0), FALSE), ".", "E")</f>
        <v>.</v>
      </c>
    </row>
    <row r="79" spans="1:22" x14ac:dyDescent="0.25">
      <c r="A79" s="4">
        <v>45335</v>
      </c>
      <c r="B79" s="5" t="s">
        <v>71</v>
      </c>
      <c r="C79" s="5" t="s">
        <v>234</v>
      </c>
      <c r="D79" s="5" t="s">
        <v>186</v>
      </c>
      <c r="E79" s="5">
        <v>-579.91</v>
      </c>
      <c r="F79" s="5" t="s">
        <v>9</v>
      </c>
      <c r="G79" s="5" t="s">
        <v>269</v>
      </c>
      <c r="H79" s="5"/>
      <c r="I79" s="5"/>
      <c r="J79" s="5"/>
      <c r="K79" s="5"/>
      <c r="L79" s="5"/>
      <c r="M79" s="5"/>
      <c r="N79" s="1">
        <f>IF( ISBLANK(LogTable2024[[#This Row],[Date_o]]), IF(ISBLANK(LogTable2024[[#This Row],[Date_i]]), "", LogTable2024[[#This Row],[Date_i]]), LogTable2024[[#This Row],[Date_o]])</f>
        <v>45335</v>
      </c>
      <c r="O79" t="str">
        <f>IF( ISBLANK(LogTable2024[[#This Row],[Description_o]]), IF(ISBLANK(LogTable2024[[#This Row],[Description_i]]), "", LogTable2024[[#This Row],[Description_i]]), LogTable2024[[#This Row],[Description_o]])</f>
        <v>USAA Credit Card</v>
      </c>
      <c r="P79" t="str">
        <f>IF( ISBLANK(LogTable2024[[#This Row],[Original Description_o]]), IF(ISBLANK(LogTable2024[[#This Row],[Original Description_i]]), "", LogTable2024[[#This Row],[Original Description_i]]), LogTable2024[[#This Row],[Original Description_o]])</f>
        <v>USAA CREDIT CARD PAYMENT    ***********0051</v>
      </c>
      <c r="Q79" t="str">
        <f>IF( ISBLANK(LogTable2024[[#This Row],[Category_o]]), IF(ISBLANK(LogTable2024[[#This Row],[Category_i]]), "", LogTable2024[[#This Row],[Category_i]]), LogTable2024[[#This Row],[Category_o]])</f>
        <v>Credit Card Payment</v>
      </c>
      <c r="R79" s="10">
        <f>IF( ISBLANK(LogTable2024[[#This Row],[Amount_o]]), IF(ISBLANK(LogTable2024[[#This Row],[Amount_i]]), "", LogTable2024[[#This Row],[Amount_i]]), LogTable2024[[#This Row],[Amount_o]])</f>
        <v>-579.91</v>
      </c>
      <c r="S79" s="1" t="str">
        <f>IF( ISBLANK(LogTable2024[[#This Row],[Status_o]]), IF(ISBLANK(LogTable2024[[#This Row],[Status_i]]), "", LogTable2024[[#This Row],[Status_i]]), LogTable2024[[#This Row],[Status_o]])</f>
        <v>Posted</v>
      </c>
      <c r="T79" t="s">
        <v>307</v>
      </c>
      <c r="U79" t="str">
        <f>IF( _xlfn.IFNA(MATCH(LogTable2024[[#This Row],[My Category]], Buckets!$D$4:$D$35, 0), FALSE), ".", "E")</f>
        <v>.</v>
      </c>
    </row>
    <row r="80" spans="1:22" hidden="1" x14ac:dyDescent="0.25">
      <c r="A80" s="4">
        <v>45335</v>
      </c>
      <c r="B80" s="5" t="s">
        <v>204</v>
      </c>
      <c r="C80" s="5" t="s">
        <v>205</v>
      </c>
      <c r="D80" s="5" t="s">
        <v>206</v>
      </c>
      <c r="E80" s="5">
        <v>-163.69999999999999</v>
      </c>
      <c r="F80" s="5" t="s">
        <v>9</v>
      </c>
      <c r="G80" s="5" t="s">
        <v>269</v>
      </c>
      <c r="H80" s="5"/>
      <c r="I80" s="5"/>
      <c r="J80" s="5"/>
      <c r="K80" s="5"/>
      <c r="L80" s="5"/>
      <c r="M80" s="5"/>
      <c r="N80" s="1">
        <f>IF( ISBLANK(LogTable2024[[#This Row],[Date_o]]), IF(ISBLANK(LogTable2024[[#This Row],[Date_i]]), "", LogTable2024[[#This Row],[Date_i]]), LogTable2024[[#This Row],[Date_o]])</f>
        <v>45335</v>
      </c>
      <c r="O80" t="str">
        <f>IF( ISBLANK(LogTable2024[[#This Row],[Description_o]]), IF(ISBLANK(LogTable2024[[#This Row],[Description_i]]), "", LogTable2024[[#This Row],[Description_i]]), LogTable2024[[#This Row],[Description_o]])</f>
        <v>USAA Property and Casualty Insurance</v>
      </c>
      <c r="P80" t="str">
        <f>IF( ISBLANK(LogTable2024[[#This Row],[Original Description_o]]), IF(ISBLANK(LogTable2024[[#This Row],[Original Description_i]]), "", LogTable2024[[#This Row],[Original Description_i]]), LogTable2024[[#This Row],[Original Description_o]])</f>
        <v>USAA P&amp;C         AUTOPAY    ***********4530</v>
      </c>
      <c r="Q80" t="str">
        <f>IF( ISBLANK(LogTable2024[[#This Row],[Category_o]]), IF(ISBLANK(LogTable2024[[#This Row],[Category_i]]), "", LogTable2024[[#This Row],[Category_i]]), LogTable2024[[#This Row],[Category_o]])</f>
        <v>Financial</v>
      </c>
      <c r="R80" s="10">
        <f>IF( ISBLANK(LogTable2024[[#This Row],[Amount_o]]), IF(ISBLANK(LogTable2024[[#This Row],[Amount_i]]), "", LogTable2024[[#This Row],[Amount_i]]), LogTable2024[[#This Row],[Amount_o]])</f>
        <v>-163.69999999999999</v>
      </c>
      <c r="S80" s="1" t="str">
        <f>IF( ISBLANK(LogTable2024[[#This Row],[Status_o]]), IF(ISBLANK(LogTable2024[[#This Row],[Status_i]]), "", LogTable2024[[#This Row],[Status_i]]), LogTable2024[[#This Row],[Status_o]])</f>
        <v>Posted</v>
      </c>
      <c r="T80" t="s">
        <v>282</v>
      </c>
      <c r="U80" t="str">
        <f>IF( _xlfn.IFNA(MATCH(LogTable2024[[#This Row],[My Category]], Buckets!$D$4:$D$35, 0), FALSE), ".", "E")</f>
        <v>.</v>
      </c>
    </row>
    <row r="81" spans="1:22" x14ac:dyDescent="0.25">
      <c r="A81" s="4">
        <v>45334</v>
      </c>
      <c r="B81" s="5">
        <v>127311211</v>
      </c>
      <c r="C81" s="5" t="s">
        <v>106</v>
      </c>
      <c r="D81" s="5" t="s">
        <v>107</v>
      </c>
      <c r="E81" s="5">
        <v>579.91</v>
      </c>
      <c r="F81" s="5" t="s">
        <v>9</v>
      </c>
      <c r="G81" s="5" t="s">
        <v>195</v>
      </c>
      <c r="H81" s="5"/>
      <c r="I81" s="5"/>
      <c r="J81" s="5"/>
      <c r="K81" s="5"/>
      <c r="L81" s="5"/>
      <c r="M81" s="5"/>
      <c r="N81" s="1">
        <f>IF( ISBLANK(LogTable2024[[#This Row],[Date_o]]), IF(ISBLANK(LogTable2024[[#This Row],[Date_i]]), "", LogTable2024[[#This Row],[Date_i]]), LogTable2024[[#This Row],[Date_o]])</f>
        <v>45334</v>
      </c>
      <c r="O81">
        <f>IF( ISBLANK(LogTable2024[[#This Row],[Description_o]]), IF(ISBLANK(LogTable2024[[#This Row],[Description_i]]), "", LogTable2024[[#This Row],[Description_i]]), LogTable2024[[#This Row],[Description_o]])</f>
        <v>127311211</v>
      </c>
      <c r="P81" t="str">
        <f>IF( ISBLANK(LogTable2024[[#This Row],[Original Description_o]]), IF(ISBLANK(LogTable2024[[#This Row],[Original Description_i]]), "", LogTable2024[[#This Row],[Original Description_i]]), LogTable2024[[#This Row],[Original Description_o]])</f>
        <v>AUTOMATIC PAYMENT - THANK YOU</v>
      </c>
      <c r="Q81" t="str">
        <f>IF( ISBLANK(LogTable2024[[#This Row],[Category_o]]), IF(ISBLANK(LogTable2024[[#This Row],[Category_i]]), "", LogTable2024[[#This Row],[Category_i]]), LogTable2024[[#This Row],[Category_o]])</f>
        <v>Uncategorized</v>
      </c>
      <c r="R81" s="10">
        <f>IF( ISBLANK(LogTable2024[[#This Row],[Amount_o]]), IF(ISBLANK(LogTable2024[[#This Row],[Amount_i]]), "", LogTable2024[[#This Row],[Amount_i]]), LogTable2024[[#This Row],[Amount_o]])</f>
        <v>579.91</v>
      </c>
      <c r="S81" s="1" t="str">
        <f>IF( ISBLANK(LogTable2024[[#This Row],[Status_o]]), IF(ISBLANK(LogTable2024[[#This Row],[Status_i]]), "", LogTable2024[[#This Row],[Status_i]]), LogTable2024[[#This Row],[Status_o]])</f>
        <v>Posted</v>
      </c>
      <c r="T81" t="s">
        <v>307</v>
      </c>
      <c r="U81" t="str">
        <f>IF( _xlfn.IFNA(MATCH(LogTable2024[[#This Row],[My Category]], Buckets!$D$4:$D$35, 0), FALSE), ".", "E")</f>
        <v>.</v>
      </c>
    </row>
    <row r="82" spans="1:22" hidden="1" x14ac:dyDescent="0.25">
      <c r="A82" s="4">
        <v>45334</v>
      </c>
      <c r="B82" s="5" t="s">
        <v>455</v>
      </c>
      <c r="C82" s="5" t="s">
        <v>456</v>
      </c>
      <c r="D82" s="5" t="s">
        <v>218</v>
      </c>
      <c r="E82" s="5">
        <v>-500</v>
      </c>
      <c r="F82" s="5" t="s">
        <v>9</v>
      </c>
      <c r="G82" s="5" t="s">
        <v>269</v>
      </c>
      <c r="H82" s="5"/>
      <c r="I82" s="5"/>
      <c r="J82" s="5"/>
      <c r="K82" s="5"/>
      <c r="L82" s="5"/>
      <c r="M82" s="5"/>
      <c r="N82" s="1">
        <f>IF( ISBLANK(LogTable2024[[#This Row],[Date_o]]), IF(ISBLANK(LogTable2024[[#This Row],[Date_i]]), "", LogTable2024[[#This Row],[Date_i]]), LogTable2024[[#This Row],[Date_o]])</f>
        <v>45334</v>
      </c>
      <c r="O82" t="str">
        <f>IF( ISBLANK(LogTable2024[[#This Row],[Description_o]]), IF(ISBLANK(LogTable2024[[#This Row],[Description_i]]), "", LogTable2024[[#This Row],[Description_i]]), LogTable2024[[#This Row],[Description_o]])</f>
        <v>Advs Ed Serv Studntloan</v>
      </c>
      <c r="P82" t="str">
        <f>IF( ISBLANK(LogTable2024[[#This Row],[Original Description_o]]), IF(ISBLANK(LogTable2024[[#This Row],[Original Description_i]]), "", LogTable2024[[#This Row],[Original Description_i]]), LogTable2024[[#This Row],[Original Description_o]])</f>
        <v>ADVS ED SERV PPD STUDNTLOAN ***********0000</v>
      </c>
      <c r="Q82" t="str">
        <f>IF( ISBLANK(LogTable2024[[#This Row],[Category_o]]), IF(ISBLANK(LogTable2024[[#This Row],[Category_i]]), "", LogTable2024[[#This Row],[Category_i]]), LogTable2024[[#This Row],[Category_o]])</f>
        <v>Student Loan</v>
      </c>
      <c r="R82" s="10">
        <f>IF( ISBLANK(LogTable2024[[#This Row],[Amount_o]]), IF(ISBLANK(LogTable2024[[#This Row],[Amount_i]]), "", LogTable2024[[#This Row],[Amount_i]]), LogTable2024[[#This Row],[Amount_o]])</f>
        <v>-500</v>
      </c>
      <c r="S82" s="1" t="str">
        <f>IF( ISBLANK(LogTable2024[[#This Row],[Status_o]]), IF(ISBLANK(LogTable2024[[#This Row],[Status_i]]), "", LogTable2024[[#This Row],[Status_i]]), LogTable2024[[#This Row],[Status_o]])</f>
        <v>Posted</v>
      </c>
      <c r="T82" t="s">
        <v>285</v>
      </c>
      <c r="U82" t="str">
        <f>IF( _xlfn.IFNA(MATCH(LogTable2024[[#This Row],[My Category]], Buckets!$D$4:$D$35, 0), FALSE), ".", "E")</f>
        <v>.</v>
      </c>
      <c r="V82" t="s">
        <v>361</v>
      </c>
    </row>
    <row r="83" spans="1:22" hidden="1" x14ac:dyDescent="0.25">
      <c r="A83" s="4">
        <v>45334</v>
      </c>
      <c r="B83" s="5" t="s">
        <v>13</v>
      </c>
      <c r="C83" s="5" t="s">
        <v>14</v>
      </c>
      <c r="D83" s="5" t="s">
        <v>15</v>
      </c>
      <c r="E83" s="5">
        <v>-82.31</v>
      </c>
      <c r="F83" s="5" t="s">
        <v>9</v>
      </c>
      <c r="G83" s="5" t="s">
        <v>195</v>
      </c>
      <c r="H83" s="5"/>
      <c r="I83" s="5"/>
      <c r="J83" s="5"/>
      <c r="K83" s="5"/>
      <c r="L83" s="5"/>
      <c r="M83" s="5"/>
      <c r="N83" s="1">
        <f>IF( ISBLANK(LogTable2024[[#This Row],[Date_o]]), IF(ISBLANK(LogTable2024[[#This Row],[Date_i]]), "", LogTable2024[[#This Row],[Date_i]]), LogTable2024[[#This Row],[Date_o]])</f>
        <v>45334</v>
      </c>
      <c r="O83" t="str">
        <f>IF( ISBLANK(LogTable2024[[#This Row],[Description_o]]), IF(ISBLANK(LogTable2024[[#This Row],[Description_i]]), "", LogTable2024[[#This Row],[Description_i]]), LogTable2024[[#This Row],[Description_o]])</f>
        <v>King Soopers</v>
      </c>
      <c r="P83" t="str">
        <f>IF( ISBLANK(LogTable2024[[#This Row],[Original Description_o]]), IF(ISBLANK(LogTable2024[[#This Row],[Original Description_i]]), "", LogTable2024[[#This Row],[Original Description_i]]), LogTable2024[[#This Row],[Original Description_o]])</f>
        <v>KING SOOPERS #0057       WHEAT RIDGE  CO</v>
      </c>
      <c r="Q83" t="str">
        <f>IF( ISBLANK(LogTable2024[[#This Row],[Category_o]]), IF(ISBLANK(LogTable2024[[#This Row],[Category_i]]), "", LogTable2024[[#This Row],[Category_i]]), LogTable2024[[#This Row],[Category_o]])</f>
        <v>Groceries</v>
      </c>
      <c r="R83" s="10">
        <f>IF( ISBLANK(LogTable2024[[#This Row],[Amount_o]]), IF(ISBLANK(LogTable2024[[#This Row],[Amount_i]]), "", LogTable2024[[#This Row],[Amount_i]]), LogTable2024[[#This Row],[Amount_o]])</f>
        <v>-82.31</v>
      </c>
      <c r="S83" s="1" t="str">
        <f>IF( ISBLANK(LogTable2024[[#This Row],[Status_o]]), IF(ISBLANK(LogTable2024[[#This Row],[Status_i]]), "", LogTable2024[[#This Row],[Status_i]]), LogTable2024[[#This Row],[Status_o]])</f>
        <v>Posted</v>
      </c>
      <c r="T83" t="s">
        <v>15</v>
      </c>
      <c r="U83" t="str">
        <f>IF( _xlfn.IFNA(MATCH(LogTable2024[[#This Row],[My Category]], Buckets!$D$4:$D$35, 0), FALSE), ".", "E")</f>
        <v>.</v>
      </c>
    </row>
    <row r="84" spans="1:22" hidden="1" x14ac:dyDescent="0.25">
      <c r="A84" s="4">
        <v>45334</v>
      </c>
      <c r="B84" s="5" t="s">
        <v>207</v>
      </c>
      <c r="C84" s="5" t="s">
        <v>208</v>
      </c>
      <c r="D84" s="5" t="s">
        <v>209</v>
      </c>
      <c r="E84" s="5">
        <v>-11.9</v>
      </c>
      <c r="F84" s="5" t="s">
        <v>9</v>
      </c>
      <c r="G84" s="5" t="s">
        <v>269</v>
      </c>
      <c r="H84" s="5"/>
      <c r="I84" s="5"/>
      <c r="J84" s="5"/>
      <c r="K84" s="5"/>
      <c r="L84" s="5"/>
      <c r="M84" s="5"/>
      <c r="N84" s="1">
        <f>IF( ISBLANK(LogTable2024[[#This Row],[Date_o]]), IF(ISBLANK(LogTable2024[[#This Row],[Date_i]]), "", LogTable2024[[#This Row],[Date_i]]), LogTable2024[[#This Row],[Date_o]])</f>
        <v>45334</v>
      </c>
      <c r="O84" t="str">
        <f>IF( ISBLANK(LogTable2024[[#This Row],[Description_o]]), IF(ISBLANK(LogTable2024[[#This Row],[Description_i]]), "", LogTable2024[[#This Row],[Description_i]]), LogTable2024[[#This Row],[Description_o]])</f>
        <v>Spotify</v>
      </c>
      <c r="P84" t="str">
        <f>IF( ISBLANK(LogTable2024[[#This Row],[Original Description_o]]), IF(ISBLANK(LogTable2024[[#This Row],[Original Description_i]]), "", LogTable2024[[#This Row],[Original Description_i]]), LogTable2024[[#This Row],[Original Description_o]])</f>
        <v>PAYPAL           INST XFER  ***********USAI</v>
      </c>
      <c r="Q84" t="str">
        <f>IF( ISBLANK(LogTable2024[[#This Row],[Category_o]]), IF(ISBLANK(LogTable2024[[#This Row],[Category_i]]), "", LogTable2024[[#This Row],[Category_i]]), LogTable2024[[#This Row],[Category_o]])</f>
        <v>Music</v>
      </c>
      <c r="R84" s="10">
        <f>IF( ISBLANK(LogTable2024[[#This Row],[Amount_o]]), IF(ISBLANK(LogTable2024[[#This Row],[Amount_i]]), "", LogTable2024[[#This Row],[Amount_i]]), LogTable2024[[#This Row],[Amount_o]])</f>
        <v>-11.9</v>
      </c>
      <c r="S84" s="1" t="str">
        <f>IF( ISBLANK(LogTable2024[[#This Row],[Status_o]]), IF(ISBLANK(LogTable2024[[#This Row],[Status_i]]), "", LogTable2024[[#This Row],[Status_i]]), LogTable2024[[#This Row],[Status_o]])</f>
        <v>Posted</v>
      </c>
      <c r="T84" t="s">
        <v>464</v>
      </c>
      <c r="U84" t="str">
        <f>IF( _xlfn.IFNA(MATCH(LogTable2024[[#This Row],[My Category]], Buckets!$D$4:$D$35, 0), FALSE), ".", "E")</f>
        <v>.</v>
      </c>
    </row>
    <row r="85" spans="1:22" hidden="1" x14ac:dyDescent="0.25">
      <c r="A85" s="4">
        <v>45330</v>
      </c>
      <c r="B85" s="5" t="s">
        <v>476</v>
      </c>
      <c r="C85" s="5" t="s">
        <v>477</v>
      </c>
      <c r="D85" s="5" t="s">
        <v>475</v>
      </c>
      <c r="E85" s="5">
        <v>-75</v>
      </c>
      <c r="F85" s="5" t="s">
        <v>9</v>
      </c>
      <c r="G85" s="5" t="s">
        <v>195</v>
      </c>
      <c r="H85" s="5"/>
      <c r="I85" s="5"/>
      <c r="J85" s="5"/>
      <c r="K85" s="5"/>
      <c r="L85" s="5"/>
      <c r="M85" s="5"/>
      <c r="N85" s="1">
        <f>IF( ISBLANK(LogTable2024[[#This Row],[Date_o]]), IF(ISBLANK(LogTable2024[[#This Row],[Date_i]]), "", LogTable2024[[#This Row],[Date_i]]), LogTable2024[[#This Row],[Date_o]])</f>
        <v>45330</v>
      </c>
      <c r="O85" t="str">
        <f>IF( ISBLANK(LogTable2024[[#This Row],[Description_o]]), IF(ISBLANK(LogTable2024[[#This Row],[Description_i]]), "", LogTable2024[[#This Row],[Description_i]]), LogTable2024[[#This Row],[Description_o]])</f>
        <v>Afc Urgent Care Denver</v>
      </c>
      <c r="P85" t="str">
        <f>IF( ISBLANK(LogTable2024[[#This Row],[Original Description_o]]), IF(ISBLANK(LogTable2024[[#This Row],[Original Description_i]]), "", LogTable2024[[#This Row],[Original Description_i]]), LogTable2024[[#This Row],[Original Description_o]])</f>
        <v>AFC URGENT CARE DENVER H DENVER       CO</v>
      </c>
      <c r="Q85" t="str">
        <f>IF( ISBLANK(LogTable2024[[#This Row],[Category_o]]), IF(ISBLANK(LogTable2024[[#This Row],[Category_i]]), "", LogTable2024[[#This Row],[Category_i]]), LogTable2024[[#This Row],[Category_o]])</f>
        <v>Doctor</v>
      </c>
      <c r="R85" s="10">
        <f>IF( ISBLANK(LogTable2024[[#This Row],[Amount_o]]), IF(ISBLANK(LogTable2024[[#This Row],[Amount_i]]), "", LogTable2024[[#This Row],[Amount_i]]), LogTable2024[[#This Row],[Amount_o]])</f>
        <v>-75</v>
      </c>
      <c r="S85" s="1" t="str">
        <f>IF( ISBLANK(LogTable2024[[#This Row],[Status_o]]), IF(ISBLANK(LogTable2024[[#This Row],[Status_i]]), "", LogTable2024[[#This Row],[Status_i]]), LogTable2024[[#This Row],[Status_o]])</f>
        <v>Posted</v>
      </c>
      <c r="T85" t="s">
        <v>301</v>
      </c>
      <c r="U85" t="str">
        <f>IF( _xlfn.IFNA(MATCH(LogTable2024[[#This Row],[My Category]], Buckets!$D$4:$D$35, 0), FALSE), ".", "E")</f>
        <v>.</v>
      </c>
    </row>
    <row r="86" spans="1:22" hidden="1" x14ac:dyDescent="0.25">
      <c r="A86" s="4">
        <v>45330</v>
      </c>
      <c r="B86" s="5" t="s">
        <v>13</v>
      </c>
      <c r="C86" s="5" t="s">
        <v>14</v>
      </c>
      <c r="D86" s="5" t="s">
        <v>15</v>
      </c>
      <c r="E86" s="5">
        <v>-31.83</v>
      </c>
      <c r="F86" s="5" t="s">
        <v>9</v>
      </c>
      <c r="G86" s="5" t="s">
        <v>195</v>
      </c>
      <c r="H86" s="5"/>
      <c r="I86" s="5"/>
      <c r="J86" s="5"/>
      <c r="K86" s="5"/>
      <c r="L86" s="5"/>
      <c r="M86" s="5"/>
      <c r="N86" s="1">
        <f>IF( ISBLANK(LogTable2024[[#This Row],[Date_o]]), IF(ISBLANK(LogTable2024[[#This Row],[Date_i]]), "", LogTable2024[[#This Row],[Date_i]]), LogTable2024[[#This Row],[Date_o]])</f>
        <v>45330</v>
      </c>
      <c r="O86" t="str">
        <f>IF( ISBLANK(LogTable2024[[#This Row],[Description_o]]), IF(ISBLANK(LogTable2024[[#This Row],[Description_i]]), "", LogTable2024[[#This Row],[Description_i]]), LogTable2024[[#This Row],[Description_o]])</f>
        <v>King Soopers</v>
      </c>
      <c r="P86" t="str">
        <f>IF( ISBLANK(LogTable2024[[#This Row],[Original Description_o]]), IF(ISBLANK(LogTable2024[[#This Row],[Original Description_i]]), "", LogTable2024[[#This Row],[Original Description_i]]), LogTable2024[[#This Row],[Original Description_o]])</f>
        <v>KING SOOPERS #0057       WHEAT RIDGE  CO</v>
      </c>
      <c r="Q86" t="str">
        <f>IF( ISBLANK(LogTable2024[[#This Row],[Category_o]]), IF(ISBLANK(LogTable2024[[#This Row],[Category_i]]), "", LogTable2024[[#This Row],[Category_i]]), LogTable2024[[#This Row],[Category_o]])</f>
        <v>Groceries</v>
      </c>
      <c r="R86" s="10">
        <f>IF( ISBLANK(LogTable2024[[#This Row],[Amount_o]]), IF(ISBLANK(LogTable2024[[#This Row],[Amount_i]]), "", LogTable2024[[#This Row],[Amount_i]]), LogTable2024[[#This Row],[Amount_o]])</f>
        <v>-31.83</v>
      </c>
      <c r="S86" s="1" t="str">
        <f>IF( ISBLANK(LogTable2024[[#This Row],[Status_o]]), IF(ISBLANK(LogTable2024[[#This Row],[Status_i]]), "", LogTable2024[[#This Row],[Status_i]]), LogTable2024[[#This Row],[Status_o]])</f>
        <v>Posted</v>
      </c>
      <c r="T86" t="s">
        <v>15</v>
      </c>
      <c r="U86" t="str">
        <f>IF( _xlfn.IFNA(MATCH(LogTable2024[[#This Row],[My Category]], Buckets!$D$4:$D$35, 0), FALSE), ".", "E")</f>
        <v>.</v>
      </c>
    </row>
    <row r="87" spans="1:22" hidden="1" x14ac:dyDescent="0.25">
      <c r="A87" s="4">
        <v>45329</v>
      </c>
      <c r="B87" s="5" t="s">
        <v>59</v>
      </c>
      <c r="C87" s="5" t="s">
        <v>60</v>
      </c>
      <c r="D87" s="5" t="s">
        <v>61</v>
      </c>
      <c r="E87" s="5">
        <v>-30</v>
      </c>
      <c r="F87" s="5" t="s">
        <v>9</v>
      </c>
      <c r="G87" s="5" t="s">
        <v>195</v>
      </c>
      <c r="H87" s="5"/>
      <c r="I87" s="5"/>
      <c r="J87" s="5"/>
      <c r="K87" s="5"/>
      <c r="L87" s="5"/>
      <c r="M87" s="5"/>
      <c r="N87" s="1">
        <f>IF( ISBLANK(LogTable2024[[#This Row],[Date_o]]), IF(ISBLANK(LogTable2024[[#This Row],[Date_i]]), "", LogTable2024[[#This Row],[Date_i]]), LogTable2024[[#This Row],[Date_o]])</f>
        <v>45329</v>
      </c>
      <c r="O87" t="str">
        <f>IF( ISBLANK(LogTable2024[[#This Row],[Description_o]]), IF(ISBLANK(LogTable2024[[#This Row],[Description_i]]), "", LogTable2024[[#This Row],[Description_i]]), LogTable2024[[#This Row],[Description_o]])</f>
        <v>Nature Conservancy</v>
      </c>
      <c r="P87" t="str">
        <f>IF( ISBLANK(LogTable2024[[#This Row],[Original Description_o]]), IF(ISBLANK(LogTable2024[[#This Row],[Original Description_i]]), "", LogTable2024[[#This Row],[Original Description_i]]), LogTable2024[[#This Row],[Original Description_o]])</f>
        <v>Nature Conservancy       800-6286860  VA</v>
      </c>
      <c r="Q87" t="str">
        <f>IF( ISBLANK(LogTable2024[[#This Row],[Category_o]]), IF(ISBLANK(LogTable2024[[#This Row],[Category_i]]), "", LogTable2024[[#This Row],[Category_i]]), LogTable2024[[#This Row],[Category_o]])</f>
        <v>Gifts &amp; Donations</v>
      </c>
      <c r="R87" s="10">
        <f>IF( ISBLANK(LogTable2024[[#This Row],[Amount_o]]), IF(ISBLANK(LogTable2024[[#This Row],[Amount_i]]), "", LogTable2024[[#This Row],[Amount_i]]), LogTable2024[[#This Row],[Amount_o]])</f>
        <v>-30</v>
      </c>
      <c r="S87" s="1" t="str">
        <f>IF( ISBLANK(LogTable2024[[#This Row],[Status_o]]), IF(ISBLANK(LogTable2024[[#This Row],[Status_i]]), "", LogTable2024[[#This Row],[Status_i]]), LogTable2024[[#This Row],[Status_o]])</f>
        <v>Posted</v>
      </c>
      <c r="T87" t="s">
        <v>465</v>
      </c>
      <c r="U87" t="str">
        <f>IF( _xlfn.IFNA(MATCH(LogTable2024[[#This Row],[My Category]], Buckets!$D$4:$D$35, 0), FALSE), ".", "E")</f>
        <v>.</v>
      </c>
    </row>
    <row r="88" spans="1:22" hidden="1" x14ac:dyDescent="0.25">
      <c r="A88" s="4">
        <v>45329</v>
      </c>
      <c r="B88" s="5" t="s">
        <v>478</v>
      </c>
      <c r="C88" s="5" t="s">
        <v>479</v>
      </c>
      <c r="D88" s="5" t="s">
        <v>39</v>
      </c>
      <c r="E88" s="5">
        <v>-26.51</v>
      </c>
      <c r="F88" s="5" t="s">
        <v>9</v>
      </c>
      <c r="G88" s="5" t="s">
        <v>195</v>
      </c>
      <c r="H88" s="5"/>
      <c r="I88" s="5"/>
      <c r="J88" s="5"/>
      <c r="K88" s="5"/>
      <c r="L88" s="5"/>
      <c r="M88" s="5"/>
      <c r="N88" s="1">
        <f>IF( ISBLANK(LogTable2024[[#This Row],[Date_o]]), IF(ISBLANK(LogTable2024[[#This Row],[Date_i]]), "", LogTable2024[[#This Row],[Date_i]]), LogTable2024[[#This Row],[Date_o]])</f>
        <v>45329</v>
      </c>
      <c r="O88" t="str">
        <f>IF( ISBLANK(LogTable2024[[#This Row],[Description_o]]), IF(ISBLANK(LogTable2024[[#This Row],[Description_i]]), "", LogTable2024[[#This Row],[Description_i]]), LogTable2024[[#This Row],[Description_o]])</f>
        <v>Rocket</v>
      </c>
      <c r="P88" t="str">
        <f>IF( ISBLANK(LogTable2024[[#This Row],[Original Description_o]]), IF(ISBLANK(LogTable2024[[#This Row],[Original Description_i]]), "", LogTable2024[[#This Row],[Original Description_i]]), LogTable2024[[#This Row],[Original Description_o]])</f>
        <v>ROCKET 6515              NORTHGLENN   CO</v>
      </c>
      <c r="Q88" t="str">
        <f>IF( ISBLANK(LogTable2024[[#This Row],[Category_o]]), IF(ISBLANK(LogTable2024[[#This Row],[Category_i]]), "", LogTable2024[[#This Row],[Category_i]]), LogTable2024[[#This Row],[Category_o]])</f>
        <v>Gas</v>
      </c>
      <c r="R88" s="10">
        <f>IF( ISBLANK(LogTable2024[[#This Row],[Amount_o]]), IF(ISBLANK(LogTable2024[[#This Row],[Amount_i]]), "", LogTable2024[[#This Row],[Amount_i]]), LogTable2024[[#This Row],[Amount_o]])</f>
        <v>-26.51</v>
      </c>
      <c r="S88" s="1" t="str">
        <f>IF( ISBLANK(LogTable2024[[#This Row],[Status_o]]), IF(ISBLANK(LogTable2024[[#This Row],[Status_i]]), "", LogTable2024[[#This Row],[Status_i]]), LogTable2024[[#This Row],[Status_o]])</f>
        <v>Posted</v>
      </c>
      <c r="T88" t="s">
        <v>462</v>
      </c>
      <c r="U88" t="str">
        <f>IF( _xlfn.IFNA(MATCH(LogTable2024[[#This Row],[My Category]], Buckets!$D$4:$D$35, 0), FALSE), ".", "E")</f>
        <v>.</v>
      </c>
    </row>
    <row r="89" spans="1:22" hidden="1" x14ac:dyDescent="0.25">
      <c r="A89" s="4">
        <v>45328</v>
      </c>
      <c r="B89" s="5" t="s">
        <v>52</v>
      </c>
      <c r="C89" s="5" t="s">
        <v>53</v>
      </c>
      <c r="D89" s="5" t="s">
        <v>54</v>
      </c>
      <c r="E89" s="5">
        <v>-13.59</v>
      </c>
      <c r="F89" s="5" t="s">
        <v>9</v>
      </c>
      <c r="G89" s="5" t="s">
        <v>195</v>
      </c>
      <c r="H89" s="5"/>
      <c r="I89" s="5"/>
      <c r="J89" s="5"/>
      <c r="K89" s="5"/>
      <c r="L89" s="5"/>
      <c r="M89" s="5"/>
      <c r="N89" s="1">
        <f>IF( ISBLANK(LogTable2024[[#This Row],[Date_o]]), IF(ISBLANK(LogTable2024[[#This Row],[Date_i]]), "", LogTable2024[[#This Row],[Date_i]]), LogTable2024[[#This Row],[Date_o]])</f>
        <v>45328</v>
      </c>
      <c r="O89" t="str">
        <f>IF( ISBLANK(LogTable2024[[#This Row],[Description_o]]), IF(ISBLANK(LogTable2024[[#This Row],[Description_i]]), "", LogTable2024[[#This Row],[Description_i]]), LogTable2024[[#This Row],[Description_o]])</f>
        <v>CVS</v>
      </c>
      <c r="P89" t="str">
        <f>IF( ISBLANK(LogTable2024[[#This Row],[Original Description_o]]), IF(ISBLANK(LogTable2024[[#This Row],[Original Description_i]]), "", LogTable2024[[#This Row],[Original Description_i]]), LogTable2024[[#This Row],[Original Description_o]])</f>
        <v>CVS/PHARMACY #10784      DENVER       CO</v>
      </c>
      <c r="Q89" t="str">
        <f>IF( ISBLANK(LogTable2024[[#This Row],[Category_o]]), IF(ISBLANK(LogTable2024[[#This Row],[Category_i]]), "", LogTable2024[[#This Row],[Category_i]]), LogTable2024[[#This Row],[Category_o]])</f>
        <v>Pharmacy</v>
      </c>
      <c r="R89" s="10">
        <f>IF( ISBLANK(LogTable2024[[#This Row],[Amount_o]]), IF(ISBLANK(LogTable2024[[#This Row],[Amount_i]]), "", LogTable2024[[#This Row],[Amount_i]]), LogTable2024[[#This Row],[Amount_o]])</f>
        <v>-13.59</v>
      </c>
      <c r="S89" s="1" t="str">
        <f>IF( ISBLANK(LogTable2024[[#This Row],[Status_o]]), IF(ISBLANK(LogTable2024[[#This Row],[Status_i]]), "", LogTable2024[[#This Row],[Status_i]]), LogTable2024[[#This Row],[Status_o]])</f>
        <v>Posted</v>
      </c>
      <c r="T89" t="s">
        <v>301</v>
      </c>
      <c r="U89" t="str">
        <f>IF( _xlfn.IFNA(MATCH(LogTable2024[[#This Row],[My Category]], Buckets!$D$4:$D$35, 0), FALSE), ".", "E")</f>
        <v>.</v>
      </c>
    </row>
    <row r="90" spans="1:22" hidden="1" x14ac:dyDescent="0.25">
      <c r="A90" s="4">
        <v>45327</v>
      </c>
      <c r="B90" s="5" t="s">
        <v>219</v>
      </c>
      <c r="C90" s="5" t="s">
        <v>469</v>
      </c>
      <c r="D90" s="5" t="s">
        <v>107</v>
      </c>
      <c r="E90" s="5">
        <v>-1945</v>
      </c>
      <c r="F90" s="5" t="s">
        <v>9</v>
      </c>
      <c r="G90" s="5" t="s">
        <v>269</v>
      </c>
      <c r="H90" s="5"/>
      <c r="I90" s="5"/>
      <c r="J90" s="5"/>
      <c r="K90" s="5"/>
      <c r="L90" s="5"/>
      <c r="M90" s="5"/>
      <c r="N90" s="1">
        <f>IF( ISBLANK(LogTable2024[[#This Row],[Date_o]]), IF(ISBLANK(LogTable2024[[#This Row],[Date_i]]), "", LogTable2024[[#This Row],[Date_i]]), LogTable2024[[#This Row],[Date_o]])</f>
        <v>45327</v>
      </c>
      <c r="O90" t="str">
        <f>IF( ISBLANK(LogTable2024[[#This Row],[Description_o]]), IF(ISBLANK(LogTable2024[[#This Row],[Description_i]]), "", LogTable2024[[#This Row],[Description_i]]), LogTable2024[[#This Row],[Description_o]])</f>
        <v>Cornerstoneapart Web</v>
      </c>
      <c r="P90" t="str">
        <f>IF( ISBLANK(LogTable2024[[#This Row],[Original Description_o]]), IF(ISBLANK(LogTable2024[[#This Row],[Original Description_i]]), "", LogTable2024[[#This Row],[Original Description_i]]), LogTable2024[[#This Row],[Original Description_o]])</f>
        <v>CORNERSTONEAPART WEB PMTS   ***********F4QF</v>
      </c>
      <c r="Q90" t="str">
        <f>IF( ISBLANK(LogTable2024[[#This Row],[Category_o]]), IF(ISBLANK(LogTable2024[[#This Row],[Category_i]]), "", LogTable2024[[#This Row],[Category_i]]), LogTable2024[[#This Row],[Category_o]])</f>
        <v>Uncategorized</v>
      </c>
      <c r="R90" s="10">
        <f>IF( ISBLANK(LogTable2024[[#This Row],[Amount_o]]), IF(ISBLANK(LogTable2024[[#This Row],[Amount_i]]), "", LogTable2024[[#This Row],[Amount_i]]), LogTable2024[[#This Row],[Amount_o]])</f>
        <v>-1945</v>
      </c>
      <c r="S90" s="1" t="str">
        <f>IF( ISBLANK(LogTable2024[[#This Row],[Status_o]]), IF(ISBLANK(LogTable2024[[#This Row],[Status_i]]), "", LogTable2024[[#This Row],[Status_i]]), LogTable2024[[#This Row],[Status_o]])</f>
        <v>Posted</v>
      </c>
      <c r="T90" t="s">
        <v>293</v>
      </c>
      <c r="U90" t="str">
        <f>IF( _xlfn.IFNA(MATCH(LogTable2024[[#This Row],[My Category]], Buckets!$D$4:$D$35, 0), FALSE), ".", "E")</f>
        <v>.</v>
      </c>
    </row>
    <row r="91" spans="1:22" hidden="1" x14ac:dyDescent="0.25">
      <c r="A91" s="4">
        <v>45327</v>
      </c>
      <c r="B91" s="5" t="s">
        <v>13</v>
      </c>
      <c r="C91" s="5" t="s">
        <v>14</v>
      </c>
      <c r="D91" s="5" t="s">
        <v>15</v>
      </c>
      <c r="E91" s="5">
        <v>-99.24</v>
      </c>
      <c r="F91" s="5" t="s">
        <v>9</v>
      </c>
      <c r="G91" s="5" t="s">
        <v>195</v>
      </c>
      <c r="H91" s="5"/>
      <c r="I91" s="5"/>
      <c r="J91" s="5"/>
      <c r="K91" s="5"/>
      <c r="L91" s="5"/>
      <c r="M91" s="5"/>
      <c r="N91" s="1">
        <f>IF( ISBLANK(LogTable2024[[#This Row],[Date_o]]), IF(ISBLANK(LogTable2024[[#This Row],[Date_i]]), "", LogTable2024[[#This Row],[Date_i]]), LogTable2024[[#This Row],[Date_o]])</f>
        <v>45327</v>
      </c>
      <c r="O91" t="str">
        <f>IF( ISBLANK(LogTable2024[[#This Row],[Description_o]]), IF(ISBLANK(LogTable2024[[#This Row],[Description_i]]), "", LogTable2024[[#This Row],[Description_i]]), LogTable2024[[#This Row],[Description_o]])</f>
        <v>King Soopers</v>
      </c>
      <c r="P91" t="str">
        <f>IF( ISBLANK(LogTable2024[[#This Row],[Original Description_o]]), IF(ISBLANK(LogTable2024[[#This Row],[Original Description_i]]), "", LogTable2024[[#This Row],[Original Description_i]]), LogTable2024[[#This Row],[Original Description_o]])</f>
        <v>KING SOOPERS #0057       WHEAT RIDGE  CO</v>
      </c>
      <c r="Q91" t="str">
        <f>IF( ISBLANK(LogTable2024[[#This Row],[Category_o]]), IF(ISBLANK(LogTable2024[[#This Row],[Category_i]]), "", LogTable2024[[#This Row],[Category_i]]), LogTable2024[[#This Row],[Category_o]])</f>
        <v>Groceries</v>
      </c>
      <c r="R91" s="10">
        <f>IF( ISBLANK(LogTable2024[[#This Row],[Amount_o]]), IF(ISBLANK(LogTable2024[[#This Row],[Amount_i]]), "", LogTable2024[[#This Row],[Amount_i]]), LogTable2024[[#This Row],[Amount_o]])</f>
        <v>-99.24</v>
      </c>
      <c r="S91" s="1" t="str">
        <f>IF( ISBLANK(LogTable2024[[#This Row],[Status_o]]), IF(ISBLANK(LogTable2024[[#This Row],[Status_i]]), "", LogTable2024[[#This Row],[Status_i]]), LogTable2024[[#This Row],[Status_o]])</f>
        <v>Posted</v>
      </c>
      <c r="T91" t="s">
        <v>15</v>
      </c>
      <c r="U91" t="str">
        <f>IF( _xlfn.IFNA(MATCH(LogTable2024[[#This Row],[My Category]], Buckets!$D$4:$D$35, 0), FALSE), ".", "E")</f>
        <v>.</v>
      </c>
    </row>
    <row r="92" spans="1:22" hidden="1" x14ac:dyDescent="0.25">
      <c r="A92" s="4">
        <v>45327</v>
      </c>
      <c r="B92" s="5" t="s">
        <v>450</v>
      </c>
      <c r="C92" s="5" t="s">
        <v>451</v>
      </c>
      <c r="D92" s="5" t="s">
        <v>27</v>
      </c>
      <c r="E92" s="5">
        <v>-3.56</v>
      </c>
      <c r="F92" s="5" t="s">
        <v>9</v>
      </c>
      <c r="G92" s="5" t="s">
        <v>195</v>
      </c>
      <c r="H92" s="5"/>
      <c r="I92" s="5"/>
      <c r="J92" s="5"/>
      <c r="K92" s="5"/>
      <c r="L92" s="5"/>
      <c r="M92" s="5"/>
      <c r="N92" s="1">
        <f>IF( ISBLANK(LogTable2024[[#This Row],[Date_o]]), IF(ISBLANK(LogTable2024[[#This Row],[Date_i]]), "", LogTable2024[[#This Row],[Date_i]]), LogTable2024[[#This Row],[Date_o]])</f>
        <v>45327</v>
      </c>
      <c r="O92" t="str">
        <f>IF( ISBLANK(LogTable2024[[#This Row],[Description_o]]), IF(ISBLANK(LogTable2024[[#This Row],[Description_i]]), "", LogTable2024[[#This Row],[Description_i]]), LogTable2024[[#This Row],[Description_o]])</f>
        <v>Snarf's</v>
      </c>
      <c r="P92" t="str">
        <f>IF( ISBLANK(LogTable2024[[#This Row],[Original Description_o]]), IF(ISBLANK(LogTable2024[[#This Row],[Original Description_i]]), "", LogTable2024[[#This Row],[Original Description_i]]), LogTable2024[[#This Row],[Original Description_o]])</f>
        <v>SNARFS WESTMINSTER       DENVER       CO</v>
      </c>
      <c r="Q92" t="str">
        <f>IF( ISBLANK(LogTable2024[[#This Row],[Category_o]]), IF(ISBLANK(LogTable2024[[#This Row],[Category_i]]), "", LogTable2024[[#This Row],[Category_i]]), LogTable2024[[#This Row],[Category_o]])</f>
        <v>Fast Food</v>
      </c>
      <c r="R92" s="10">
        <f>IF( ISBLANK(LogTable2024[[#This Row],[Amount_o]]), IF(ISBLANK(LogTable2024[[#This Row],[Amount_i]]), "", LogTable2024[[#This Row],[Amount_i]]), LogTable2024[[#This Row],[Amount_o]])</f>
        <v>-3.56</v>
      </c>
      <c r="S92" s="1" t="str">
        <f>IF( ISBLANK(LogTable2024[[#This Row],[Status_o]]), IF(ISBLANK(LogTable2024[[#This Row],[Status_i]]), "", LogTable2024[[#This Row],[Status_i]]), LogTable2024[[#This Row],[Status_o]])</f>
        <v>Posted</v>
      </c>
      <c r="T92" t="s">
        <v>292</v>
      </c>
      <c r="U92" t="str">
        <f>IF( _xlfn.IFNA(MATCH(LogTable2024[[#This Row],[My Category]], Buckets!$D$4:$D$35, 0), FALSE), ".", "E")</f>
        <v>.</v>
      </c>
    </row>
    <row r="93" spans="1:22" hidden="1" x14ac:dyDescent="0.25">
      <c r="A93" s="4">
        <v>45326</v>
      </c>
      <c r="B93" s="5" t="s">
        <v>66</v>
      </c>
      <c r="C93" s="5" t="s">
        <v>67</v>
      </c>
      <c r="D93" s="5" t="s">
        <v>68</v>
      </c>
      <c r="E93" s="5">
        <v>-35</v>
      </c>
      <c r="F93" s="5" t="s">
        <v>9</v>
      </c>
      <c r="G93" s="5" t="s">
        <v>195</v>
      </c>
      <c r="H93" s="5"/>
      <c r="I93" s="5"/>
      <c r="J93" s="5"/>
      <c r="K93" s="5"/>
      <c r="L93" s="5"/>
      <c r="M93" s="5"/>
      <c r="N93" s="1">
        <f>IF( ISBLANK(LogTable2024[[#This Row],[Date_o]]), IF(ISBLANK(LogTable2024[[#This Row],[Date_i]]), "", LogTable2024[[#This Row],[Date_i]]), LogTable2024[[#This Row],[Date_o]])</f>
        <v>45326</v>
      </c>
      <c r="O93" t="str">
        <f>IF( ISBLANK(LogTable2024[[#This Row],[Description_o]]), IF(ISBLANK(LogTable2024[[#This Row],[Description_i]]), "", LogTable2024[[#This Row],[Description_i]]), LogTable2024[[#This Row],[Description_o]])</f>
        <v>T-Mobile</v>
      </c>
      <c r="P93" t="str">
        <f>IF( ISBLANK(LogTable2024[[#This Row],[Original Description_o]]), IF(ISBLANK(LogTable2024[[#This Row],[Original Description_i]]), "", LogTable2024[[#This Row],[Original Description_i]]), LogTable2024[[#This Row],[Original Description_o]])</f>
        <v>TMOBILE*AUTO PAY         800-937-8997 WA</v>
      </c>
      <c r="Q93" t="str">
        <f>IF( ISBLANK(LogTable2024[[#This Row],[Category_o]]), IF(ISBLANK(LogTable2024[[#This Row],[Category_i]]), "", LogTable2024[[#This Row],[Category_i]]), LogTable2024[[#This Row],[Category_o]])</f>
        <v>Mobile Phone</v>
      </c>
      <c r="R93" s="10">
        <f>IF( ISBLANK(LogTable2024[[#This Row],[Amount_o]]), IF(ISBLANK(LogTable2024[[#This Row],[Amount_i]]), "", LogTable2024[[#This Row],[Amount_i]]), LogTable2024[[#This Row],[Amount_o]])</f>
        <v>-35</v>
      </c>
      <c r="S93" s="1" t="str">
        <f>IF( ISBLANK(LogTable2024[[#This Row],[Status_o]]), IF(ISBLANK(LogTable2024[[#This Row],[Status_i]]), "", LogTable2024[[#This Row],[Status_i]]), LogTable2024[[#This Row],[Status_o]])</f>
        <v>Posted</v>
      </c>
      <c r="T93" t="s">
        <v>215</v>
      </c>
      <c r="U93" t="str">
        <f>IF( _xlfn.IFNA(MATCH(LogTable2024[[#This Row],[My Category]], Buckets!$D$4:$D$35, 0), FALSE), ".", "E")</f>
        <v>.</v>
      </c>
    </row>
    <row r="94" spans="1:22" hidden="1" x14ac:dyDescent="0.25">
      <c r="A94" s="4">
        <v>45324</v>
      </c>
      <c r="B94" s="5" t="s">
        <v>219</v>
      </c>
      <c r="C94" s="5" t="s">
        <v>470</v>
      </c>
      <c r="D94" s="5" t="s">
        <v>107</v>
      </c>
      <c r="E94" s="5">
        <v>-110.33</v>
      </c>
      <c r="F94" s="5" t="s">
        <v>9</v>
      </c>
      <c r="G94" s="5" t="s">
        <v>269</v>
      </c>
      <c r="H94" s="5"/>
      <c r="I94" s="5"/>
      <c r="J94" s="5"/>
      <c r="K94" s="5"/>
      <c r="L94" s="5"/>
      <c r="M94" s="5"/>
      <c r="N94" s="1">
        <f>IF( ISBLANK(LogTable2024[[#This Row],[Date_o]]), IF(ISBLANK(LogTable2024[[#This Row],[Date_i]]), "", LogTable2024[[#This Row],[Date_i]]), LogTable2024[[#This Row],[Date_o]])</f>
        <v>45324</v>
      </c>
      <c r="O94" t="str">
        <f>IF( ISBLANK(LogTable2024[[#This Row],[Description_o]]), IF(ISBLANK(LogTable2024[[#This Row],[Description_i]]), "", LogTable2024[[#This Row],[Description_i]]), LogTable2024[[#This Row],[Description_o]])</f>
        <v>Cornerstoneapart Web</v>
      </c>
      <c r="P94" t="str">
        <f>IF( ISBLANK(LogTable2024[[#This Row],[Original Description_o]]), IF(ISBLANK(LogTable2024[[#This Row],[Original Description_i]]), "", LogTable2024[[#This Row],[Original Description_i]]), LogTable2024[[#This Row],[Original Description_o]])</f>
        <v>CORNERSTONEAPART WEB PMTS   ***********QHPF</v>
      </c>
      <c r="Q94" t="str">
        <f>IF( ISBLANK(LogTable2024[[#This Row],[Category_o]]), IF(ISBLANK(LogTable2024[[#This Row],[Category_i]]), "", LogTable2024[[#This Row],[Category_i]]), LogTable2024[[#This Row],[Category_o]])</f>
        <v>Uncategorized</v>
      </c>
      <c r="R94" s="10">
        <f>IF( ISBLANK(LogTable2024[[#This Row],[Amount_o]]), IF(ISBLANK(LogTable2024[[#This Row],[Amount_i]]), "", LogTable2024[[#This Row],[Amount_i]]), LogTable2024[[#This Row],[Amount_o]])</f>
        <v>-110.33</v>
      </c>
      <c r="S94" s="1" t="str">
        <f>IF( ISBLANK(LogTable2024[[#This Row],[Status_o]]), IF(ISBLANK(LogTable2024[[#This Row],[Status_i]]), "", LogTable2024[[#This Row],[Status_i]]), LogTable2024[[#This Row],[Status_o]])</f>
        <v>Posted</v>
      </c>
      <c r="T94" t="s">
        <v>293</v>
      </c>
      <c r="U94" t="str">
        <f>IF( _xlfn.IFNA(MATCH(LogTable2024[[#This Row],[My Category]], Buckets!$D$4:$D$35, 0), FALSE), ".", "E")</f>
        <v>.</v>
      </c>
    </row>
    <row r="95" spans="1:22" hidden="1" x14ac:dyDescent="0.25">
      <c r="A95" s="4">
        <v>45322</v>
      </c>
      <c r="B95" s="5" t="s">
        <v>25</v>
      </c>
      <c r="C95" s="5" t="s">
        <v>26</v>
      </c>
      <c r="D95" s="5" t="s">
        <v>27</v>
      </c>
      <c r="E95" s="5">
        <v>-12.16</v>
      </c>
      <c r="F95" s="5" t="s">
        <v>9</v>
      </c>
      <c r="G95" s="5" t="s">
        <v>195</v>
      </c>
      <c r="H95" s="5"/>
      <c r="I95" s="5"/>
      <c r="J95" s="5"/>
      <c r="K95" s="5"/>
      <c r="L95" s="5"/>
      <c r="M95" s="5"/>
      <c r="N95" s="1">
        <f>IF( ISBLANK(LogTable2024[[#This Row],[Date_o]]), IF(ISBLANK(LogTable2024[[#This Row],[Date_i]]), "", LogTable2024[[#This Row],[Date_i]]), LogTable2024[[#This Row],[Date_o]])</f>
        <v>45322</v>
      </c>
      <c r="O95" t="str">
        <f>IF( ISBLANK(LogTable2024[[#This Row],[Description_o]]), IF(ISBLANK(LogTable2024[[#This Row],[Description_i]]), "", LogTable2024[[#This Row],[Description_i]]), LogTable2024[[#This Row],[Description_o]])</f>
        <v>Qdoba</v>
      </c>
      <c r="P95" t="str">
        <f>IF( ISBLANK(LogTable2024[[#This Row],[Original Description_o]]), IF(ISBLANK(LogTable2024[[#This Row],[Original Description_i]]), "", LogTable2024[[#This Row],[Original Description_i]]), LogTable2024[[#This Row],[Original Description_o]])</f>
        <v>QDOBA 2063               WESTMINSTER  CA</v>
      </c>
      <c r="Q95" t="str">
        <f>IF( ISBLANK(LogTable2024[[#This Row],[Category_o]]), IF(ISBLANK(LogTable2024[[#This Row],[Category_i]]), "", LogTable2024[[#This Row],[Category_i]]), LogTable2024[[#This Row],[Category_o]])</f>
        <v>Fast Food</v>
      </c>
      <c r="R95" s="10">
        <f>IF( ISBLANK(LogTable2024[[#This Row],[Amount_o]]), IF(ISBLANK(LogTable2024[[#This Row],[Amount_i]]), "", LogTable2024[[#This Row],[Amount_i]]), LogTable2024[[#This Row],[Amount_o]])</f>
        <v>-12.16</v>
      </c>
      <c r="S95" s="1" t="str">
        <f>IF( ISBLANK(LogTable2024[[#This Row],[Status_o]]), IF(ISBLANK(LogTable2024[[#This Row],[Status_i]]), "", LogTable2024[[#This Row],[Status_i]]), LogTable2024[[#This Row],[Status_o]])</f>
        <v>Posted</v>
      </c>
      <c r="T95" t="s">
        <v>292</v>
      </c>
      <c r="U95" t="str">
        <f>IF( _xlfn.IFNA(MATCH(LogTable2024[[#This Row],[My Category]], Buckets!$D$4:$D$35, 0), FALSE), ".", "E")</f>
        <v>.</v>
      </c>
    </row>
    <row r="96" spans="1:22" hidden="1" x14ac:dyDescent="0.25">
      <c r="A96" s="4">
        <v>45321</v>
      </c>
      <c r="B96" s="5" t="s">
        <v>173</v>
      </c>
      <c r="C96" s="5" t="s">
        <v>174</v>
      </c>
      <c r="D96" s="5" t="s">
        <v>27</v>
      </c>
      <c r="E96" s="5">
        <v>-10.95</v>
      </c>
      <c r="F96" s="5" t="s">
        <v>9</v>
      </c>
      <c r="G96" s="5" t="s">
        <v>195</v>
      </c>
      <c r="H96" s="5"/>
      <c r="I96" s="5"/>
      <c r="J96" s="5"/>
      <c r="K96" s="5"/>
      <c r="L96" s="5"/>
      <c r="M96" s="5"/>
      <c r="N96" s="1">
        <f>IF( ISBLANK(LogTable2024[[#This Row],[Date_o]]), IF(ISBLANK(LogTable2024[[#This Row],[Date_i]]), "", LogTable2024[[#This Row],[Date_i]]), LogTable2024[[#This Row],[Date_o]])</f>
        <v>45321</v>
      </c>
      <c r="O96" t="str">
        <f>IF( ISBLANK(LogTable2024[[#This Row],[Description_o]]), IF(ISBLANK(LogTable2024[[#This Row],[Description_i]]), "", LogTable2024[[#This Row],[Description_i]]), LogTable2024[[#This Row],[Description_o]])</f>
        <v>Chick-fil-A</v>
      </c>
      <c r="P96" t="str">
        <f>IF( ISBLANK(LogTable2024[[#This Row],[Original Description_o]]), IF(ISBLANK(LogTable2024[[#This Row],[Original Description_i]]), "", LogTable2024[[#This Row],[Original Description_i]]), LogTable2024[[#This Row],[Original Description_o]])</f>
        <v>CHICK-FIL-A #01291       THORNTON     CO</v>
      </c>
      <c r="Q96" t="str">
        <f>IF( ISBLANK(LogTable2024[[#This Row],[Category_o]]), IF(ISBLANK(LogTable2024[[#This Row],[Category_i]]), "", LogTable2024[[#This Row],[Category_i]]), LogTable2024[[#This Row],[Category_o]])</f>
        <v>Fast Food</v>
      </c>
      <c r="R96" s="10">
        <f>IF( ISBLANK(LogTable2024[[#This Row],[Amount_o]]), IF(ISBLANK(LogTable2024[[#This Row],[Amount_i]]), "", LogTable2024[[#This Row],[Amount_i]]), LogTable2024[[#This Row],[Amount_o]])</f>
        <v>-10.95</v>
      </c>
      <c r="S96" s="1" t="str">
        <f>IF( ISBLANK(LogTable2024[[#This Row],[Status_o]]), IF(ISBLANK(LogTable2024[[#This Row],[Status_i]]), "", LogTable2024[[#This Row],[Status_i]]), LogTable2024[[#This Row],[Status_o]])</f>
        <v>Posted</v>
      </c>
      <c r="T96" t="s">
        <v>292</v>
      </c>
      <c r="U96" t="str">
        <f>IF( _xlfn.IFNA(MATCH(LogTable2024[[#This Row],[My Category]], Buckets!$D$4:$D$35, 0), FALSE), ".", "E")</f>
        <v>.</v>
      </c>
    </row>
    <row r="97" spans="1:21" hidden="1" x14ac:dyDescent="0.25">
      <c r="A97" s="4">
        <v>45321</v>
      </c>
      <c r="B97" s="5" t="s">
        <v>196</v>
      </c>
      <c r="C97" s="5" t="s">
        <v>197</v>
      </c>
      <c r="D97" s="5" t="s">
        <v>198</v>
      </c>
      <c r="E97" s="5">
        <v>5616.04</v>
      </c>
      <c r="F97" s="5" t="s">
        <v>9</v>
      </c>
      <c r="G97" s="5" t="s">
        <v>269</v>
      </c>
      <c r="H97" s="5"/>
      <c r="I97" s="5"/>
      <c r="J97" s="5"/>
      <c r="K97" s="5"/>
      <c r="L97" s="5"/>
      <c r="M97" s="5"/>
      <c r="N97" s="1">
        <f>IF( ISBLANK(LogTable2024[[#This Row],[Date_o]]), IF(ISBLANK(LogTable2024[[#This Row],[Date_i]]), "", LogTable2024[[#This Row],[Date_i]]), LogTable2024[[#This Row],[Date_o]])</f>
        <v>45321</v>
      </c>
      <c r="O97" t="str">
        <f>IF( ISBLANK(LogTable2024[[#This Row],[Description_o]]), IF(ISBLANK(LogTable2024[[#This Row],[Description_i]]), "", LogTable2024[[#This Row],[Description_i]]), LogTable2024[[#This Row],[Description_o]])</f>
        <v>Insperity</v>
      </c>
      <c r="P97" t="str">
        <f>IF( ISBLANK(LogTable2024[[#This Row],[Original Description_o]]), IF(ISBLANK(LogTable2024[[#This Row],[Original Description_i]]), "", LogTable2024[[#This Row],[Original Description_i]]), LogTable2024[[#This Row],[Original Description_o]])</f>
        <v>ASF, DBA Insperi PAYROLL    ***********5626</v>
      </c>
      <c r="Q97" t="str">
        <f>IF( ISBLANK(LogTable2024[[#This Row],[Category_o]]), IF(ISBLANK(LogTable2024[[#This Row],[Category_i]]), "", LogTable2024[[#This Row],[Category_i]]), LogTable2024[[#This Row],[Category_o]])</f>
        <v>Paycheck</v>
      </c>
      <c r="R97" s="10">
        <f>IF( ISBLANK(LogTable2024[[#This Row],[Amount_o]]), IF(ISBLANK(LogTable2024[[#This Row],[Amount_i]]), "", LogTable2024[[#This Row],[Amount_i]]), LogTable2024[[#This Row],[Amount_o]])</f>
        <v>5616.04</v>
      </c>
      <c r="S97" s="1" t="str">
        <f>IF( ISBLANK(LogTable2024[[#This Row],[Status_o]]), IF(ISBLANK(LogTable2024[[#This Row],[Status_i]]), "", LogTable2024[[#This Row],[Status_i]]), LogTable2024[[#This Row],[Status_o]])</f>
        <v>Posted</v>
      </c>
      <c r="T97" t="s">
        <v>305</v>
      </c>
      <c r="U97" t="str">
        <f>IF( _xlfn.IFNA(MATCH(LogTable2024[[#This Row],[My Category]], Buckets!$D$4:$D$35, 0), FALSE), ".", "E")</f>
        <v>.</v>
      </c>
    </row>
    <row r="98" spans="1:21" hidden="1" x14ac:dyDescent="0.25">
      <c r="A98" s="4">
        <v>45320</v>
      </c>
      <c r="B98" s="5" t="s">
        <v>13</v>
      </c>
      <c r="C98" s="5" t="s">
        <v>14</v>
      </c>
      <c r="D98" s="5" t="s">
        <v>15</v>
      </c>
      <c r="E98" s="5">
        <v>-62.15</v>
      </c>
      <c r="F98" s="5" t="s">
        <v>9</v>
      </c>
      <c r="G98" s="5" t="s">
        <v>195</v>
      </c>
      <c r="H98" s="5"/>
      <c r="I98" s="5"/>
      <c r="J98" s="5"/>
      <c r="K98" s="5"/>
      <c r="L98" s="5"/>
      <c r="M98" s="5"/>
      <c r="N98" s="1">
        <f>IF( ISBLANK(LogTable2024[[#This Row],[Date_o]]), IF(ISBLANK(LogTable2024[[#This Row],[Date_i]]), "", LogTable2024[[#This Row],[Date_i]]), LogTable2024[[#This Row],[Date_o]])</f>
        <v>45320</v>
      </c>
      <c r="O98" t="str">
        <f>IF( ISBLANK(LogTable2024[[#This Row],[Description_o]]), IF(ISBLANK(LogTable2024[[#This Row],[Description_i]]), "", LogTable2024[[#This Row],[Description_i]]), LogTable2024[[#This Row],[Description_o]])</f>
        <v>King Soopers</v>
      </c>
      <c r="P98" t="str">
        <f>IF( ISBLANK(LogTable2024[[#This Row],[Original Description_o]]), IF(ISBLANK(LogTable2024[[#This Row],[Original Description_i]]), "", LogTable2024[[#This Row],[Original Description_i]]), LogTable2024[[#This Row],[Original Description_o]])</f>
        <v>KING SOOPERS #0057       WHEAT RIDGE  CO</v>
      </c>
      <c r="Q98" t="str">
        <f>IF( ISBLANK(LogTable2024[[#This Row],[Category_o]]), IF(ISBLANK(LogTable2024[[#This Row],[Category_i]]), "", LogTable2024[[#This Row],[Category_i]]), LogTable2024[[#This Row],[Category_o]])</f>
        <v>Groceries</v>
      </c>
      <c r="R98" s="10">
        <f>IF( ISBLANK(LogTable2024[[#This Row],[Amount_o]]), IF(ISBLANK(LogTable2024[[#This Row],[Amount_i]]), "", LogTable2024[[#This Row],[Amount_i]]), LogTable2024[[#This Row],[Amount_o]])</f>
        <v>-62.15</v>
      </c>
      <c r="S98" s="1" t="str">
        <f>IF( ISBLANK(LogTable2024[[#This Row],[Status_o]]), IF(ISBLANK(LogTable2024[[#This Row],[Status_i]]), "", LogTable2024[[#This Row],[Status_i]]), LogTable2024[[#This Row],[Status_o]])</f>
        <v>Posted</v>
      </c>
      <c r="T98" t="s">
        <v>15</v>
      </c>
      <c r="U98" t="str">
        <f>IF( _xlfn.IFNA(MATCH(LogTable2024[[#This Row],[My Category]], Buckets!$D$4:$D$35, 0), FALSE), ".", "E")</f>
        <v>.</v>
      </c>
    </row>
    <row r="99" spans="1:21" hidden="1" x14ac:dyDescent="0.25">
      <c r="A99" s="4">
        <v>45320</v>
      </c>
      <c r="B99" s="5" t="s">
        <v>55</v>
      </c>
      <c r="C99" s="5" t="s">
        <v>56</v>
      </c>
      <c r="D99" s="5" t="s">
        <v>27</v>
      </c>
      <c r="E99" s="5">
        <v>-11.87</v>
      </c>
      <c r="F99" s="5" t="s">
        <v>9</v>
      </c>
      <c r="G99" s="5" t="s">
        <v>195</v>
      </c>
      <c r="H99" s="5"/>
      <c r="I99" s="5"/>
      <c r="J99" s="5"/>
      <c r="K99" s="5"/>
      <c r="L99" s="5"/>
      <c r="M99" s="5"/>
      <c r="N99" s="1">
        <f>IF( ISBLANK(LogTable2024[[#This Row],[Date_o]]), IF(ISBLANK(LogTable2024[[#This Row],[Date_i]]), "", LogTable2024[[#This Row],[Date_i]]), LogTable2024[[#This Row],[Date_o]])</f>
        <v>45320</v>
      </c>
      <c r="O99" t="str">
        <f>IF( ISBLANK(LogTable2024[[#This Row],[Description_o]]), IF(ISBLANK(LogTable2024[[#This Row],[Description_i]]), "", LogTable2024[[#This Row],[Description_i]]), LogTable2024[[#This Row],[Description_o]])</f>
        <v>The Pasty Republic</v>
      </c>
      <c r="P99" t="str">
        <f>IF( ISBLANK(LogTable2024[[#This Row],[Original Description_o]]), IF(ISBLANK(LogTable2024[[#This Row],[Original Description_i]]), "", LogTable2024[[#This Row],[Original Description_i]]), LogTable2024[[#This Row],[Original Description_o]])</f>
        <v>SQ *THE PASTY REPUBLIC   Denver       CO</v>
      </c>
      <c r="Q99" t="str">
        <f>IF( ISBLANK(LogTable2024[[#This Row],[Category_o]]), IF(ISBLANK(LogTable2024[[#This Row],[Category_i]]), "", LogTable2024[[#This Row],[Category_i]]), LogTable2024[[#This Row],[Category_o]])</f>
        <v>Fast Food</v>
      </c>
      <c r="R99" s="10">
        <f>IF( ISBLANK(LogTable2024[[#This Row],[Amount_o]]), IF(ISBLANK(LogTable2024[[#This Row],[Amount_i]]), "", LogTable2024[[#This Row],[Amount_i]]), LogTable2024[[#This Row],[Amount_o]])</f>
        <v>-11.87</v>
      </c>
      <c r="S99" s="1" t="str">
        <f>IF( ISBLANK(LogTable2024[[#This Row],[Status_o]]), IF(ISBLANK(LogTable2024[[#This Row],[Status_i]]), "", LogTable2024[[#This Row],[Status_i]]), LogTable2024[[#This Row],[Status_o]])</f>
        <v>Posted</v>
      </c>
      <c r="T99" t="s">
        <v>292</v>
      </c>
      <c r="U99" t="str">
        <f>IF( _xlfn.IFNA(MATCH(LogTable2024[[#This Row],[My Category]], Buckets!$D$4:$D$35, 0), FALSE), ".", "E")</f>
        <v>.</v>
      </c>
    </row>
    <row r="100" spans="1:21" hidden="1" x14ac:dyDescent="0.25">
      <c r="A100" s="4">
        <v>45317</v>
      </c>
      <c r="B100" s="5" t="s">
        <v>201</v>
      </c>
      <c r="C100" s="5" t="s">
        <v>202</v>
      </c>
      <c r="D100" s="5" t="s">
        <v>203</v>
      </c>
      <c r="E100" s="5">
        <v>0.09</v>
      </c>
      <c r="F100" s="5" t="s">
        <v>9</v>
      </c>
      <c r="G100" s="5" t="s">
        <v>269</v>
      </c>
      <c r="H100" s="5"/>
      <c r="I100" s="5"/>
      <c r="J100" s="5"/>
      <c r="K100" s="5"/>
      <c r="L100" s="5"/>
      <c r="M100" s="5"/>
      <c r="N100" s="1">
        <f>IF( ISBLANK(LogTable2024[[#This Row],[Date_o]]), IF(ISBLANK(LogTable2024[[#This Row],[Date_i]]), "", LogTable2024[[#This Row],[Date_i]]), LogTable2024[[#This Row],[Date_o]])</f>
        <v>45317</v>
      </c>
      <c r="O100" t="str">
        <f>IF( ISBLANK(LogTable2024[[#This Row],[Description_o]]), IF(ISBLANK(LogTable2024[[#This Row],[Description_i]]), "", LogTable2024[[#This Row],[Description_i]]), LogTable2024[[#This Row],[Description_o]])</f>
        <v>Interest Paid</v>
      </c>
      <c r="P100" t="str">
        <f>IF( ISBLANK(LogTable2024[[#This Row],[Original Description_o]]), IF(ISBLANK(LogTable2024[[#This Row],[Original Description_i]]), "", LogTable2024[[#This Row],[Original Description_i]]), LogTable2024[[#This Row],[Original Description_o]])</f>
        <v>INTEREST PAID</v>
      </c>
      <c r="Q100" t="str">
        <f>IF( ISBLANK(LogTable2024[[#This Row],[Category_o]]), IF(ISBLANK(LogTable2024[[#This Row],[Category_i]]), "", LogTable2024[[#This Row],[Category_i]]), LogTable2024[[#This Row],[Category_o]])</f>
        <v>Interest Income</v>
      </c>
      <c r="R100" s="10">
        <f>IF( ISBLANK(LogTable2024[[#This Row],[Amount_o]]), IF(ISBLANK(LogTable2024[[#This Row],[Amount_i]]), "", LogTable2024[[#This Row],[Amount_i]]), LogTable2024[[#This Row],[Amount_o]])</f>
        <v>0.09</v>
      </c>
      <c r="S100" s="1" t="str">
        <f>IF( ISBLANK(LogTable2024[[#This Row],[Status_o]]), IF(ISBLANK(LogTable2024[[#This Row],[Status_i]]), "", LogTable2024[[#This Row],[Status_i]]), LogTable2024[[#This Row],[Status_o]])</f>
        <v>Posted</v>
      </c>
      <c r="T100" t="s">
        <v>306</v>
      </c>
      <c r="U100" t="str">
        <f>IF( _xlfn.IFNA(MATCH(LogTable2024[[#This Row],[My Category]], Buckets!$D$4:$D$35, 0), FALSE), ".", "E")</f>
        <v>.</v>
      </c>
    </row>
    <row r="101" spans="1:21" hidden="1" x14ac:dyDescent="0.25">
      <c r="A101" s="4">
        <v>45315</v>
      </c>
      <c r="B101" s="5" t="s">
        <v>57</v>
      </c>
      <c r="C101" s="5" t="s">
        <v>58</v>
      </c>
      <c r="D101" s="5" t="s">
        <v>47</v>
      </c>
      <c r="E101" s="5">
        <v>-16.170000000000002</v>
      </c>
      <c r="F101" s="5" t="s">
        <v>9</v>
      </c>
      <c r="G101" s="5" t="s">
        <v>195</v>
      </c>
      <c r="H101" s="5"/>
      <c r="I101" s="5"/>
      <c r="J101" s="5"/>
      <c r="K101" s="5"/>
      <c r="L101" s="5"/>
      <c r="M101" s="5"/>
      <c r="N101" s="1">
        <f>IF( ISBLANK(LogTable2024[[#This Row],[Date_o]]), IF(ISBLANK(LogTable2024[[#This Row],[Date_i]]), "", LogTable2024[[#This Row],[Date_i]]), LogTable2024[[#This Row],[Date_o]])</f>
        <v>45315</v>
      </c>
      <c r="O101" t="str">
        <f>IF( ISBLANK(LogTable2024[[#This Row],[Description_o]]), IF(ISBLANK(LogTable2024[[#This Row],[Description_i]]), "", LogTable2024[[#This Row],[Description_i]]), LogTable2024[[#This Row],[Description_o]])</f>
        <v>Mugi Ramen and Poke</v>
      </c>
      <c r="P101" t="str">
        <f>IF( ISBLANK(LogTable2024[[#This Row],[Original Description_o]]), IF(ISBLANK(LogTable2024[[#This Row],[Original Description_i]]), "", LogTable2024[[#This Row],[Original Description_i]]), LogTable2024[[#This Row],[Original Description_o]])</f>
        <v>MUGI RAMEN AND POKE      WESTMINSTER  CO</v>
      </c>
      <c r="Q101" t="str">
        <f>IF( ISBLANK(LogTable2024[[#This Row],[Category_o]]), IF(ISBLANK(LogTable2024[[#This Row],[Category_i]]), "", LogTable2024[[#This Row],[Category_i]]), LogTable2024[[#This Row],[Category_o]])</f>
        <v>Food &amp; Dining</v>
      </c>
      <c r="R101" s="10">
        <f>IF( ISBLANK(LogTable2024[[#This Row],[Amount_o]]), IF(ISBLANK(LogTable2024[[#This Row],[Amount_i]]), "", LogTable2024[[#This Row],[Amount_i]]), LogTable2024[[#This Row],[Amount_o]])</f>
        <v>-16.170000000000002</v>
      </c>
      <c r="S101" s="1" t="str">
        <f>IF( ISBLANK(LogTable2024[[#This Row],[Status_o]]), IF(ISBLANK(LogTable2024[[#This Row],[Status_i]]), "", LogTable2024[[#This Row],[Status_i]]), LogTable2024[[#This Row],[Status_o]])</f>
        <v>Posted</v>
      </c>
      <c r="T101" t="s">
        <v>292</v>
      </c>
      <c r="U101" t="str">
        <f>IF( _xlfn.IFNA(MATCH(LogTable2024[[#This Row],[My Category]], Buckets!$D$4:$D$35, 0), FALSE), ".", "E")</f>
        <v>.</v>
      </c>
    </row>
    <row r="102" spans="1:21" hidden="1" x14ac:dyDescent="0.25">
      <c r="A102" s="4">
        <v>45313</v>
      </c>
      <c r="B102" s="5" t="s">
        <v>440</v>
      </c>
      <c r="C102" s="5" t="s">
        <v>441</v>
      </c>
      <c r="D102" s="5" t="s">
        <v>47</v>
      </c>
      <c r="E102" s="5">
        <v>-51.9</v>
      </c>
      <c r="F102" s="5" t="s">
        <v>9</v>
      </c>
      <c r="G102" s="5" t="s">
        <v>195</v>
      </c>
      <c r="H102" s="5"/>
      <c r="I102" s="5"/>
      <c r="J102" s="5"/>
      <c r="K102" s="5"/>
      <c r="L102" s="5"/>
      <c r="M102" s="5"/>
      <c r="N102" s="1">
        <f>IF( ISBLANK(LogTable2024[[#This Row],[Date_o]]), IF(ISBLANK(LogTable2024[[#This Row],[Date_i]]), "", LogTable2024[[#This Row],[Date_i]]), LogTable2024[[#This Row],[Date_o]])</f>
        <v>45313</v>
      </c>
      <c r="O102" t="str">
        <f>IF( ISBLANK(LogTable2024[[#This Row],[Description_o]]), IF(ISBLANK(LogTable2024[[#This Row],[Description_i]]), "", LogTable2024[[#This Row],[Description_i]]), LogTable2024[[#This Row],[Description_o]])</f>
        <v>Bad Daddy's Burger Bar</v>
      </c>
      <c r="P102" t="str">
        <f>IF( ISBLANK(LogTable2024[[#This Row],[Original Description_o]]), IF(ISBLANK(LogTable2024[[#This Row],[Original Description_i]]), "", LogTable2024[[#This Row],[Original Description_i]]), LogTable2024[[#This Row],[Original Description_o]])</f>
        <v>BAD DADDY'S BURGER BAR   CENTENNIAL   CO</v>
      </c>
      <c r="Q102" t="str">
        <f>IF( ISBLANK(LogTable2024[[#This Row],[Category_o]]), IF(ISBLANK(LogTable2024[[#This Row],[Category_i]]), "", LogTable2024[[#This Row],[Category_i]]), LogTable2024[[#This Row],[Category_o]])</f>
        <v>Food &amp; Dining</v>
      </c>
      <c r="R102" s="10">
        <f>IF( ISBLANK(LogTable2024[[#This Row],[Amount_o]]), IF(ISBLANK(LogTable2024[[#This Row],[Amount_i]]), "", LogTable2024[[#This Row],[Amount_i]]), LogTable2024[[#This Row],[Amount_o]])</f>
        <v>-51.9</v>
      </c>
      <c r="S102" s="1" t="str">
        <f>IF( ISBLANK(LogTable2024[[#This Row],[Status_o]]), IF(ISBLANK(LogTable2024[[#This Row],[Status_i]]), "", LogTable2024[[#This Row],[Status_i]]), LogTable2024[[#This Row],[Status_o]])</f>
        <v>Posted</v>
      </c>
      <c r="T102" t="s">
        <v>287</v>
      </c>
      <c r="U102" t="str">
        <f>IF( _xlfn.IFNA(MATCH(LogTable2024[[#This Row],[My Category]], Buckets!$D$4:$D$35, 0), FALSE), ".", "E")</f>
        <v>.</v>
      </c>
    </row>
    <row r="103" spans="1:21" hidden="1" x14ac:dyDescent="0.25">
      <c r="A103" s="4">
        <v>45312</v>
      </c>
      <c r="B103" s="5" t="s">
        <v>442</v>
      </c>
      <c r="C103" s="5" t="s">
        <v>443</v>
      </c>
      <c r="D103" s="5" t="s">
        <v>44</v>
      </c>
      <c r="E103" s="5">
        <v>-56.25</v>
      </c>
      <c r="F103" s="5" t="s">
        <v>9</v>
      </c>
      <c r="G103" s="5" t="s">
        <v>195</v>
      </c>
      <c r="H103" s="5"/>
      <c r="I103" s="5"/>
      <c r="J103" s="5"/>
      <c r="K103" s="5"/>
      <c r="L103" s="5"/>
      <c r="M103" s="5"/>
      <c r="N103" s="1">
        <f>IF( ISBLANK(LogTable2024[[#This Row],[Date_o]]), IF(ISBLANK(LogTable2024[[#This Row],[Date_i]]), "", LogTable2024[[#This Row],[Date_i]]), LogTable2024[[#This Row],[Date_o]])</f>
        <v>45312</v>
      </c>
      <c r="O103" t="str">
        <f>IF( ISBLANK(LogTable2024[[#This Row],[Description_o]]), IF(ISBLANK(LogTable2024[[#This Row],[Description_i]]), "", LogTable2024[[#This Row],[Description_i]]), LogTable2024[[#This Row],[Description_o]])</f>
        <v>Scott @ Tried &amp; True</v>
      </c>
      <c r="P103" t="str">
        <f>IF( ISBLANK(LogTable2024[[#This Row],[Original Description_o]]), IF(ISBLANK(LogTable2024[[#This Row],[Original Description_i]]), "", LogTable2024[[#This Row],[Original Description_i]]), LogTable2024[[#This Row],[Original Description_o]])</f>
        <v>SQ *SCOTT @ TRIED &amp; TRUE Denver       CO</v>
      </c>
      <c r="Q103" t="str">
        <f>IF( ISBLANK(LogTable2024[[#This Row],[Category_o]]), IF(ISBLANK(LogTable2024[[#This Row],[Category_i]]), "", LogTable2024[[#This Row],[Category_i]]), LogTable2024[[#This Row],[Category_o]])</f>
        <v>Hair</v>
      </c>
      <c r="R103" s="10">
        <f>IF( ISBLANK(LogTable2024[[#This Row],[Amount_o]]), IF(ISBLANK(LogTable2024[[#This Row],[Amount_i]]), "", LogTable2024[[#This Row],[Amount_i]]), LogTable2024[[#This Row],[Amount_o]])</f>
        <v>-56.25</v>
      </c>
      <c r="S103" s="1" t="str">
        <f>IF( ISBLANK(LogTable2024[[#This Row],[Status_o]]), IF(ISBLANK(LogTable2024[[#This Row],[Status_i]]), "", LogTable2024[[#This Row],[Status_i]]), LogTable2024[[#This Row],[Status_o]])</f>
        <v>Posted</v>
      </c>
      <c r="T103" t="s">
        <v>286</v>
      </c>
      <c r="U103" t="str">
        <f>IF( _xlfn.IFNA(MATCH(LogTable2024[[#This Row],[My Category]], Buckets!$D$4:$D$35, 0), FALSE), ".", "E")</f>
        <v>.</v>
      </c>
    </row>
    <row r="104" spans="1:21" hidden="1" x14ac:dyDescent="0.25">
      <c r="A104" s="4">
        <v>45312</v>
      </c>
      <c r="B104" s="5" t="s">
        <v>410</v>
      </c>
      <c r="C104" s="5" t="s">
        <v>411</v>
      </c>
      <c r="D104" s="5" t="s">
        <v>35</v>
      </c>
      <c r="E104" s="5">
        <v>-14.9</v>
      </c>
      <c r="F104" s="5" t="s">
        <v>9</v>
      </c>
      <c r="G104" s="5" t="s">
        <v>195</v>
      </c>
      <c r="H104" s="5"/>
      <c r="I104" s="5"/>
      <c r="J104" s="5"/>
      <c r="K104" s="5"/>
      <c r="L104" s="5"/>
      <c r="M104" s="5"/>
      <c r="N104" s="1">
        <f>IF( ISBLANK(LogTable2024[[#This Row],[Date_o]]), IF(ISBLANK(LogTable2024[[#This Row],[Date_i]]), "", LogTable2024[[#This Row],[Date_i]]), LogTable2024[[#This Row],[Date_o]])</f>
        <v>45312</v>
      </c>
      <c r="O104" t="str">
        <f>IF( ISBLANK(LogTable2024[[#This Row],[Description_o]]), IF(ISBLANK(LogTable2024[[#This Row],[Description_i]]), "", LogTable2024[[#This Row],[Description_i]]), LogTable2024[[#This Row],[Description_o]])</f>
        <v>The Grateful Gnome</v>
      </c>
      <c r="P104" t="str">
        <f>IF( ISBLANK(LogTable2024[[#This Row],[Original Description_o]]), IF(ISBLANK(LogTable2024[[#This Row],[Original Description_i]]), "", LogTable2024[[#This Row],[Original Description_i]]), LogTable2024[[#This Row],[Original Description_o]])</f>
        <v>THE GRATEFUL GNOME       973-8858125  CO</v>
      </c>
      <c r="Q104" t="str">
        <f>IF( ISBLANK(LogTable2024[[#This Row],[Category_o]]), IF(ISBLANK(LogTable2024[[#This Row],[Category_i]]), "", LogTable2024[[#This Row],[Category_i]]), LogTable2024[[#This Row],[Category_o]])</f>
        <v>Alcohol &amp; Bars</v>
      </c>
      <c r="R104" s="10">
        <f>IF( ISBLANK(LogTable2024[[#This Row],[Amount_o]]), IF(ISBLANK(LogTable2024[[#This Row],[Amount_i]]), "", LogTable2024[[#This Row],[Amount_i]]), LogTable2024[[#This Row],[Amount_o]])</f>
        <v>-14.9</v>
      </c>
      <c r="S104" s="1" t="str">
        <f>IF( ISBLANK(LogTable2024[[#This Row],[Status_o]]), IF(ISBLANK(LogTable2024[[#This Row],[Status_i]]), "", LogTable2024[[#This Row],[Status_i]]), LogTable2024[[#This Row],[Status_o]])</f>
        <v>Posted</v>
      </c>
      <c r="T104" t="s">
        <v>292</v>
      </c>
      <c r="U104" t="str">
        <f>IF( _xlfn.IFNA(MATCH(LogTable2024[[#This Row],[My Category]], Buckets!$D$4:$D$35, 0), FALSE), ".", "E")</f>
        <v>.</v>
      </c>
    </row>
    <row r="105" spans="1:21" hidden="1" x14ac:dyDescent="0.25">
      <c r="A105" s="4">
        <v>45310</v>
      </c>
      <c r="B105" s="5" t="s">
        <v>453</v>
      </c>
      <c r="C105" s="5" t="s">
        <v>454</v>
      </c>
      <c r="D105" s="5" t="s">
        <v>73</v>
      </c>
      <c r="E105" s="5">
        <v>0.01</v>
      </c>
      <c r="F105" s="5" t="s">
        <v>9</v>
      </c>
      <c r="G105" s="5" t="s">
        <v>269</v>
      </c>
      <c r="H105" s="5"/>
      <c r="I105" s="5"/>
      <c r="J105" s="5"/>
      <c r="K105" s="5"/>
      <c r="L105" s="5"/>
      <c r="M105" s="5"/>
      <c r="N105" s="1">
        <f>IF( ISBLANK(LogTable2024[[#This Row],[Date_o]]), IF(ISBLANK(LogTable2024[[#This Row],[Date_i]]), "", LogTable2024[[#This Row],[Date_i]]), LogTable2024[[#This Row],[Date_o]])</f>
        <v>45310</v>
      </c>
      <c r="O105" t="str">
        <f>IF( ISBLANK(LogTable2024[[#This Row],[Description_o]]), IF(ISBLANK(LogTable2024[[#This Row],[Description_i]]), "", LogTable2024[[#This Row],[Description_i]]), LogTable2024[[#This Row],[Description_o]])</f>
        <v>Account Verification Deposit from Bill.com</v>
      </c>
      <c r="P105" t="str">
        <f>IF( ISBLANK(LogTable2024[[#This Row],[Original Description_o]]), IF(ISBLANK(LogTable2024[[#This Row],[Original Description_i]]), "", LogTable2024[[#This Row],[Original Description_i]]), LogTable2024[[#This Row],[Original Description_o]])</f>
        <v>Bill.com         ACCTVERIFY ***********MKUO</v>
      </c>
      <c r="Q105" t="str">
        <f>IF( ISBLANK(LogTable2024[[#This Row],[Category_o]]), IF(ISBLANK(LogTable2024[[#This Row],[Category_i]]), "", LogTable2024[[#This Row],[Category_i]]), LogTable2024[[#This Row],[Category_o]])</f>
        <v>Transfer</v>
      </c>
      <c r="R105" s="10">
        <f>IF( ISBLANK(LogTable2024[[#This Row],[Amount_o]]), IF(ISBLANK(LogTable2024[[#This Row],[Amount_i]]), "", LogTable2024[[#This Row],[Amount_i]]), LogTable2024[[#This Row],[Amount_o]])</f>
        <v>0.01</v>
      </c>
      <c r="S105" s="1" t="str">
        <f>IF( ISBLANK(LogTable2024[[#This Row],[Status_o]]), IF(ISBLANK(LogTable2024[[#This Row],[Status_i]]), "", LogTable2024[[#This Row],[Status_i]]), LogTable2024[[#This Row],[Status_o]])</f>
        <v>Posted</v>
      </c>
      <c r="T105" t="s">
        <v>306</v>
      </c>
      <c r="U105" t="str">
        <f>IF( _xlfn.IFNA(MATCH(LogTable2024[[#This Row],[My Category]], Buckets!$D$4:$D$35, 0), FALSE), ".", "E")</f>
        <v>.</v>
      </c>
    </row>
    <row r="106" spans="1:21" hidden="1" x14ac:dyDescent="0.25">
      <c r="A106" s="4">
        <v>45310</v>
      </c>
      <c r="B106" s="5" t="s">
        <v>79</v>
      </c>
      <c r="C106" s="5" t="s">
        <v>80</v>
      </c>
      <c r="D106" s="5" t="s">
        <v>81</v>
      </c>
      <c r="E106" s="5">
        <v>-10.65</v>
      </c>
      <c r="F106" s="5" t="s">
        <v>9</v>
      </c>
      <c r="G106" s="5" t="s">
        <v>195</v>
      </c>
      <c r="H106" s="5"/>
      <c r="I106" s="5"/>
      <c r="J106" s="5"/>
      <c r="K106" s="5"/>
      <c r="L106" s="5"/>
      <c r="M106" s="5"/>
      <c r="N106" s="1">
        <f>IF( ISBLANK(LogTable2024[[#This Row],[Date_o]]), IF(ISBLANK(LogTable2024[[#This Row],[Date_i]]), "", LogTable2024[[#This Row],[Date_i]]), LogTable2024[[#This Row],[Date_o]])</f>
        <v>45310</v>
      </c>
      <c r="O106" t="str">
        <f>IF( ISBLANK(LogTable2024[[#This Row],[Description_o]]), IF(ISBLANK(LogTable2024[[#This Row],[Description_i]]), "", LogTable2024[[#This Row],[Description_i]]), LogTable2024[[#This Row],[Description_o]])</f>
        <v>I Hop Ipa</v>
      </c>
      <c r="P106" t="str">
        <f>IF( ISBLANK(LogTable2024[[#This Row],[Original Description_o]]), IF(ISBLANK(LogTable2024[[#This Row],[Original Description_i]]), "", LogTable2024[[#This Row],[Original Description_i]]), LogTable2024[[#This Row],[Original Description_o]])</f>
        <v>SQ *I HOP IPA            BROOMFIELD   CO</v>
      </c>
      <c r="Q106" t="str">
        <f>IF( ISBLANK(LogTable2024[[#This Row],[Category_o]]), IF(ISBLANK(LogTable2024[[#This Row],[Category_i]]), "", LogTable2024[[#This Row],[Category_i]]), LogTable2024[[#This Row],[Category_o]])</f>
        <v>Business Services</v>
      </c>
      <c r="R106" s="10">
        <f>IF( ISBLANK(LogTable2024[[#This Row],[Amount_o]]), IF(ISBLANK(LogTable2024[[#This Row],[Amount_i]]), "", LogTable2024[[#This Row],[Amount_i]]), LogTable2024[[#This Row],[Amount_o]])</f>
        <v>-10.65</v>
      </c>
      <c r="S106" s="1" t="str">
        <f>IF( ISBLANK(LogTable2024[[#This Row],[Status_o]]), IF(ISBLANK(LogTable2024[[#This Row],[Status_i]]), "", LogTable2024[[#This Row],[Status_i]]), LogTable2024[[#This Row],[Status_o]])</f>
        <v>Posted</v>
      </c>
      <c r="T106" t="s">
        <v>290</v>
      </c>
      <c r="U106" t="str">
        <f>IF( _xlfn.IFNA(MATCH(LogTable2024[[#This Row],[My Category]], Buckets!$D$4:$D$35, 0), FALSE), ".", "E")</f>
        <v>.</v>
      </c>
    </row>
    <row r="107" spans="1:21" hidden="1" x14ac:dyDescent="0.25">
      <c r="A107" s="4">
        <v>45310</v>
      </c>
      <c r="B107" s="5" t="s">
        <v>444</v>
      </c>
      <c r="C107" s="5" t="s">
        <v>445</v>
      </c>
      <c r="D107" s="5" t="s">
        <v>21</v>
      </c>
      <c r="E107" s="5">
        <v>-21.24</v>
      </c>
      <c r="F107" s="5" t="s">
        <v>9</v>
      </c>
      <c r="G107" s="5" t="s">
        <v>195</v>
      </c>
      <c r="H107" s="5"/>
      <c r="I107" s="5"/>
      <c r="J107" s="5"/>
      <c r="K107" s="5"/>
      <c r="L107" s="5"/>
      <c r="M107" s="5"/>
      <c r="N107" s="1">
        <f>IF( ISBLANK(LogTable2024[[#This Row],[Date_o]]), IF(ISBLANK(LogTable2024[[#This Row],[Date_i]]), "", LogTable2024[[#This Row],[Date_i]]), LogTable2024[[#This Row],[Date_o]])</f>
        <v>45310</v>
      </c>
      <c r="O107" t="str">
        <f>IF( ISBLANK(LogTable2024[[#This Row],[Description_o]]), IF(ISBLANK(LogTable2024[[#This Row],[Description_i]]), "", LogTable2024[[#This Row],[Description_i]]), LogTable2024[[#This Row],[Description_o]])</f>
        <v>Outlaw Wings</v>
      </c>
      <c r="P107" t="str">
        <f>IF( ISBLANK(LogTable2024[[#This Row],[Original Description_o]]), IF(ISBLANK(LogTable2024[[#This Row],[Original Description_i]]), "", LogTable2024[[#This Row],[Original Description_i]]), LogTable2024[[#This Row],[Original Description_o]])</f>
        <v>SQ *OUTLAW WINGS         Broomfield   CO</v>
      </c>
      <c r="Q107" t="str">
        <f>IF( ISBLANK(LogTable2024[[#This Row],[Category_o]]), IF(ISBLANK(LogTable2024[[#This Row],[Category_i]]), "", LogTable2024[[#This Row],[Category_i]]), LogTable2024[[#This Row],[Category_o]])</f>
        <v>Restaurants</v>
      </c>
      <c r="R107" s="10">
        <f>IF( ISBLANK(LogTable2024[[#This Row],[Amount_o]]), IF(ISBLANK(LogTable2024[[#This Row],[Amount_i]]), "", LogTable2024[[#This Row],[Amount_i]]), LogTable2024[[#This Row],[Amount_o]])</f>
        <v>-21.24</v>
      </c>
      <c r="S107" s="1" t="str">
        <f>IF( ISBLANK(LogTable2024[[#This Row],[Status_o]]), IF(ISBLANK(LogTable2024[[#This Row],[Status_i]]), "", LogTable2024[[#This Row],[Status_i]]), LogTable2024[[#This Row],[Status_o]])</f>
        <v>Posted</v>
      </c>
      <c r="T107" t="s">
        <v>292</v>
      </c>
      <c r="U107" t="str">
        <f>IF( _xlfn.IFNA(MATCH(LogTable2024[[#This Row],[My Category]], Buckets!$D$4:$D$35, 0), FALSE), ".", "E")</f>
        <v>.</v>
      </c>
    </row>
    <row r="108" spans="1:21" hidden="1" x14ac:dyDescent="0.25">
      <c r="A108" s="4">
        <v>45310</v>
      </c>
      <c r="B108" s="5" t="s">
        <v>25</v>
      </c>
      <c r="C108" s="5" t="s">
        <v>26</v>
      </c>
      <c r="D108" s="5" t="s">
        <v>27</v>
      </c>
      <c r="E108" s="5">
        <v>-14.53</v>
      </c>
      <c r="F108" s="5" t="s">
        <v>9</v>
      </c>
      <c r="G108" s="5" t="s">
        <v>195</v>
      </c>
      <c r="H108" s="5"/>
      <c r="I108" s="5"/>
      <c r="J108" s="5"/>
      <c r="K108" s="5"/>
      <c r="L108" s="5"/>
      <c r="M108" s="5"/>
      <c r="N108" s="1">
        <f>IF( ISBLANK(LogTable2024[[#This Row],[Date_o]]), IF(ISBLANK(LogTable2024[[#This Row],[Date_i]]), "", LogTable2024[[#This Row],[Date_i]]), LogTable2024[[#This Row],[Date_o]])</f>
        <v>45310</v>
      </c>
      <c r="O108" t="str">
        <f>IF( ISBLANK(LogTable2024[[#This Row],[Description_o]]), IF(ISBLANK(LogTable2024[[#This Row],[Description_i]]), "", LogTable2024[[#This Row],[Description_i]]), LogTable2024[[#This Row],[Description_o]])</f>
        <v>Qdoba</v>
      </c>
      <c r="P108" t="str">
        <f>IF( ISBLANK(LogTable2024[[#This Row],[Original Description_o]]), IF(ISBLANK(LogTable2024[[#This Row],[Original Description_i]]), "", LogTable2024[[#This Row],[Original Description_i]]), LogTable2024[[#This Row],[Original Description_o]])</f>
        <v>QDOBA 2063               WESTMINSTER  CA</v>
      </c>
      <c r="Q108" t="str">
        <f>IF( ISBLANK(LogTable2024[[#This Row],[Category_o]]), IF(ISBLANK(LogTable2024[[#This Row],[Category_i]]), "", LogTable2024[[#This Row],[Category_i]]), LogTable2024[[#This Row],[Category_o]])</f>
        <v>Fast Food</v>
      </c>
      <c r="R108" s="10">
        <f>IF( ISBLANK(LogTable2024[[#This Row],[Amount_o]]), IF(ISBLANK(LogTable2024[[#This Row],[Amount_i]]), "", LogTable2024[[#This Row],[Amount_i]]), LogTable2024[[#This Row],[Amount_o]])</f>
        <v>-14.53</v>
      </c>
      <c r="S108" s="1" t="str">
        <f>IF( ISBLANK(LogTable2024[[#This Row],[Status_o]]), IF(ISBLANK(LogTable2024[[#This Row],[Status_i]]), "", LogTable2024[[#This Row],[Status_i]]), LogTable2024[[#This Row],[Status_o]])</f>
        <v>Posted</v>
      </c>
      <c r="T108" t="s">
        <v>292</v>
      </c>
      <c r="U108" t="str">
        <f>IF( _xlfn.IFNA(MATCH(LogTable2024[[#This Row],[My Category]], Buckets!$D$4:$D$35, 0), FALSE), ".", "E")</f>
        <v>.</v>
      </c>
    </row>
    <row r="109" spans="1:21" hidden="1" x14ac:dyDescent="0.25">
      <c r="A109" s="4">
        <v>45310</v>
      </c>
      <c r="B109" s="5" t="s">
        <v>446</v>
      </c>
      <c r="C109" s="5" t="s">
        <v>447</v>
      </c>
      <c r="D109" s="5" t="s">
        <v>39</v>
      </c>
      <c r="E109" s="5">
        <v>-26.05</v>
      </c>
      <c r="F109" s="5" t="s">
        <v>9</v>
      </c>
      <c r="G109" s="5" t="s">
        <v>195</v>
      </c>
      <c r="H109" s="5"/>
      <c r="I109" s="5"/>
      <c r="J109" s="5"/>
      <c r="K109" s="5"/>
      <c r="L109" s="5"/>
      <c r="M109" s="5"/>
      <c r="N109" s="1">
        <f>IF( ISBLANK(LogTable2024[[#This Row],[Date_o]]), IF(ISBLANK(LogTable2024[[#This Row],[Date_i]]), "", LogTable2024[[#This Row],[Date_i]]), LogTable2024[[#This Row],[Date_o]])</f>
        <v>45310</v>
      </c>
      <c r="O109" t="str">
        <f>IF( ISBLANK(LogTable2024[[#This Row],[Description_o]]), IF(ISBLANK(LogTable2024[[#This Row],[Description_i]]), "", LogTable2024[[#This Row],[Description_i]]), LogTable2024[[#This Row],[Description_o]])</f>
        <v>Safeway Fuel</v>
      </c>
      <c r="P109" t="str">
        <f>IF( ISBLANK(LogTable2024[[#This Row],[Original Description_o]]), IF(ISBLANK(LogTable2024[[#This Row],[Original Description_i]]), "", LogTable2024[[#This Row],[Original Description_i]]), LogTable2024[[#This Row],[Original Description_o]])</f>
        <v>SAFEWAY FUEL0244         DENVER       CO</v>
      </c>
      <c r="Q109" t="str">
        <f>IF( ISBLANK(LogTable2024[[#This Row],[Category_o]]), IF(ISBLANK(LogTable2024[[#This Row],[Category_i]]), "", LogTable2024[[#This Row],[Category_i]]), LogTable2024[[#This Row],[Category_o]])</f>
        <v>Gas</v>
      </c>
      <c r="R109" s="10">
        <f>IF( ISBLANK(LogTable2024[[#This Row],[Amount_o]]), IF(ISBLANK(LogTable2024[[#This Row],[Amount_i]]), "", LogTable2024[[#This Row],[Amount_i]]), LogTable2024[[#This Row],[Amount_o]])</f>
        <v>-26.05</v>
      </c>
      <c r="S109" s="1" t="str">
        <f>IF( ISBLANK(LogTable2024[[#This Row],[Status_o]]), IF(ISBLANK(LogTable2024[[#This Row],[Status_i]]), "", LogTable2024[[#This Row],[Status_i]]), LogTable2024[[#This Row],[Status_o]])</f>
        <v>Posted</v>
      </c>
      <c r="T109" t="s">
        <v>462</v>
      </c>
      <c r="U109" t="str">
        <f>IF( _xlfn.IFNA(MATCH(LogTable2024[[#This Row],[My Category]], Buckets!$D$4:$D$35, 0), FALSE), ".", "E")</f>
        <v>.</v>
      </c>
    </row>
    <row r="110" spans="1:21" hidden="1" x14ac:dyDescent="0.25">
      <c r="A110" s="4">
        <v>45307</v>
      </c>
      <c r="B110" s="5" t="s">
        <v>13</v>
      </c>
      <c r="C110" s="5" t="s">
        <v>14</v>
      </c>
      <c r="D110" s="5" t="s">
        <v>15</v>
      </c>
      <c r="E110" s="5">
        <v>-150.41</v>
      </c>
      <c r="F110" s="5" t="s">
        <v>9</v>
      </c>
      <c r="G110" s="5" t="s">
        <v>195</v>
      </c>
      <c r="H110" s="5"/>
      <c r="I110" s="5"/>
      <c r="J110" s="5"/>
      <c r="K110" s="5"/>
      <c r="L110" s="5"/>
      <c r="M110" s="5"/>
      <c r="N110" s="1">
        <f>IF( ISBLANK(LogTable2024[[#This Row],[Date_o]]), IF(ISBLANK(LogTable2024[[#This Row],[Date_i]]), "", LogTable2024[[#This Row],[Date_i]]), LogTable2024[[#This Row],[Date_o]])</f>
        <v>45307</v>
      </c>
      <c r="O110" t="str">
        <f>IF( ISBLANK(LogTable2024[[#This Row],[Description_o]]), IF(ISBLANK(LogTable2024[[#This Row],[Description_i]]), "", LogTable2024[[#This Row],[Description_i]]), LogTable2024[[#This Row],[Description_o]])</f>
        <v>King Soopers</v>
      </c>
      <c r="P110" t="str">
        <f>IF( ISBLANK(LogTable2024[[#This Row],[Original Description_o]]), IF(ISBLANK(LogTable2024[[#This Row],[Original Description_i]]), "", LogTable2024[[#This Row],[Original Description_i]]), LogTable2024[[#This Row],[Original Description_o]])</f>
        <v>KING SOOPERS #0057       WHEAT RIDGE  CO</v>
      </c>
      <c r="Q110" t="str">
        <f>IF( ISBLANK(LogTable2024[[#This Row],[Category_o]]), IF(ISBLANK(LogTable2024[[#This Row],[Category_i]]), "", LogTable2024[[#This Row],[Category_i]]), LogTable2024[[#This Row],[Category_o]])</f>
        <v>Groceries</v>
      </c>
      <c r="R110" s="10">
        <f>IF( ISBLANK(LogTable2024[[#This Row],[Amount_o]]), IF(ISBLANK(LogTable2024[[#This Row],[Amount_i]]), "", LogTable2024[[#This Row],[Amount_i]]), LogTable2024[[#This Row],[Amount_o]])</f>
        <v>-150.41</v>
      </c>
      <c r="S110" s="1" t="str">
        <f>IF( ISBLANK(LogTable2024[[#This Row],[Status_o]]), IF(ISBLANK(LogTable2024[[#This Row],[Status_i]]), "", LogTable2024[[#This Row],[Status_i]]), LogTable2024[[#This Row],[Status_o]])</f>
        <v>Posted</v>
      </c>
      <c r="T110" t="s">
        <v>15</v>
      </c>
      <c r="U110" t="str">
        <f>IF( _xlfn.IFNA(MATCH(LogTable2024[[#This Row],[My Category]], Buckets!$D$4:$D$35, 0), FALSE), ".", "E")</f>
        <v>.</v>
      </c>
    </row>
    <row r="111" spans="1:21" hidden="1" x14ac:dyDescent="0.25">
      <c r="A111" s="4">
        <v>45307</v>
      </c>
      <c r="B111" s="5" t="s">
        <v>100</v>
      </c>
      <c r="C111" s="5" t="s">
        <v>101</v>
      </c>
      <c r="D111" s="5" t="s">
        <v>32</v>
      </c>
      <c r="E111" s="5">
        <v>-2</v>
      </c>
      <c r="F111" s="5" t="s">
        <v>9</v>
      </c>
      <c r="G111" s="5" t="s">
        <v>195</v>
      </c>
      <c r="H111" s="5"/>
      <c r="I111" s="5"/>
      <c r="J111" s="5"/>
      <c r="K111" s="5"/>
      <c r="L111" s="5"/>
      <c r="M111" s="5"/>
      <c r="N111" s="1">
        <f>IF( ISBLANK(LogTable2024[[#This Row],[Date_o]]), IF(ISBLANK(LogTable2024[[#This Row],[Date_i]]), "", LogTable2024[[#This Row],[Date_i]]), LogTable2024[[#This Row],[Date_o]])</f>
        <v>45307</v>
      </c>
      <c r="O111" t="str">
        <f>IF( ISBLANK(LogTable2024[[#This Row],[Description_o]]), IF(ISBLANK(LogTable2024[[#This Row],[Description_i]]), "", LogTable2024[[#This Row],[Description_i]]), LogTable2024[[#This Row],[Description_o]])</f>
        <v>Patreon</v>
      </c>
      <c r="P111" t="str">
        <f>IF( ISBLANK(LogTable2024[[#This Row],[Original Description_o]]), IF(ISBLANK(LogTable2024[[#This Row],[Original Description_i]]), "", LogTable2024[[#This Row],[Original Description_i]]), LogTable2024[[#This Row],[Original Description_o]])</f>
        <v>PAYPAL *PATREON INC  MEMB402-935-7733 CA</v>
      </c>
      <c r="Q111" t="str">
        <f>IF( ISBLANK(LogTable2024[[#This Row],[Category_o]]), IF(ISBLANK(LogTable2024[[#This Row],[Category_i]]), "", LogTable2024[[#This Row],[Category_i]]), LogTable2024[[#This Row],[Category_o]])</f>
        <v>Entertainment</v>
      </c>
      <c r="R111" s="10">
        <f>IF( ISBLANK(LogTable2024[[#This Row],[Amount_o]]), IF(ISBLANK(LogTable2024[[#This Row],[Amount_i]]), "", LogTable2024[[#This Row],[Amount_i]]), LogTable2024[[#This Row],[Amount_o]])</f>
        <v>-2</v>
      </c>
      <c r="S111" s="1" t="str">
        <f>IF( ISBLANK(LogTable2024[[#This Row],[Status_o]]), IF(ISBLANK(LogTable2024[[#This Row],[Status_i]]), "", LogTable2024[[#This Row],[Status_i]]), LogTable2024[[#This Row],[Status_o]])</f>
        <v>Posted</v>
      </c>
      <c r="T111" t="s">
        <v>464</v>
      </c>
      <c r="U111" t="str">
        <f>IF( _xlfn.IFNA(MATCH(LogTable2024[[#This Row],[My Category]], Buckets!$D$4:$D$35, 0), FALSE), ".", "E")</f>
        <v>.</v>
      </c>
    </row>
    <row r="112" spans="1:21" hidden="1" x14ac:dyDescent="0.25">
      <c r="A112" s="4">
        <v>45304</v>
      </c>
      <c r="B112" s="5" t="s">
        <v>448</v>
      </c>
      <c r="C112" s="5" t="s">
        <v>449</v>
      </c>
      <c r="D112" s="5" t="s">
        <v>8</v>
      </c>
      <c r="E112" s="5">
        <v>-107.48</v>
      </c>
      <c r="F112" s="5" t="s">
        <v>9</v>
      </c>
      <c r="G112" s="5" t="s">
        <v>195</v>
      </c>
      <c r="H112" s="5"/>
      <c r="I112" s="5"/>
      <c r="J112" s="5"/>
      <c r="K112" s="5"/>
      <c r="L112" s="5"/>
      <c r="M112" s="5"/>
      <c r="N112" s="1">
        <f>IF( ISBLANK(LogTable2024[[#This Row],[Date_o]]), IF(ISBLANK(LogTable2024[[#This Row],[Date_i]]), "", LogTable2024[[#This Row],[Date_i]]), LogTable2024[[#This Row],[Date_o]])</f>
        <v>45304</v>
      </c>
      <c r="O112" t="str">
        <f>IF( ISBLANK(LogTable2024[[#This Row],[Description_o]]), IF(ISBLANK(LogTable2024[[#This Row],[Description_i]]), "", LogTable2024[[#This Row],[Description_i]]), LogTable2024[[#This Row],[Description_o]])</f>
        <v>An Honda</v>
      </c>
      <c r="P112" t="str">
        <f>IF( ISBLANK(LogTable2024[[#This Row],[Original Description_o]]), IF(ISBLANK(LogTable2024[[#This Row],[Original Description_i]]), "", LogTable2024[[#This Row],[Original Description_i]]), LogTable2024[[#This Row],[Original Description_o]])</f>
        <v>AN HONDA 104             303-469-5551 CO</v>
      </c>
      <c r="Q112" t="str">
        <f>IF( ISBLANK(LogTable2024[[#This Row],[Category_o]]), IF(ISBLANK(LogTable2024[[#This Row],[Category_i]]), "", LogTable2024[[#This Row],[Category_i]]), LogTable2024[[#This Row],[Category_o]])</f>
        <v>Auto &amp; Transport</v>
      </c>
      <c r="R112" s="10">
        <f>IF( ISBLANK(LogTable2024[[#This Row],[Amount_o]]), IF(ISBLANK(LogTable2024[[#This Row],[Amount_i]]), "", LogTable2024[[#This Row],[Amount_i]]), LogTable2024[[#This Row],[Amount_o]])</f>
        <v>-107.48</v>
      </c>
      <c r="S112" s="1" t="str">
        <f>IF( ISBLANK(LogTable2024[[#This Row],[Status_o]]), IF(ISBLANK(LogTable2024[[#This Row],[Status_i]]), "", LogTable2024[[#This Row],[Status_i]]), LogTable2024[[#This Row],[Status_o]])</f>
        <v>Posted</v>
      </c>
      <c r="T112" t="s">
        <v>462</v>
      </c>
      <c r="U112" t="str">
        <f>IF( _xlfn.IFNA(MATCH(LogTable2024[[#This Row],[My Category]], Buckets!$D$4:$D$35, 0), FALSE), ".", "E")</f>
        <v>.</v>
      </c>
    </row>
    <row r="113" spans="1:22" hidden="1" x14ac:dyDescent="0.25">
      <c r="A113" s="4">
        <v>45303</v>
      </c>
      <c r="B113" s="5" t="s">
        <v>19</v>
      </c>
      <c r="C113" s="5" t="s">
        <v>20</v>
      </c>
      <c r="D113" s="5" t="s">
        <v>21</v>
      </c>
      <c r="E113" s="5">
        <v>-14.57</v>
      </c>
      <c r="F113" s="5" t="s">
        <v>9</v>
      </c>
      <c r="G113" s="5" t="s">
        <v>195</v>
      </c>
      <c r="H113" s="5"/>
      <c r="I113" s="5"/>
      <c r="J113" s="5"/>
      <c r="K113" s="5"/>
      <c r="L113" s="5"/>
      <c r="M113" s="5"/>
      <c r="N113" s="1">
        <f>IF( ISBLANK(LogTable2024[[#This Row],[Date_o]]), IF(ISBLANK(LogTable2024[[#This Row],[Date_i]]), "", LogTable2024[[#This Row],[Date_i]]), LogTable2024[[#This Row],[Date_o]])</f>
        <v>45303</v>
      </c>
      <c r="O113" t="str">
        <f>IF( ISBLANK(LogTable2024[[#This Row],[Description_o]]), IF(ISBLANK(LogTable2024[[#This Row],[Description_i]]), "", LogTable2024[[#This Row],[Description_i]]), LogTable2024[[#This Row],[Description_o]])</f>
        <v>Mad Greens</v>
      </c>
      <c r="P113" t="str">
        <f>IF( ISBLANK(LogTable2024[[#This Row],[Original Description_o]]), IF(ISBLANK(LogTable2024[[#This Row],[Original Description_i]]), "", LogTable2024[[#This Row],[Original Description_i]]), LogTable2024[[#This Row],[Original Description_o]])</f>
        <v>MAD GREENS MG0115        WESTMINSTER  CO</v>
      </c>
      <c r="Q113" t="str">
        <f>IF( ISBLANK(LogTable2024[[#This Row],[Category_o]]), IF(ISBLANK(LogTable2024[[#This Row],[Category_i]]), "", LogTable2024[[#This Row],[Category_i]]), LogTable2024[[#This Row],[Category_o]])</f>
        <v>Restaurants</v>
      </c>
      <c r="R113" s="10">
        <f>IF( ISBLANK(LogTable2024[[#This Row],[Amount_o]]), IF(ISBLANK(LogTable2024[[#This Row],[Amount_i]]), "", LogTable2024[[#This Row],[Amount_i]]), LogTable2024[[#This Row],[Amount_o]])</f>
        <v>-14.57</v>
      </c>
      <c r="S113" s="1" t="str">
        <f>IF( ISBLANK(LogTable2024[[#This Row],[Status_o]]), IF(ISBLANK(LogTable2024[[#This Row],[Status_i]]), "", LogTable2024[[#This Row],[Status_i]]), LogTable2024[[#This Row],[Status_o]])</f>
        <v>Posted</v>
      </c>
      <c r="T113" t="s">
        <v>292</v>
      </c>
      <c r="U113" t="str">
        <f>IF( _xlfn.IFNA(MATCH(LogTable2024[[#This Row],[My Category]], Buckets!$D$4:$D$35, 0), FALSE), ".", "E")</f>
        <v>.</v>
      </c>
    </row>
    <row r="114" spans="1:22" hidden="1" x14ac:dyDescent="0.25">
      <c r="A114" s="4">
        <v>45302</v>
      </c>
      <c r="B114" s="5" t="s">
        <v>455</v>
      </c>
      <c r="C114" s="5" t="s">
        <v>456</v>
      </c>
      <c r="D114" s="5" t="s">
        <v>218</v>
      </c>
      <c r="E114" s="5">
        <v>-500</v>
      </c>
      <c r="F114" s="5" t="s">
        <v>9</v>
      </c>
      <c r="G114" s="5" t="s">
        <v>269</v>
      </c>
      <c r="H114" s="5"/>
      <c r="I114" s="5"/>
      <c r="J114" s="5"/>
      <c r="K114" s="5"/>
      <c r="L114" s="5"/>
      <c r="M114" s="5"/>
      <c r="N114" s="1">
        <f>IF( ISBLANK(LogTable2024[[#This Row],[Date_o]]), IF(ISBLANK(LogTable2024[[#This Row],[Date_i]]), "", LogTable2024[[#This Row],[Date_i]]), LogTable2024[[#This Row],[Date_o]])</f>
        <v>45302</v>
      </c>
      <c r="O114" t="str">
        <f>IF( ISBLANK(LogTable2024[[#This Row],[Description_o]]), IF(ISBLANK(LogTable2024[[#This Row],[Description_i]]), "", LogTable2024[[#This Row],[Description_i]]), LogTable2024[[#This Row],[Description_o]])</f>
        <v>Advs Ed Serv Studntloan</v>
      </c>
      <c r="P114" t="str">
        <f>IF( ISBLANK(LogTable2024[[#This Row],[Original Description_o]]), IF(ISBLANK(LogTable2024[[#This Row],[Original Description_i]]), "", LogTable2024[[#This Row],[Original Description_i]]), LogTable2024[[#This Row],[Original Description_o]])</f>
        <v>ADVS ED SERV PPD STUDNTLOAN ***********0000</v>
      </c>
      <c r="Q114" t="str">
        <f>IF( ISBLANK(LogTable2024[[#This Row],[Category_o]]), IF(ISBLANK(LogTable2024[[#This Row],[Category_i]]), "", LogTable2024[[#This Row],[Category_i]]), LogTable2024[[#This Row],[Category_o]])</f>
        <v>Student Loan</v>
      </c>
      <c r="R114" s="10">
        <f>IF( ISBLANK(LogTable2024[[#This Row],[Amount_o]]), IF(ISBLANK(LogTable2024[[#This Row],[Amount_i]]), "", LogTable2024[[#This Row],[Amount_i]]), LogTable2024[[#This Row],[Amount_o]])</f>
        <v>-500</v>
      </c>
      <c r="S114" s="1" t="str">
        <f>IF( ISBLANK(LogTable2024[[#This Row],[Status_o]]), IF(ISBLANK(LogTable2024[[#This Row],[Status_i]]), "", LogTable2024[[#This Row],[Status_i]]), LogTable2024[[#This Row],[Status_o]])</f>
        <v>Posted</v>
      </c>
      <c r="T114" t="s">
        <v>285</v>
      </c>
      <c r="U114" t="str">
        <f>IF( _xlfn.IFNA(MATCH(LogTable2024[[#This Row],[My Category]], Buckets!$D$4:$D$35, 0), FALSE), ".", "E")</f>
        <v>.</v>
      </c>
      <c r="V114" t="s">
        <v>361</v>
      </c>
    </row>
    <row r="115" spans="1:22" hidden="1" x14ac:dyDescent="0.25">
      <c r="A115" s="4">
        <v>45302</v>
      </c>
      <c r="B115" s="5" t="s">
        <v>450</v>
      </c>
      <c r="C115" s="5" t="s">
        <v>451</v>
      </c>
      <c r="D115" s="5" t="s">
        <v>27</v>
      </c>
      <c r="E115" s="5">
        <v>-20.059999999999999</v>
      </c>
      <c r="F115" s="5" t="s">
        <v>9</v>
      </c>
      <c r="G115" s="5" t="s">
        <v>195</v>
      </c>
      <c r="H115" s="5"/>
      <c r="I115" s="5"/>
      <c r="J115" s="5"/>
      <c r="K115" s="5"/>
      <c r="L115" s="5"/>
      <c r="M115" s="5"/>
      <c r="N115" s="1">
        <f>IF( ISBLANK(LogTable2024[[#This Row],[Date_o]]), IF(ISBLANK(LogTable2024[[#This Row],[Date_i]]), "", LogTable2024[[#This Row],[Date_i]]), LogTable2024[[#This Row],[Date_o]])</f>
        <v>45302</v>
      </c>
      <c r="O115" t="str">
        <f>IF( ISBLANK(LogTable2024[[#This Row],[Description_o]]), IF(ISBLANK(LogTable2024[[#This Row],[Description_i]]), "", LogTable2024[[#This Row],[Description_i]]), LogTable2024[[#This Row],[Description_o]])</f>
        <v>Snarf's</v>
      </c>
      <c r="P115" t="str">
        <f>IF( ISBLANK(LogTable2024[[#This Row],[Original Description_o]]), IF(ISBLANK(LogTable2024[[#This Row],[Original Description_i]]), "", LogTable2024[[#This Row],[Original Description_i]]), LogTable2024[[#This Row],[Original Description_o]])</f>
        <v>SNARFS WESTMINSTER       DENVER       CO</v>
      </c>
      <c r="Q115" t="str">
        <f>IF( ISBLANK(LogTable2024[[#This Row],[Category_o]]), IF(ISBLANK(LogTable2024[[#This Row],[Category_i]]), "", LogTable2024[[#This Row],[Category_i]]), LogTable2024[[#This Row],[Category_o]])</f>
        <v>Fast Food</v>
      </c>
      <c r="R115" s="10">
        <f>IF( ISBLANK(LogTable2024[[#This Row],[Amount_o]]), IF(ISBLANK(LogTable2024[[#This Row],[Amount_i]]), "", LogTable2024[[#This Row],[Amount_i]]), LogTable2024[[#This Row],[Amount_o]])</f>
        <v>-20.059999999999999</v>
      </c>
      <c r="S115" s="1" t="str">
        <f>IF( ISBLANK(LogTable2024[[#This Row],[Status_o]]), IF(ISBLANK(LogTable2024[[#This Row],[Status_i]]), "", LogTable2024[[#This Row],[Status_i]]), LogTable2024[[#This Row],[Status_o]])</f>
        <v>Posted</v>
      </c>
      <c r="T115" t="s">
        <v>292</v>
      </c>
      <c r="U115" t="str">
        <f>IF( _xlfn.IFNA(MATCH(LogTable2024[[#This Row],[My Category]], Buckets!$D$4:$D$35, 0), FALSE), ".", "E")</f>
        <v>.</v>
      </c>
    </row>
    <row r="116" spans="1:22" hidden="1" x14ac:dyDescent="0.25">
      <c r="A116" s="4">
        <v>45302</v>
      </c>
      <c r="B116" s="5" t="s">
        <v>204</v>
      </c>
      <c r="C116" s="5" t="s">
        <v>205</v>
      </c>
      <c r="D116" s="5" t="s">
        <v>206</v>
      </c>
      <c r="E116" s="5">
        <v>-163.71</v>
      </c>
      <c r="F116" s="5" t="s">
        <v>9</v>
      </c>
      <c r="G116" s="5" t="s">
        <v>269</v>
      </c>
      <c r="H116" s="5"/>
      <c r="I116" s="5"/>
      <c r="J116" s="5"/>
      <c r="K116" s="5"/>
      <c r="L116" s="5"/>
      <c r="M116" s="5"/>
      <c r="N116" s="1">
        <f>IF( ISBLANK(LogTable2024[[#This Row],[Date_o]]), IF(ISBLANK(LogTable2024[[#This Row],[Date_i]]), "", LogTable2024[[#This Row],[Date_i]]), LogTable2024[[#This Row],[Date_o]])</f>
        <v>45302</v>
      </c>
      <c r="O116" t="str">
        <f>IF( ISBLANK(LogTable2024[[#This Row],[Description_o]]), IF(ISBLANK(LogTable2024[[#This Row],[Description_i]]), "", LogTable2024[[#This Row],[Description_i]]), LogTable2024[[#This Row],[Description_o]])</f>
        <v>USAA Property and Casualty Insurance</v>
      </c>
      <c r="P116" t="str">
        <f>IF( ISBLANK(LogTable2024[[#This Row],[Original Description_o]]), IF(ISBLANK(LogTable2024[[#This Row],[Original Description_i]]), "", LogTable2024[[#This Row],[Original Description_i]]), LogTable2024[[#This Row],[Original Description_o]])</f>
        <v>USAA P&amp;C         AUTOPAY    ***********4530</v>
      </c>
      <c r="Q116" t="str">
        <f>IF( ISBLANK(LogTable2024[[#This Row],[Category_o]]), IF(ISBLANK(LogTable2024[[#This Row],[Category_i]]), "", LogTable2024[[#This Row],[Category_i]]), LogTable2024[[#This Row],[Category_o]])</f>
        <v>Financial</v>
      </c>
      <c r="R116" s="10">
        <f>IF( ISBLANK(LogTable2024[[#This Row],[Amount_o]]), IF(ISBLANK(LogTable2024[[#This Row],[Amount_i]]), "", LogTable2024[[#This Row],[Amount_i]]), LogTable2024[[#This Row],[Amount_o]])</f>
        <v>-163.71</v>
      </c>
      <c r="S116" s="1" t="str">
        <f>IF( ISBLANK(LogTable2024[[#This Row],[Status_o]]), IF(ISBLANK(LogTable2024[[#This Row],[Status_i]]), "", LogTable2024[[#This Row],[Status_i]]), LogTable2024[[#This Row],[Status_o]])</f>
        <v>Posted</v>
      </c>
      <c r="T116" t="s">
        <v>282</v>
      </c>
      <c r="U116" t="str">
        <f>IF( _xlfn.IFNA(MATCH(LogTable2024[[#This Row],[My Category]], Buckets!$D$4:$D$35, 0), FALSE), ".", "E")</f>
        <v>.</v>
      </c>
    </row>
    <row r="117" spans="1:22" hidden="1" x14ac:dyDescent="0.25">
      <c r="A117" s="4">
        <v>45301</v>
      </c>
      <c r="B117" s="5" t="s">
        <v>207</v>
      </c>
      <c r="C117" s="5" t="s">
        <v>208</v>
      </c>
      <c r="D117" s="5" t="s">
        <v>209</v>
      </c>
      <c r="E117" s="5">
        <v>-11.9</v>
      </c>
      <c r="F117" s="5" t="s">
        <v>9</v>
      </c>
      <c r="G117" s="5" t="s">
        <v>269</v>
      </c>
      <c r="H117" s="5"/>
      <c r="I117" s="5"/>
      <c r="J117" s="5"/>
      <c r="K117" s="5"/>
      <c r="L117" s="5"/>
      <c r="M117" s="5"/>
      <c r="N117" s="1">
        <f>IF( ISBLANK(LogTable2024[[#This Row],[Date_o]]), IF(ISBLANK(LogTable2024[[#This Row],[Date_i]]), "", LogTable2024[[#This Row],[Date_i]]), LogTable2024[[#This Row],[Date_o]])</f>
        <v>45301</v>
      </c>
      <c r="O117" t="str">
        <f>IF( ISBLANK(LogTable2024[[#This Row],[Description_o]]), IF(ISBLANK(LogTable2024[[#This Row],[Description_i]]), "", LogTable2024[[#This Row],[Description_i]]), LogTable2024[[#This Row],[Description_o]])</f>
        <v>Spotify</v>
      </c>
      <c r="P117" t="str">
        <f>IF( ISBLANK(LogTable2024[[#This Row],[Original Description_o]]), IF(ISBLANK(LogTable2024[[#This Row],[Original Description_i]]), "", LogTable2024[[#This Row],[Original Description_i]]), LogTable2024[[#This Row],[Original Description_o]])</f>
        <v>PAYPAL           INST XFER  ***********USAI</v>
      </c>
      <c r="Q117" t="str">
        <f>IF( ISBLANK(LogTable2024[[#This Row],[Category_o]]), IF(ISBLANK(LogTable2024[[#This Row],[Category_i]]), "", LogTable2024[[#This Row],[Category_i]]), LogTable2024[[#This Row],[Category_o]])</f>
        <v>Music</v>
      </c>
      <c r="R117" s="10">
        <f>IF( ISBLANK(LogTable2024[[#This Row],[Amount_o]]), IF(ISBLANK(LogTable2024[[#This Row],[Amount_i]]), "", LogTable2024[[#This Row],[Amount_i]]), LogTable2024[[#This Row],[Amount_o]])</f>
        <v>-11.9</v>
      </c>
      <c r="S117" s="1" t="str">
        <f>IF( ISBLANK(LogTable2024[[#This Row],[Status_o]]), IF(ISBLANK(LogTable2024[[#This Row],[Status_i]]), "", LogTable2024[[#This Row],[Status_i]]), LogTable2024[[#This Row],[Status_o]])</f>
        <v>Posted</v>
      </c>
      <c r="T117" t="s">
        <v>464</v>
      </c>
      <c r="U117" t="str">
        <f>IF( _xlfn.IFNA(MATCH(LogTable2024[[#This Row],[My Category]], Buckets!$D$4:$D$35, 0), FALSE), ".", "E")</f>
        <v>.</v>
      </c>
    </row>
    <row r="118" spans="1:22" hidden="1" x14ac:dyDescent="0.25">
      <c r="A118" s="4">
        <v>45300</v>
      </c>
      <c r="B118" s="5" t="s">
        <v>69</v>
      </c>
      <c r="C118" s="5" t="s">
        <v>70</v>
      </c>
      <c r="D118" s="5" t="s">
        <v>21</v>
      </c>
      <c r="E118" s="5">
        <v>-23.23</v>
      </c>
      <c r="F118" s="5" t="s">
        <v>9</v>
      </c>
      <c r="G118" s="5" t="s">
        <v>195</v>
      </c>
      <c r="H118" s="5"/>
      <c r="I118" s="5"/>
      <c r="J118" s="5"/>
      <c r="K118" s="5"/>
      <c r="L118" s="5"/>
      <c r="M118" s="5"/>
      <c r="N118" s="1">
        <f>IF( ISBLANK(LogTable2024[[#This Row],[Date_o]]), IF(ISBLANK(LogTable2024[[#This Row],[Date_i]]), "", LogTable2024[[#This Row],[Date_i]]), LogTable2024[[#This Row],[Date_o]])</f>
        <v>45300</v>
      </c>
      <c r="O118" t="str">
        <f>IF( ISBLANK(LogTable2024[[#This Row],[Description_o]]), IF(ISBLANK(LogTable2024[[#This Row],[Description_i]]), "", LogTable2024[[#This Row],[Description_i]]), LogTable2024[[#This Row],[Description_o]])</f>
        <v>Post Oak Bbq</v>
      </c>
      <c r="P118" t="str">
        <f>IF( ISBLANK(LogTable2024[[#This Row],[Original Description_o]]), IF(ISBLANK(LogTable2024[[#This Row],[Original Description_i]]), "", LogTable2024[[#This Row],[Original Description_i]]), LogTable2024[[#This Row],[Original Description_o]])</f>
        <v>TST* POST OAK BBQ        DENVER       CO</v>
      </c>
      <c r="Q118" t="str">
        <f>IF( ISBLANK(LogTable2024[[#This Row],[Category_o]]), IF(ISBLANK(LogTable2024[[#This Row],[Category_i]]), "", LogTable2024[[#This Row],[Category_i]]), LogTable2024[[#This Row],[Category_o]])</f>
        <v>Restaurants</v>
      </c>
      <c r="R118" s="10">
        <f>IF( ISBLANK(LogTable2024[[#This Row],[Amount_o]]), IF(ISBLANK(LogTable2024[[#This Row],[Amount_i]]), "", LogTable2024[[#This Row],[Amount_i]]), LogTable2024[[#This Row],[Amount_o]])</f>
        <v>-23.23</v>
      </c>
      <c r="S118" s="1" t="str">
        <f>IF( ISBLANK(LogTable2024[[#This Row],[Status_o]]), IF(ISBLANK(LogTable2024[[#This Row],[Status_i]]), "", LogTable2024[[#This Row],[Status_i]]), LogTable2024[[#This Row],[Status_o]])</f>
        <v>Posted</v>
      </c>
      <c r="T118" t="s">
        <v>292</v>
      </c>
      <c r="U118" t="str">
        <f>IF( _xlfn.IFNA(MATCH(LogTable2024[[#This Row],[My Category]], Buckets!$D$4:$D$35, 0), FALSE), ".", "E")</f>
        <v>.</v>
      </c>
    </row>
    <row r="119" spans="1:22" hidden="1" x14ac:dyDescent="0.25">
      <c r="A119" s="4">
        <v>45299</v>
      </c>
      <c r="B119" s="5" t="s">
        <v>13</v>
      </c>
      <c r="C119" s="5" t="s">
        <v>14</v>
      </c>
      <c r="D119" s="5" t="s">
        <v>15</v>
      </c>
      <c r="E119" s="5">
        <v>-30.08</v>
      </c>
      <c r="F119" s="5" t="s">
        <v>9</v>
      </c>
      <c r="G119" s="5" t="s">
        <v>195</v>
      </c>
      <c r="H119" s="5"/>
      <c r="I119" s="5"/>
      <c r="J119" s="5"/>
      <c r="K119" s="5"/>
      <c r="L119" s="5"/>
      <c r="M119" s="5"/>
      <c r="N119" s="1">
        <f>IF( ISBLANK(LogTable2024[[#This Row],[Date_o]]), IF(ISBLANK(LogTable2024[[#This Row],[Date_i]]), "", LogTable2024[[#This Row],[Date_i]]), LogTable2024[[#This Row],[Date_o]])</f>
        <v>45299</v>
      </c>
      <c r="O119" t="str">
        <f>IF( ISBLANK(LogTable2024[[#This Row],[Description_o]]), IF(ISBLANK(LogTable2024[[#This Row],[Description_i]]), "", LogTable2024[[#This Row],[Description_i]]), LogTable2024[[#This Row],[Description_o]])</f>
        <v>King Soopers</v>
      </c>
      <c r="P119" t="str">
        <f>IF( ISBLANK(LogTable2024[[#This Row],[Original Description_o]]), IF(ISBLANK(LogTable2024[[#This Row],[Original Description_i]]), "", LogTable2024[[#This Row],[Original Description_i]]), LogTable2024[[#This Row],[Original Description_o]])</f>
        <v>KING SOOPERS #0057       WHEAT RIDGE  CO</v>
      </c>
      <c r="Q119" t="str">
        <f>IF( ISBLANK(LogTable2024[[#This Row],[Category_o]]), IF(ISBLANK(LogTable2024[[#This Row],[Category_i]]), "", LogTable2024[[#This Row],[Category_i]]), LogTable2024[[#This Row],[Category_o]])</f>
        <v>Groceries</v>
      </c>
      <c r="R119" s="10">
        <f>IF( ISBLANK(LogTable2024[[#This Row],[Amount_o]]), IF(ISBLANK(LogTable2024[[#This Row],[Amount_i]]), "", LogTable2024[[#This Row],[Amount_i]]), LogTable2024[[#This Row],[Amount_o]])</f>
        <v>-30.08</v>
      </c>
      <c r="S119" s="1" t="str">
        <f>IF( ISBLANK(LogTable2024[[#This Row],[Status_o]]), IF(ISBLANK(LogTable2024[[#This Row],[Status_i]]), "", LogTable2024[[#This Row],[Status_i]]), LogTable2024[[#This Row],[Status_o]])</f>
        <v>Posted</v>
      </c>
      <c r="T119" t="s">
        <v>15</v>
      </c>
      <c r="U119" t="str">
        <f>IF( _xlfn.IFNA(MATCH(LogTable2024[[#This Row],[My Category]], Buckets!$D$4:$D$35, 0), FALSE), ".", "E")</f>
        <v>.</v>
      </c>
    </row>
    <row r="120" spans="1:22" hidden="1" x14ac:dyDescent="0.25">
      <c r="A120" s="4">
        <v>45298</v>
      </c>
      <c r="B120" s="5" t="s">
        <v>59</v>
      </c>
      <c r="C120" s="5" t="s">
        <v>60</v>
      </c>
      <c r="D120" s="5" t="s">
        <v>61</v>
      </c>
      <c r="E120" s="5">
        <v>-30</v>
      </c>
      <c r="F120" s="5" t="s">
        <v>9</v>
      </c>
      <c r="G120" s="5" t="s">
        <v>195</v>
      </c>
      <c r="H120" s="5"/>
      <c r="I120" s="5"/>
      <c r="J120" s="5"/>
      <c r="K120" s="5"/>
      <c r="L120" s="5"/>
      <c r="M120" s="5"/>
      <c r="N120" s="1">
        <f>IF( ISBLANK(LogTable2024[[#This Row],[Date_o]]), IF(ISBLANK(LogTable2024[[#This Row],[Date_i]]), "", LogTable2024[[#This Row],[Date_i]]), LogTable2024[[#This Row],[Date_o]])</f>
        <v>45298</v>
      </c>
      <c r="O120" t="str">
        <f>IF( ISBLANK(LogTable2024[[#This Row],[Description_o]]), IF(ISBLANK(LogTable2024[[#This Row],[Description_i]]), "", LogTable2024[[#This Row],[Description_i]]), LogTable2024[[#This Row],[Description_o]])</f>
        <v>Nature Conservancy</v>
      </c>
      <c r="P120" t="str">
        <f>IF( ISBLANK(LogTable2024[[#This Row],[Original Description_o]]), IF(ISBLANK(LogTable2024[[#This Row],[Original Description_i]]), "", LogTable2024[[#This Row],[Original Description_i]]), LogTable2024[[#This Row],[Original Description_o]])</f>
        <v>Nature Conservancy       800-6286860  VA</v>
      </c>
      <c r="Q120" t="str">
        <f>IF( ISBLANK(LogTable2024[[#This Row],[Category_o]]), IF(ISBLANK(LogTable2024[[#This Row],[Category_i]]), "", LogTable2024[[#This Row],[Category_i]]), LogTable2024[[#This Row],[Category_o]])</f>
        <v>Gifts &amp; Donations</v>
      </c>
      <c r="R120" s="10">
        <f>IF( ISBLANK(LogTable2024[[#This Row],[Amount_o]]), IF(ISBLANK(LogTable2024[[#This Row],[Amount_i]]), "", LogTable2024[[#This Row],[Amount_i]]), LogTable2024[[#This Row],[Amount_o]])</f>
        <v>-30</v>
      </c>
      <c r="S120" s="1" t="str">
        <f>IF( ISBLANK(LogTable2024[[#This Row],[Status_o]]), IF(ISBLANK(LogTable2024[[#This Row],[Status_i]]), "", LogTable2024[[#This Row],[Status_i]]), LogTable2024[[#This Row],[Status_o]])</f>
        <v>Posted</v>
      </c>
      <c r="T120" t="s">
        <v>465</v>
      </c>
      <c r="U120" t="str">
        <f>IF( _xlfn.IFNA(MATCH(LogTable2024[[#This Row],[My Category]], Buckets!$D$4:$D$35, 0), FALSE), ".", "E")</f>
        <v>.</v>
      </c>
    </row>
    <row r="121" spans="1:22" hidden="1" x14ac:dyDescent="0.25">
      <c r="A121" s="4">
        <v>45296</v>
      </c>
      <c r="B121" s="5" t="s">
        <v>79</v>
      </c>
      <c r="C121" s="5" t="s">
        <v>80</v>
      </c>
      <c r="D121" s="5" t="s">
        <v>81</v>
      </c>
      <c r="E121" s="5">
        <v>-10.65</v>
      </c>
      <c r="F121" s="5" t="s">
        <v>9</v>
      </c>
      <c r="G121" s="5" t="s">
        <v>195</v>
      </c>
      <c r="H121" s="5"/>
      <c r="I121" s="5"/>
      <c r="J121" s="5"/>
      <c r="K121" s="5"/>
      <c r="L121" s="5"/>
      <c r="M121" s="5"/>
      <c r="N121" s="1">
        <f>IF( ISBLANK(LogTable2024[[#This Row],[Date_o]]), IF(ISBLANK(LogTable2024[[#This Row],[Date_i]]), "", LogTable2024[[#This Row],[Date_i]]), LogTable2024[[#This Row],[Date_o]])</f>
        <v>45296</v>
      </c>
      <c r="O121" t="str">
        <f>IF( ISBLANK(LogTable2024[[#This Row],[Description_o]]), IF(ISBLANK(LogTable2024[[#This Row],[Description_i]]), "", LogTable2024[[#This Row],[Description_i]]), LogTable2024[[#This Row],[Description_o]])</f>
        <v>I Hop Ipa</v>
      </c>
      <c r="P121" t="str">
        <f>IF( ISBLANK(LogTable2024[[#This Row],[Original Description_o]]), IF(ISBLANK(LogTable2024[[#This Row],[Original Description_i]]), "", LogTable2024[[#This Row],[Original Description_i]]), LogTable2024[[#This Row],[Original Description_o]])</f>
        <v>SQ *I HOP IPA            BROOMFIELD   CO</v>
      </c>
      <c r="Q121" t="str">
        <f>IF( ISBLANK(LogTable2024[[#This Row],[Category_o]]), IF(ISBLANK(LogTable2024[[#This Row],[Category_i]]), "", LogTable2024[[#This Row],[Category_i]]), LogTable2024[[#This Row],[Category_o]])</f>
        <v>Business Services</v>
      </c>
      <c r="R121" s="10">
        <f>IF( ISBLANK(LogTable2024[[#This Row],[Amount_o]]), IF(ISBLANK(LogTable2024[[#This Row],[Amount_i]]), "", LogTable2024[[#This Row],[Amount_i]]), LogTable2024[[#This Row],[Amount_o]])</f>
        <v>-10.65</v>
      </c>
      <c r="S121" s="1" t="str">
        <f>IF( ISBLANK(LogTable2024[[#This Row],[Status_o]]), IF(ISBLANK(LogTable2024[[#This Row],[Status_i]]), "", LogTable2024[[#This Row],[Status_i]]), LogTable2024[[#This Row],[Status_o]])</f>
        <v>Posted</v>
      </c>
      <c r="T121" t="s">
        <v>290</v>
      </c>
      <c r="U121" t="str">
        <f>IF( _xlfn.IFNA(MATCH(LogTable2024[[#This Row],[My Category]], Buckets!$D$4:$D$35, 0), FALSE), ".", "E")</f>
        <v>.</v>
      </c>
    </row>
    <row r="122" spans="1:22" hidden="1" x14ac:dyDescent="0.25">
      <c r="A122" s="4">
        <v>45296</v>
      </c>
      <c r="B122" s="5" t="s">
        <v>187</v>
      </c>
      <c r="C122" s="5" t="s">
        <v>188</v>
      </c>
      <c r="D122" s="5" t="s">
        <v>27</v>
      </c>
      <c r="E122" s="5">
        <v>-12.3</v>
      </c>
      <c r="F122" s="5" t="s">
        <v>9</v>
      </c>
      <c r="G122" s="5" t="s">
        <v>195</v>
      </c>
      <c r="H122" s="5"/>
      <c r="I122" s="5"/>
      <c r="J122" s="5"/>
      <c r="K122" s="5"/>
      <c r="L122" s="5"/>
      <c r="M122" s="5"/>
      <c r="N122" s="1">
        <f>IF( ISBLANK(LogTable2024[[#This Row],[Date_o]]), IF(ISBLANK(LogTable2024[[#This Row],[Date_i]]), "", LogTable2024[[#This Row],[Date_i]]), LogTable2024[[#This Row],[Date_o]])</f>
        <v>45296</v>
      </c>
      <c r="O122" t="str">
        <f>IF( ISBLANK(LogTable2024[[#This Row],[Description_o]]), IF(ISBLANK(LogTable2024[[#This Row],[Description_i]]), "", LogTable2024[[#This Row],[Description_i]]), LogTable2024[[#This Row],[Description_o]])</f>
        <v>Tokyo Joe's</v>
      </c>
      <c r="P122" t="str">
        <f>IF( ISBLANK(LogTable2024[[#This Row],[Original Description_o]]), IF(ISBLANK(LogTable2024[[#This Row],[Original Description_i]]), "", LogTable2024[[#This Row],[Original Description_i]]), LogTable2024[[#This Row],[Original Description_o]])</f>
        <v>TOKYO JOES 120TH 006     612-3607277  CO</v>
      </c>
      <c r="Q122" t="str">
        <f>IF( ISBLANK(LogTable2024[[#This Row],[Category_o]]), IF(ISBLANK(LogTable2024[[#This Row],[Category_i]]), "", LogTable2024[[#This Row],[Category_i]]), LogTable2024[[#This Row],[Category_o]])</f>
        <v>Fast Food</v>
      </c>
      <c r="R122" s="10">
        <f>IF( ISBLANK(LogTable2024[[#This Row],[Amount_o]]), IF(ISBLANK(LogTable2024[[#This Row],[Amount_i]]), "", LogTable2024[[#This Row],[Amount_i]]), LogTable2024[[#This Row],[Amount_o]])</f>
        <v>-12.3</v>
      </c>
      <c r="S122" s="1" t="str">
        <f>IF( ISBLANK(LogTable2024[[#This Row],[Status_o]]), IF(ISBLANK(LogTable2024[[#This Row],[Status_i]]), "", LogTable2024[[#This Row],[Status_i]]), LogTable2024[[#This Row],[Status_o]])</f>
        <v>Posted</v>
      </c>
      <c r="T122" t="s">
        <v>292</v>
      </c>
      <c r="U122" t="str">
        <f>IF( _xlfn.IFNA(MATCH(LogTable2024[[#This Row],[My Category]], Buckets!$D$4:$D$35, 0), FALSE), ".", "E")</f>
        <v>.</v>
      </c>
    </row>
    <row r="123" spans="1:22" hidden="1" x14ac:dyDescent="0.25">
      <c r="A123" s="4">
        <v>45296</v>
      </c>
      <c r="B123" s="5" t="s">
        <v>92</v>
      </c>
      <c r="C123" s="5" t="s">
        <v>452</v>
      </c>
      <c r="D123" s="5" t="s">
        <v>54</v>
      </c>
      <c r="E123" s="5">
        <v>-12.52</v>
      </c>
      <c r="F123" s="5" t="s">
        <v>9</v>
      </c>
      <c r="G123" s="5" t="s">
        <v>195</v>
      </c>
      <c r="H123" s="5"/>
      <c r="I123" s="5"/>
      <c r="J123" s="5"/>
      <c r="K123" s="5"/>
      <c r="L123" s="5"/>
      <c r="M123" s="5"/>
      <c r="N123" s="1">
        <f>IF( ISBLANK(LogTable2024[[#This Row],[Date_o]]), IF(ISBLANK(LogTable2024[[#This Row],[Date_i]]), "", LogTable2024[[#This Row],[Date_i]]), LogTable2024[[#This Row],[Date_o]])</f>
        <v>45296</v>
      </c>
      <c r="O123" t="str">
        <f>IF( ISBLANK(LogTable2024[[#This Row],[Description_o]]), IF(ISBLANK(LogTable2024[[#This Row],[Description_i]]), "", LogTable2024[[#This Row],[Description_i]]), LogTable2024[[#This Row],[Description_o]])</f>
        <v>Walgreens</v>
      </c>
      <c r="P123" t="str">
        <f>IF( ISBLANK(LogTable2024[[#This Row],[Original Description_o]]), IF(ISBLANK(LogTable2024[[#This Row],[Original Description_i]]), "", LogTable2024[[#This Row],[Original Description_i]]), LogTable2024[[#This Row],[Original Description_o]])</f>
        <v>WALGREENS #6345          DENVER       CO</v>
      </c>
      <c r="Q123" t="str">
        <f>IF( ISBLANK(LogTable2024[[#This Row],[Category_o]]), IF(ISBLANK(LogTable2024[[#This Row],[Category_i]]), "", LogTable2024[[#This Row],[Category_i]]), LogTable2024[[#This Row],[Category_o]])</f>
        <v>Pharmacy</v>
      </c>
      <c r="R123" s="10">
        <f>IF( ISBLANK(LogTable2024[[#This Row],[Amount_o]]), IF(ISBLANK(LogTable2024[[#This Row],[Amount_i]]), "", LogTable2024[[#This Row],[Amount_i]]), LogTable2024[[#This Row],[Amount_o]])</f>
        <v>-12.52</v>
      </c>
      <c r="S123" s="1" t="str">
        <f>IF( ISBLANK(LogTable2024[[#This Row],[Status_o]]), IF(ISBLANK(LogTable2024[[#This Row],[Status_i]]), "", LogTable2024[[#This Row],[Status_i]]), LogTable2024[[#This Row],[Status_o]])</f>
        <v>Posted</v>
      </c>
      <c r="T123" t="s">
        <v>301</v>
      </c>
      <c r="U123" t="str">
        <f>IF( _xlfn.IFNA(MATCH(LogTable2024[[#This Row],[My Category]], Buckets!$D$4:$D$35, 0), FALSE), ".", "E")</f>
        <v>.</v>
      </c>
    </row>
    <row r="124" spans="1:22" hidden="1" x14ac:dyDescent="0.25">
      <c r="A124" s="4">
        <v>45295</v>
      </c>
      <c r="B124" s="5" t="s">
        <v>219</v>
      </c>
      <c r="C124" s="5" t="s">
        <v>457</v>
      </c>
      <c r="D124" s="5" t="s">
        <v>107</v>
      </c>
      <c r="E124" s="5">
        <v>-1945</v>
      </c>
      <c r="F124" s="5" t="s">
        <v>9</v>
      </c>
      <c r="G124" s="5" t="s">
        <v>269</v>
      </c>
      <c r="H124" s="5"/>
      <c r="I124" s="5"/>
      <c r="J124" s="5"/>
      <c r="K124" s="5"/>
      <c r="L124" s="5"/>
      <c r="M124" s="5"/>
      <c r="N124" s="1">
        <f>IF( ISBLANK(LogTable2024[[#This Row],[Date_o]]), IF(ISBLANK(LogTable2024[[#This Row],[Date_i]]), "", LogTable2024[[#This Row],[Date_i]]), LogTable2024[[#This Row],[Date_o]])</f>
        <v>45295</v>
      </c>
      <c r="O124" t="str">
        <f>IF( ISBLANK(LogTable2024[[#This Row],[Description_o]]), IF(ISBLANK(LogTable2024[[#This Row],[Description_i]]), "", LogTable2024[[#This Row],[Description_i]]), LogTable2024[[#This Row],[Description_o]])</f>
        <v>Cornerstoneapart Web</v>
      </c>
      <c r="P124" t="str">
        <f>IF( ISBLANK(LogTable2024[[#This Row],[Original Description_o]]), IF(ISBLANK(LogTable2024[[#This Row],[Original Description_i]]), "", LogTable2024[[#This Row],[Original Description_i]]), LogTable2024[[#This Row],[Original Description_o]])</f>
        <v>CORNERSTONEAPART WEB PMTS   ***********1WJF</v>
      </c>
      <c r="Q124" t="str">
        <f>IF( ISBLANK(LogTable2024[[#This Row],[Category_o]]), IF(ISBLANK(LogTable2024[[#This Row],[Category_i]]), "", LogTable2024[[#This Row],[Category_i]]), LogTable2024[[#This Row],[Category_o]])</f>
        <v>Uncategorized</v>
      </c>
      <c r="R124" s="10">
        <f>IF( ISBLANK(LogTable2024[[#This Row],[Amount_o]]), IF(ISBLANK(LogTable2024[[#This Row],[Amount_i]]), "", LogTable2024[[#This Row],[Amount_i]]), LogTable2024[[#This Row],[Amount_o]])</f>
        <v>-1945</v>
      </c>
      <c r="S124" s="1" t="str">
        <f>IF( ISBLANK(LogTable2024[[#This Row],[Status_o]]), IF(ISBLANK(LogTable2024[[#This Row],[Status_i]]), "", LogTable2024[[#This Row],[Status_i]]), LogTable2024[[#This Row],[Status_o]])</f>
        <v>Posted</v>
      </c>
      <c r="T124" t="s">
        <v>293</v>
      </c>
      <c r="U124" t="str">
        <f>IF( _xlfn.IFNA(MATCH(LogTable2024[[#This Row],[My Category]], Buckets!$D$4:$D$35, 0), FALSE), ".", "E")</f>
        <v>.</v>
      </c>
    </row>
    <row r="125" spans="1:22" hidden="1" x14ac:dyDescent="0.25">
      <c r="A125" s="4">
        <v>45295</v>
      </c>
      <c r="B125" s="5" t="s">
        <v>66</v>
      </c>
      <c r="C125" s="5" t="s">
        <v>67</v>
      </c>
      <c r="D125" s="5" t="s">
        <v>68</v>
      </c>
      <c r="E125" s="5">
        <v>-35</v>
      </c>
      <c r="F125" s="5" t="s">
        <v>9</v>
      </c>
      <c r="G125" s="5" t="s">
        <v>195</v>
      </c>
      <c r="H125" s="5"/>
      <c r="I125" s="5"/>
      <c r="J125" s="5"/>
      <c r="K125" s="5"/>
      <c r="L125" s="5"/>
      <c r="M125" s="5"/>
      <c r="N125" s="1">
        <f>IF( ISBLANK(LogTable2024[[#This Row],[Date_o]]), IF(ISBLANK(LogTable2024[[#This Row],[Date_i]]), "", LogTable2024[[#This Row],[Date_i]]), LogTable2024[[#This Row],[Date_o]])</f>
        <v>45295</v>
      </c>
      <c r="O125" t="str">
        <f>IF( ISBLANK(LogTable2024[[#This Row],[Description_o]]), IF(ISBLANK(LogTable2024[[#This Row],[Description_i]]), "", LogTable2024[[#This Row],[Description_i]]), LogTable2024[[#This Row],[Description_o]])</f>
        <v>T-Mobile</v>
      </c>
      <c r="P125" t="str">
        <f>IF( ISBLANK(LogTable2024[[#This Row],[Original Description_o]]), IF(ISBLANK(LogTable2024[[#This Row],[Original Description_i]]), "", LogTable2024[[#This Row],[Original Description_i]]), LogTable2024[[#This Row],[Original Description_o]])</f>
        <v>TMOBILE*AUTO PAY         800-937-8997 WA</v>
      </c>
      <c r="Q125" t="str">
        <f>IF( ISBLANK(LogTable2024[[#This Row],[Category_o]]), IF(ISBLANK(LogTable2024[[#This Row],[Category_i]]), "", LogTable2024[[#This Row],[Category_i]]), LogTable2024[[#This Row],[Category_o]])</f>
        <v>Mobile Phone</v>
      </c>
      <c r="R125" s="10">
        <f>IF( ISBLANK(LogTable2024[[#This Row],[Amount_o]]), IF(ISBLANK(LogTable2024[[#This Row],[Amount_i]]), "", LogTable2024[[#This Row],[Amount_i]]), LogTable2024[[#This Row],[Amount_o]])</f>
        <v>-35</v>
      </c>
      <c r="S125" s="1" t="str">
        <f>IF( ISBLANK(LogTable2024[[#This Row],[Status_o]]), IF(ISBLANK(LogTable2024[[#This Row],[Status_i]]), "", LogTable2024[[#This Row],[Status_i]]), LogTable2024[[#This Row],[Status_o]])</f>
        <v>Posted</v>
      </c>
      <c r="T125" t="s">
        <v>215</v>
      </c>
      <c r="U125" t="str">
        <f>IF( _xlfn.IFNA(MATCH(LogTable2024[[#This Row],[My Category]], Buckets!$D$4:$D$35, 0), FALSE), ".", "E")</f>
        <v>.</v>
      </c>
    </row>
    <row r="126" spans="1:22" hidden="1" x14ac:dyDescent="0.25">
      <c r="A126" s="4">
        <v>45295</v>
      </c>
      <c r="B126" s="5" t="s">
        <v>221</v>
      </c>
      <c r="C126" s="5" t="s">
        <v>458</v>
      </c>
      <c r="D126" s="5" t="s">
        <v>177</v>
      </c>
      <c r="E126" s="5">
        <v>-0.95</v>
      </c>
      <c r="F126" s="5" t="s">
        <v>9</v>
      </c>
      <c r="G126" s="5" t="s">
        <v>269</v>
      </c>
      <c r="H126" s="5"/>
      <c r="I126" s="5"/>
      <c r="J126" s="5"/>
      <c r="K126" s="5"/>
      <c r="L126" s="5"/>
      <c r="M126" s="5"/>
      <c r="N126" s="1">
        <f>IF( ISBLANK(LogTable2024[[#This Row],[Date_o]]), IF(ISBLANK(LogTable2024[[#This Row],[Date_i]]), "", LogTable2024[[#This Row],[Date_i]]), LogTable2024[[#This Row],[Date_o]])</f>
        <v>45295</v>
      </c>
      <c r="O126" t="str">
        <f>IF( ISBLANK(LogTable2024[[#This Row],[Description_o]]), IF(ISBLANK(LogTable2024[[#This Row],[Description_i]]), "", LogTable2024[[#This Row],[Description_i]]), LogTable2024[[#This Row],[Description_o]])</f>
        <v>Yardi</v>
      </c>
      <c r="P126" t="str">
        <f>IF( ISBLANK(LogTable2024[[#This Row],[Original Description_o]]), IF(ISBLANK(LogTable2024[[#This Row],[Original Description_i]]), "", LogTable2024[[#This Row],[Original Description_i]]), LogTable2024[[#This Row],[Original Description_o]])</f>
        <v>YARDI SERVICECHG WEB PMTS   ***********0WJF</v>
      </c>
      <c r="Q126" t="str">
        <f>IF( ISBLANK(LogTable2024[[#This Row],[Category_o]]), IF(ISBLANK(LogTable2024[[#This Row],[Category_i]]), "", LogTable2024[[#This Row],[Category_i]]), LogTable2024[[#This Row],[Category_o]])</f>
        <v>Mortgage &amp; Rent</v>
      </c>
      <c r="R126" s="10">
        <f>IF( ISBLANK(LogTable2024[[#This Row],[Amount_o]]), IF(ISBLANK(LogTable2024[[#This Row],[Amount_i]]), "", LogTable2024[[#This Row],[Amount_i]]), LogTable2024[[#This Row],[Amount_o]])</f>
        <v>-0.95</v>
      </c>
      <c r="S126" s="1" t="str">
        <f>IF( ISBLANK(LogTable2024[[#This Row],[Status_o]]), IF(ISBLANK(LogTable2024[[#This Row],[Status_i]]), "", LogTable2024[[#This Row],[Status_i]]), LogTable2024[[#This Row],[Status_o]])</f>
        <v>Posted</v>
      </c>
      <c r="T126" t="s">
        <v>293</v>
      </c>
      <c r="U126" t="str">
        <f>IF( _xlfn.IFNA(MATCH(LogTable2024[[#This Row],[My Category]], Buckets!$D$4:$D$35, 0), FALSE), ".", "E")</f>
        <v>.</v>
      </c>
    </row>
    <row r="127" spans="1:22" hidden="1" x14ac:dyDescent="0.25">
      <c r="A127" s="4">
        <v>45294</v>
      </c>
      <c r="B127" s="5" t="s">
        <v>224</v>
      </c>
      <c r="C127" s="5" t="s">
        <v>459</v>
      </c>
      <c r="D127" s="5" t="s">
        <v>226</v>
      </c>
      <c r="E127" s="5">
        <v>-320</v>
      </c>
      <c r="F127" s="5" t="s">
        <v>9</v>
      </c>
      <c r="G127" s="5" t="s">
        <v>269</v>
      </c>
      <c r="H127" s="5"/>
      <c r="I127" s="5"/>
      <c r="J127" s="5"/>
      <c r="K127" s="5"/>
      <c r="L127" s="5"/>
      <c r="M127" s="5"/>
      <c r="N127" s="1">
        <f>IF( ISBLANK(LogTable2024[[#This Row],[Date_o]]), IF(ISBLANK(LogTable2024[[#This Row],[Date_i]]), "", LogTable2024[[#This Row],[Date_i]]), LogTable2024[[#This Row],[Date_o]])</f>
        <v>45294</v>
      </c>
      <c r="O127" t="str">
        <f>IF( ISBLANK(LogTable2024[[#This Row],[Description_o]]), IF(ISBLANK(LogTable2024[[#This Row],[Description_i]]), "", LogTable2024[[#This Row],[Description_i]]), LogTable2024[[#This Row],[Description_o]])</f>
        <v>Honda Financial</v>
      </c>
      <c r="P127" t="str">
        <f>IF( ISBLANK(LogTable2024[[#This Row],[Original Description_o]]), IF(ISBLANK(LogTable2024[[#This Row],[Original Description_i]]), "", LogTable2024[[#This Row],[Original Description_i]]), LogTable2024[[#This Row],[Original Description_o]])</f>
        <v>HONDA PMT        8004489307 ***********LE9E</v>
      </c>
      <c r="Q127" t="str">
        <f>IF( ISBLANK(LogTable2024[[#This Row],[Category_o]]), IF(ISBLANK(LogTable2024[[#This Row],[Category_i]]), "", LogTable2024[[#This Row],[Category_i]]), LogTable2024[[#This Row],[Category_o]])</f>
        <v>Auto Payment</v>
      </c>
      <c r="R127" s="10">
        <f>IF( ISBLANK(LogTable2024[[#This Row],[Amount_o]]), IF(ISBLANK(LogTable2024[[#This Row],[Amount_i]]), "", LogTable2024[[#This Row],[Amount_i]]), LogTable2024[[#This Row],[Amount_o]])</f>
        <v>-320</v>
      </c>
      <c r="S127" s="1" t="str">
        <f>IF( ISBLANK(LogTable2024[[#This Row],[Status_o]]), IF(ISBLANK(LogTable2024[[#This Row],[Status_i]]), "", LogTable2024[[#This Row],[Status_i]]), LogTable2024[[#This Row],[Status_o]])</f>
        <v>Posted</v>
      </c>
      <c r="T127" t="s">
        <v>463</v>
      </c>
      <c r="U127" t="str">
        <f>IF( _xlfn.IFNA(MATCH(LogTable2024[[#This Row],[My Category]], Buckets!$D$4:$D$35, 0), FALSE), ".", "E")</f>
        <v>.</v>
      </c>
    </row>
    <row r="128" spans="1:22" hidden="1" x14ac:dyDescent="0.25">
      <c r="A128" s="4">
        <v>45294</v>
      </c>
      <c r="B128" s="5" t="s">
        <v>25</v>
      </c>
      <c r="C128" s="5" t="s">
        <v>26</v>
      </c>
      <c r="D128" s="5" t="s">
        <v>27</v>
      </c>
      <c r="E128" s="5">
        <v>-13.35</v>
      </c>
      <c r="F128" s="5" t="s">
        <v>9</v>
      </c>
      <c r="G128" s="5" t="s">
        <v>195</v>
      </c>
      <c r="H128" s="5"/>
      <c r="I128" s="5"/>
      <c r="J128" s="5"/>
      <c r="K128" s="5"/>
      <c r="L128" s="5"/>
      <c r="M128" s="5"/>
      <c r="N128" s="1">
        <f>IF( ISBLANK(LogTable2024[[#This Row],[Date_o]]), IF(ISBLANK(LogTable2024[[#This Row],[Date_i]]), "", LogTable2024[[#This Row],[Date_i]]), LogTable2024[[#This Row],[Date_o]])</f>
        <v>45294</v>
      </c>
      <c r="O128" t="str">
        <f>IF( ISBLANK(LogTable2024[[#This Row],[Description_o]]), IF(ISBLANK(LogTable2024[[#This Row],[Description_i]]), "", LogTable2024[[#This Row],[Description_i]]), LogTable2024[[#This Row],[Description_o]])</f>
        <v>Qdoba</v>
      </c>
      <c r="P128" t="str">
        <f>IF( ISBLANK(LogTable2024[[#This Row],[Original Description_o]]), IF(ISBLANK(LogTable2024[[#This Row],[Original Description_i]]), "", LogTable2024[[#This Row],[Original Description_i]]), LogTable2024[[#This Row],[Original Description_o]])</f>
        <v>QDOBA 2063               WESTMINSTER  CA</v>
      </c>
      <c r="Q128" t="str">
        <f>IF( ISBLANK(LogTable2024[[#This Row],[Category_o]]), IF(ISBLANK(LogTable2024[[#This Row],[Category_i]]), "", LogTable2024[[#This Row],[Category_i]]), LogTable2024[[#This Row],[Category_o]])</f>
        <v>Fast Food</v>
      </c>
      <c r="R128" s="10">
        <f>IF( ISBLANK(LogTable2024[[#This Row],[Amount_o]]), IF(ISBLANK(LogTable2024[[#This Row],[Amount_i]]), "", LogTable2024[[#This Row],[Amount_i]]), LogTable2024[[#This Row],[Amount_o]])</f>
        <v>-13.35</v>
      </c>
      <c r="S128" s="1" t="str">
        <f>IF( ISBLANK(LogTable2024[[#This Row],[Status_o]]), IF(ISBLANK(LogTable2024[[#This Row],[Status_i]]), "", LogTable2024[[#This Row],[Status_i]]), LogTable2024[[#This Row],[Status_o]])</f>
        <v>Posted</v>
      </c>
      <c r="T128" t="s">
        <v>292</v>
      </c>
      <c r="U128" t="str">
        <f>IF( _xlfn.IFNA(MATCH(LogTable2024[[#This Row],[My Category]], Buckets!$D$4:$D$35, 0), FALSE), ".", "E")</f>
        <v>.</v>
      </c>
    </row>
    <row r="129" spans="1:22" hidden="1" x14ac:dyDescent="0.25">
      <c r="A129" s="4">
        <v>45293</v>
      </c>
      <c r="B129" s="5" t="s">
        <v>219</v>
      </c>
      <c r="C129" s="5" t="s">
        <v>460</v>
      </c>
      <c r="D129" s="5" t="s">
        <v>107</v>
      </c>
      <c r="E129" s="5">
        <v>-99.91</v>
      </c>
      <c r="F129" s="5" t="s">
        <v>9</v>
      </c>
      <c r="G129" s="5" t="s">
        <v>269</v>
      </c>
      <c r="H129" s="5"/>
      <c r="I129" s="5"/>
      <c r="J129" s="5"/>
      <c r="K129" s="5"/>
      <c r="L129" s="5"/>
      <c r="M129" s="5"/>
      <c r="N129" s="1">
        <f>IF( ISBLANK(LogTable2024[[#This Row],[Date_o]]), IF(ISBLANK(LogTable2024[[#This Row],[Date_i]]), "", LogTable2024[[#This Row],[Date_i]]), LogTable2024[[#This Row],[Date_o]])</f>
        <v>45293</v>
      </c>
      <c r="O129" t="str">
        <f>IF( ISBLANK(LogTable2024[[#This Row],[Description_o]]), IF(ISBLANK(LogTable2024[[#This Row],[Description_i]]), "", LogTable2024[[#This Row],[Description_i]]), LogTable2024[[#This Row],[Description_o]])</f>
        <v>Cornerstoneapart Web</v>
      </c>
      <c r="P129" t="str">
        <f>IF( ISBLANK(LogTable2024[[#This Row],[Original Description_o]]), IF(ISBLANK(LogTable2024[[#This Row],[Original Description_i]]), "", LogTable2024[[#This Row],[Original Description_i]]), LogTable2024[[#This Row],[Original Description_o]])</f>
        <v>CORNERSTONEAPART WEB PMTS   ***********Q9HF</v>
      </c>
      <c r="Q129" t="str">
        <f>IF( ISBLANK(LogTable2024[[#This Row],[Category_o]]), IF(ISBLANK(LogTable2024[[#This Row],[Category_i]]), "", LogTable2024[[#This Row],[Category_i]]), LogTable2024[[#This Row],[Category_o]])</f>
        <v>Uncategorized</v>
      </c>
      <c r="R129" s="10">
        <f>IF( ISBLANK(LogTable2024[[#This Row],[Amount_o]]), IF(ISBLANK(LogTable2024[[#This Row],[Amount_i]]), "", LogTable2024[[#This Row],[Amount_i]]), LogTable2024[[#This Row],[Amount_o]])</f>
        <v>-99.91</v>
      </c>
      <c r="S129" s="1" t="str">
        <f>IF( ISBLANK(LogTable2024[[#This Row],[Status_o]]), IF(ISBLANK(LogTable2024[[#This Row],[Status_i]]), "", LogTable2024[[#This Row],[Status_i]]), LogTable2024[[#This Row],[Status_o]])</f>
        <v>Posted</v>
      </c>
      <c r="T129" t="s">
        <v>293</v>
      </c>
      <c r="U129" t="str">
        <f>IF( _xlfn.IFNA(MATCH(LogTable2024[[#This Row],[My Category]], Buckets!$D$4:$D$35, 0), FALSE), ".", "E")</f>
        <v>.</v>
      </c>
    </row>
    <row r="130" spans="1:22" hidden="1" x14ac:dyDescent="0.25">
      <c r="A130" s="4">
        <v>45293</v>
      </c>
      <c r="B130" s="5" t="s">
        <v>13</v>
      </c>
      <c r="C130" s="5" t="s">
        <v>14</v>
      </c>
      <c r="D130" s="5" t="s">
        <v>15</v>
      </c>
      <c r="E130" s="5">
        <v>-80.03</v>
      </c>
      <c r="F130" s="5" t="s">
        <v>9</v>
      </c>
      <c r="G130" s="5" t="s">
        <v>195</v>
      </c>
      <c r="H130" s="5"/>
      <c r="I130" s="5"/>
      <c r="J130" s="5"/>
      <c r="K130" s="5"/>
      <c r="L130" s="5"/>
      <c r="M130" s="5"/>
      <c r="N130" s="1">
        <f>IF( ISBLANK(LogTable2024[[#This Row],[Date_o]]), IF(ISBLANK(LogTable2024[[#This Row],[Date_i]]), "", LogTable2024[[#This Row],[Date_i]]), LogTable2024[[#This Row],[Date_o]])</f>
        <v>45293</v>
      </c>
      <c r="O130" t="str">
        <f>IF( ISBLANK(LogTable2024[[#This Row],[Description_o]]), IF(ISBLANK(LogTable2024[[#This Row],[Description_i]]), "", LogTable2024[[#This Row],[Description_i]]), LogTable2024[[#This Row],[Description_o]])</f>
        <v>King Soopers</v>
      </c>
      <c r="P130" t="str">
        <f>IF( ISBLANK(LogTable2024[[#This Row],[Original Description_o]]), IF(ISBLANK(LogTable2024[[#This Row],[Original Description_i]]), "", LogTable2024[[#This Row],[Original Description_i]]), LogTable2024[[#This Row],[Original Description_o]])</f>
        <v>KING SOOPERS #0057       WHEAT RIDGE  CO</v>
      </c>
      <c r="Q130" t="str">
        <f>IF( ISBLANK(LogTable2024[[#This Row],[Category_o]]), IF(ISBLANK(LogTable2024[[#This Row],[Category_i]]), "", LogTable2024[[#This Row],[Category_i]]), LogTable2024[[#This Row],[Category_o]])</f>
        <v>Groceries</v>
      </c>
      <c r="R130" s="10">
        <f>IF( ISBLANK(LogTable2024[[#This Row],[Amount_o]]), IF(ISBLANK(LogTable2024[[#This Row],[Amount_i]]), "", LogTable2024[[#This Row],[Amount_i]]), LogTable2024[[#This Row],[Amount_o]])</f>
        <v>-80.03</v>
      </c>
      <c r="S130" s="1" t="str">
        <f>IF( ISBLANK(LogTable2024[[#This Row],[Status_o]]), IF(ISBLANK(LogTable2024[[#This Row],[Status_i]]), "", LogTable2024[[#This Row],[Status_i]]), LogTable2024[[#This Row],[Status_o]])</f>
        <v>Posted</v>
      </c>
      <c r="T130" t="s">
        <v>15</v>
      </c>
      <c r="U130" t="str">
        <f>IF( _xlfn.IFNA(MATCH(LogTable2024[[#This Row],[My Category]], Buckets!$D$4:$D$35, 0), FALSE), ".", "E")</f>
        <v>.</v>
      </c>
    </row>
    <row r="131" spans="1:22" x14ac:dyDescent="0.25">
      <c r="A131" s="4">
        <v>45293</v>
      </c>
      <c r="B131" s="5" t="s">
        <v>71</v>
      </c>
      <c r="C131" s="5" t="s">
        <v>228</v>
      </c>
      <c r="D131" s="5" t="s">
        <v>186</v>
      </c>
      <c r="E131" s="5">
        <v>-823.79</v>
      </c>
      <c r="F131" s="5" t="s">
        <v>9</v>
      </c>
      <c r="G131" s="5" t="s">
        <v>269</v>
      </c>
      <c r="H131" s="5"/>
      <c r="I131" s="5"/>
      <c r="J131" s="5"/>
      <c r="K131" s="5"/>
      <c r="L131" s="5"/>
      <c r="M131" s="5"/>
      <c r="N131" s="1">
        <f>IF( ISBLANK(LogTable2024[[#This Row],[Date_o]]), IF(ISBLANK(LogTable2024[[#This Row],[Date_i]]), "", LogTable2024[[#This Row],[Date_i]]), LogTable2024[[#This Row],[Date_o]])</f>
        <v>45293</v>
      </c>
      <c r="O131" t="str">
        <f>IF( ISBLANK(LogTable2024[[#This Row],[Description_o]]), IF(ISBLANK(LogTable2024[[#This Row],[Description_i]]), "", LogTable2024[[#This Row],[Description_i]]), LogTable2024[[#This Row],[Description_o]])</f>
        <v>USAA Credit Card</v>
      </c>
      <c r="P131" t="str">
        <f>IF( ISBLANK(LogTable2024[[#This Row],[Original Description_o]]), IF(ISBLANK(LogTable2024[[#This Row],[Original Description_i]]), "", LogTable2024[[#This Row],[Original Description_i]]), LogTable2024[[#This Row],[Original Description_o]])</f>
        <v>USAA CREDIT CARD PAYMENT</v>
      </c>
      <c r="Q131" t="str">
        <f>IF( ISBLANK(LogTable2024[[#This Row],[Category_o]]), IF(ISBLANK(LogTable2024[[#This Row],[Category_i]]), "", LogTable2024[[#This Row],[Category_i]]), LogTable2024[[#This Row],[Category_o]])</f>
        <v>Credit Card Payment</v>
      </c>
      <c r="R131" s="10">
        <f>IF( ISBLANK(LogTable2024[[#This Row],[Amount_o]]), IF(ISBLANK(LogTable2024[[#This Row],[Amount_i]]), "", LogTable2024[[#This Row],[Amount_i]]), LogTable2024[[#This Row],[Amount_o]])</f>
        <v>-823.79</v>
      </c>
      <c r="S131" s="1" t="str">
        <f>IF( ISBLANK(LogTable2024[[#This Row],[Status_o]]), IF(ISBLANK(LogTable2024[[#This Row],[Status_i]]), "", LogTable2024[[#This Row],[Status_i]]), LogTable2024[[#This Row],[Status_o]])</f>
        <v>Posted</v>
      </c>
      <c r="T131" t="s">
        <v>307</v>
      </c>
      <c r="U131" t="str">
        <f>IF( _xlfn.IFNA(MATCH(LogTable2024[[#This Row],[My Category]], Buckets!$D$4:$D$35, 0), FALSE), ".", "E")</f>
        <v>.</v>
      </c>
    </row>
    <row r="132" spans="1:22" x14ac:dyDescent="0.25">
      <c r="A132" s="4">
        <v>45290</v>
      </c>
      <c r="B132" s="5" t="s">
        <v>71</v>
      </c>
      <c r="C132" s="5" t="s">
        <v>72</v>
      </c>
      <c r="D132" s="5" t="s">
        <v>73</v>
      </c>
      <c r="E132" s="5">
        <v>823.79</v>
      </c>
      <c r="F132" s="5" t="s">
        <v>9</v>
      </c>
      <c r="G132" s="5" t="s">
        <v>195</v>
      </c>
      <c r="H132" s="4">
        <v>45293</v>
      </c>
      <c r="I132" s="5"/>
      <c r="J132" s="5"/>
      <c r="K132" s="5"/>
      <c r="L132" s="5"/>
      <c r="M132" s="5"/>
      <c r="N132" s="1">
        <f>IF( ISBLANK(LogTable2024[[#This Row],[Date_o]]), IF(ISBLANK(LogTable2024[[#This Row],[Date_i]]), "", LogTable2024[[#This Row],[Date_i]]), LogTable2024[[#This Row],[Date_o]])</f>
        <v>45293</v>
      </c>
      <c r="O132" t="str">
        <f>IF( ISBLANK(LogTable2024[[#This Row],[Description_o]]), IF(ISBLANK(LogTable2024[[#This Row],[Description_i]]), "", LogTable2024[[#This Row],[Description_i]]), LogTable2024[[#This Row],[Description_o]])</f>
        <v>USAA Credit Card</v>
      </c>
      <c r="P132" t="str">
        <f>IF( ISBLANK(LogTable2024[[#This Row],[Original Description_o]]), IF(ISBLANK(LogTable2024[[#This Row],[Original Description_i]]), "", LogTable2024[[#This Row],[Original Description_i]]), LogTable2024[[#This Row],[Original Description_o]])</f>
        <v>USAA CREDIT CARD PAYMENT SAN ANTONIO  TX</v>
      </c>
      <c r="Q132" t="str">
        <f>IF( ISBLANK(LogTable2024[[#This Row],[Category_o]]), IF(ISBLANK(LogTable2024[[#This Row],[Category_i]]), "", LogTable2024[[#This Row],[Category_i]]), LogTable2024[[#This Row],[Category_o]])</f>
        <v>Transfer</v>
      </c>
      <c r="R132" s="10">
        <f>IF( ISBLANK(LogTable2024[[#This Row],[Amount_o]]), IF(ISBLANK(LogTable2024[[#This Row],[Amount_i]]), "", LogTable2024[[#This Row],[Amount_i]]), LogTable2024[[#This Row],[Amount_o]])</f>
        <v>823.79</v>
      </c>
      <c r="S132" s="1" t="str">
        <f>IF( ISBLANK(LogTable2024[[#This Row],[Status_o]]), IF(ISBLANK(LogTable2024[[#This Row],[Status_i]]), "", LogTable2024[[#This Row],[Status_i]]), LogTable2024[[#This Row],[Status_o]])</f>
        <v>Posted</v>
      </c>
      <c r="T132" t="s">
        <v>307</v>
      </c>
      <c r="U132" t="str">
        <f>IF( _xlfn.IFNA(MATCH(LogTable2024[[#This Row],[My Category]], Buckets!$D$4:$D$35, 0), FALSE), ".", "E")</f>
        <v>.</v>
      </c>
      <c r="V132" t="s">
        <v>439</v>
      </c>
    </row>
    <row r="133" spans="1:22" hidden="1" x14ac:dyDescent="0.25">
      <c r="A133" s="4">
        <v>45293</v>
      </c>
      <c r="B133" s="5" t="s">
        <v>221</v>
      </c>
      <c r="C133" s="5" t="s">
        <v>461</v>
      </c>
      <c r="D133" s="5" t="s">
        <v>177</v>
      </c>
      <c r="E133" s="5">
        <v>-0.95</v>
      </c>
      <c r="F133" s="5" t="s">
        <v>9</v>
      </c>
      <c r="G133" s="5" t="s">
        <v>269</v>
      </c>
      <c r="H133" s="5"/>
      <c r="I133" s="5"/>
      <c r="J133" s="5"/>
      <c r="K133" s="5"/>
      <c r="L133" s="5"/>
      <c r="M133" s="5"/>
      <c r="N133" s="1">
        <f>IF( ISBLANK(LogTable2024[[#This Row],[Date_o]]), IF(ISBLANK(LogTable2024[[#This Row],[Date_i]]), "", LogTable2024[[#This Row],[Date_i]]), LogTable2024[[#This Row],[Date_o]])</f>
        <v>45293</v>
      </c>
      <c r="O133" t="str">
        <f>IF( ISBLANK(LogTable2024[[#This Row],[Description_o]]), IF(ISBLANK(LogTable2024[[#This Row],[Description_i]]), "", LogTable2024[[#This Row],[Description_i]]), LogTable2024[[#This Row],[Description_o]])</f>
        <v>Yardi</v>
      </c>
      <c r="P133" t="str">
        <f>IF( ISBLANK(LogTable2024[[#This Row],[Original Description_o]]), IF(ISBLANK(LogTable2024[[#This Row],[Original Description_i]]), "", LogTable2024[[#This Row],[Original Description_i]]), LogTable2024[[#This Row],[Original Description_o]])</f>
        <v>YARDI SERVICECHG WEB PMTS   ***********M9HF</v>
      </c>
      <c r="Q133" t="str">
        <f>IF( ISBLANK(LogTable2024[[#This Row],[Category_o]]), IF(ISBLANK(LogTable2024[[#This Row],[Category_i]]), "", LogTable2024[[#This Row],[Category_i]]), LogTable2024[[#This Row],[Category_o]])</f>
        <v>Mortgage &amp; Rent</v>
      </c>
      <c r="R133" s="10">
        <f>IF( ISBLANK(LogTable2024[[#This Row],[Amount_o]]), IF(ISBLANK(LogTable2024[[#This Row],[Amount_i]]), "", LogTable2024[[#This Row],[Amount_i]]), LogTable2024[[#This Row],[Amount_o]])</f>
        <v>-0.95</v>
      </c>
      <c r="S133" s="1" t="str">
        <f>IF( ISBLANK(LogTable2024[[#This Row],[Status_o]]), IF(ISBLANK(LogTable2024[[#This Row],[Status_i]]), "", LogTable2024[[#This Row],[Status_i]]), LogTable2024[[#This Row],[Status_o]])</f>
        <v>Posted</v>
      </c>
      <c r="T133" t="s">
        <v>293</v>
      </c>
      <c r="U133" t="str">
        <f>IF( _xlfn.IFNA(MATCH(LogTable2024[[#This Row],[My Category]], Buckets!$D$4:$D$35, 0), FALSE), ".", "E")</f>
        <v>.</v>
      </c>
    </row>
  </sheetData>
  <mergeCells count="3">
    <mergeCell ref="A1:F1"/>
    <mergeCell ref="H1:M1"/>
    <mergeCell ref="N1:S1"/>
  </mergeCells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98179C-B64B-49EB-AE61-96CEABA54E1A}">
  <sheetPr codeName="Sheet6"/>
  <dimension ref="A1:AI7"/>
  <sheetViews>
    <sheetView topLeftCell="Q1" workbookViewId="0">
      <selection activeCell="AG3" sqref="AG3"/>
    </sheetView>
  </sheetViews>
  <sheetFormatPr defaultRowHeight="15" x14ac:dyDescent="0.25"/>
  <cols>
    <col min="1" max="1" width="9.7109375" bestFit="1" customWidth="1"/>
    <col min="2" max="2" width="10.7109375" bestFit="1" customWidth="1"/>
    <col min="3" max="3" width="12" customWidth="1"/>
    <col min="4" max="4" width="21.5703125" customWidth="1"/>
    <col min="5" max="5" width="12.7109375" customWidth="1"/>
    <col min="6" max="6" width="18.42578125" customWidth="1"/>
    <col min="7" max="7" width="19.42578125" customWidth="1"/>
    <col min="8" max="8" width="22.5703125" customWidth="1"/>
    <col min="10" max="10" width="22.7109375" customWidth="1"/>
    <col min="11" max="11" width="9.28515625" customWidth="1"/>
    <col min="12" max="12" width="11.85546875" customWidth="1"/>
    <col min="14" max="14" width="9.5703125" customWidth="1"/>
    <col min="15" max="15" width="11.7109375" customWidth="1"/>
    <col min="16" max="16" width="12.85546875" customWidth="1"/>
    <col min="18" max="18" width="10.28515625" customWidth="1"/>
    <col min="19" max="19" width="10.42578125" customWidth="1"/>
    <col min="20" max="20" width="17" customWidth="1"/>
    <col min="21" max="21" width="12.85546875" customWidth="1"/>
    <col min="23" max="23" width="13.28515625" customWidth="1"/>
    <col min="24" max="24" width="12.28515625" customWidth="1"/>
    <col min="25" max="25" width="18.85546875" customWidth="1"/>
    <col min="26" max="26" width="17" customWidth="1"/>
    <col min="27" max="27" width="19.28515625" customWidth="1"/>
    <col min="29" max="29" width="15" customWidth="1"/>
    <col min="31" max="31" width="16.42578125" customWidth="1"/>
    <col min="32" max="32" width="14.5703125" customWidth="1"/>
    <col min="33" max="33" width="18.7109375" customWidth="1"/>
    <col min="34" max="34" width="16.28515625" customWidth="1"/>
  </cols>
  <sheetData>
    <row r="1" spans="1:35" x14ac:dyDescent="0.25">
      <c r="A1" t="s">
        <v>310</v>
      </c>
      <c r="C1" s="1">
        <v>45292</v>
      </c>
    </row>
    <row r="2" spans="1:35" ht="99.75" customHeight="1" x14ac:dyDescent="0.25">
      <c r="A2" s="23" t="s">
        <v>270</v>
      </c>
      <c r="B2" s="23" t="s">
        <v>271</v>
      </c>
      <c r="C2" s="23" t="s">
        <v>281</v>
      </c>
      <c r="D2" s="23" t="s">
        <v>282</v>
      </c>
      <c r="E2" s="23" t="s">
        <v>283</v>
      </c>
      <c r="F2" s="23" t="s">
        <v>284</v>
      </c>
      <c r="G2" s="23" t="s">
        <v>285</v>
      </c>
      <c r="H2" s="23" t="s">
        <v>287</v>
      </c>
      <c r="I2" s="23" t="s">
        <v>288</v>
      </c>
      <c r="J2" s="23" t="s">
        <v>289</v>
      </c>
      <c r="K2" s="23" t="s">
        <v>290</v>
      </c>
      <c r="L2" s="23" t="s">
        <v>125</v>
      </c>
      <c r="M2" s="23" t="s">
        <v>291</v>
      </c>
      <c r="N2" s="23" t="s">
        <v>15</v>
      </c>
      <c r="O2" s="23" t="s">
        <v>292</v>
      </c>
      <c r="P2" s="23" t="s">
        <v>293</v>
      </c>
      <c r="Q2" s="23" t="s">
        <v>215</v>
      </c>
      <c r="R2" s="23" t="s">
        <v>294</v>
      </c>
      <c r="S2" s="23" t="s">
        <v>295</v>
      </c>
      <c r="T2" s="23" t="s">
        <v>296</v>
      </c>
      <c r="U2" s="23" t="s">
        <v>297</v>
      </c>
      <c r="V2" s="23" t="s">
        <v>298</v>
      </c>
      <c r="W2" s="23" t="s">
        <v>299</v>
      </c>
      <c r="X2" s="23" t="s">
        <v>300</v>
      </c>
      <c r="Y2" s="23" t="s">
        <v>301</v>
      </c>
      <c r="Z2" s="23" t="s">
        <v>302</v>
      </c>
      <c r="AA2" s="23" t="s">
        <v>303</v>
      </c>
      <c r="AB2" s="23" t="s">
        <v>304</v>
      </c>
      <c r="AC2" s="23" t="s">
        <v>286</v>
      </c>
      <c r="AD2" s="23" t="s">
        <v>309</v>
      </c>
      <c r="AE2" s="23" t="s">
        <v>305</v>
      </c>
      <c r="AF2" s="23" t="s">
        <v>306</v>
      </c>
      <c r="AG2" s="23" t="s">
        <v>307</v>
      </c>
      <c r="AH2" s="23" t="s">
        <v>308</v>
      </c>
      <c r="AI2" s="25" t="s">
        <v>364</v>
      </c>
    </row>
    <row r="3" spans="1:35" x14ac:dyDescent="0.25">
      <c r="A3" s="1">
        <f>EDATE($C$1, ROW(AggregateTable2024[[#This Row],[Start]])-3)</f>
        <v>45292</v>
      </c>
      <c r="B3" s="1">
        <f>EDATE($C$1, ROW(AggregateTable2024[[#This Row],[Start]])-2)-1</f>
        <v>45322</v>
      </c>
      <c r="C3">
        <f>SUMIFS(LogTable2024[Amount],
LogTable2024[My Category], C$2,
LogTable2024[Date], "&gt;="&amp;AggregateTable2024[[#This Row],[Start]], LogTable2024[Date], "&lt;="&amp;AggregateTable2024[[#This Row],[End]])</f>
        <v>-320</v>
      </c>
      <c r="D3">
        <f>SUMIFS(LogTable2024[Amount],
LogTable2024[My Category], D$2,
LogTable2024[Date], "&gt;="&amp;AggregateTable2024[[#This Row],[Start]], LogTable2024[Date], "&lt;="&amp;AggregateTable2024[[#This Row],[End]])</f>
        <v>-163.71</v>
      </c>
      <c r="E3">
        <f>SUMIFS(LogTable2024[Amount],
LogTable2024[My Category], E$2,
LogTable2024[Date], "&gt;="&amp;AggregateTable2024[[#This Row],[Start]], LogTable2024[Date], "&lt;="&amp;AggregateTable2024[[#This Row],[End]])</f>
        <v>-133.53</v>
      </c>
      <c r="F3">
        <f>SUMIFS(LogTable2024[Amount],
LogTable2024[My Category], F$2,
LogTable2024[Date], "&gt;="&amp;AggregateTable2024[[#This Row],[Start]], LogTable2024[Date], "&lt;="&amp;AggregateTable2024[[#This Row],[End]])</f>
        <v>0</v>
      </c>
      <c r="G3">
        <f>SUMIFS(LogTable2024[Amount],
LogTable2024[My Category], G$2,
LogTable2024[Date], "&gt;="&amp;AggregateTable2024[[#This Row],[Start]], LogTable2024[Date], "&lt;="&amp;AggregateTable2024[[#This Row],[End]])</f>
        <v>-500</v>
      </c>
      <c r="H3">
        <f>SUMIFS(LogTable2024[Amount],
LogTable2024[My Category], H$2,
LogTable2024[Date], "&gt;="&amp;AggregateTable2024[[#This Row],[Start]], LogTable2024[Date], "&lt;="&amp;AggregateTable2024[[#This Row],[End]])</f>
        <v>-51.9</v>
      </c>
      <c r="I3">
        <f>SUMIFS(LogTable2024[Amount],
LogTable2024[My Category], I$2,
LogTable2024[Date], "&gt;="&amp;AggregateTable2024[[#This Row],[Start]], LogTable2024[Date], "&lt;="&amp;AggregateTable2024[[#This Row],[End]])</f>
        <v>-13.9</v>
      </c>
      <c r="J3">
        <f>SUMIFS(LogTable2024[Amount],
LogTable2024[My Category], J$2,
LogTable2024[Date], "&gt;="&amp;AggregateTable2024[[#This Row],[Start]], LogTable2024[Date], "&lt;="&amp;AggregateTable2024[[#This Row],[End]])</f>
        <v>0</v>
      </c>
      <c r="K3">
        <f>SUMIFS(LogTable2024[Amount],
LogTable2024[My Category], K$2,
LogTable2024[Date], "&gt;="&amp;AggregateTable2024[[#This Row],[Start]], LogTable2024[Date], "&lt;="&amp;AggregateTable2024[[#This Row],[End]])</f>
        <v>-21.3</v>
      </c>
      <c r="L3">
        <f>SUMIFS(LogTable2024[Amount],
LogTable2024[My Category], L$2,
LogTable2024[Date], "&gt;="&amp;AggregateTable2024[[#This Row],[Start]], LogTable2024[Date], "&lt;="&amp;AggregateTable2024[[#This Row],[End]])</f>
        <v>0</v>
      </c>
      <c r="M3">
        <f>SUMIFS(LogTable2024[Amount],
LogTable2024[My Category], M$2,
LogTable2024[Date], "&gt;="&amp;AggregateTable2024[[#This Row],[Start]], LogTable2024[Date], "&lt;="&amp;AggregateTable2024[[#This Row],[End]])</f>
        <v>0</v>
      </c>
      <c r="N3">
        <f>SUMIFS(LogTable2024[Amount],
LogTable2024[My Category], N$2,
LogTable2024[Date], "&gt;="&amp;AggregateTable2024[[#This Row],[Start]], LogTable2024[Date], "&lt;="&amp;AggregateTable2024[[#This Row],[End]])</f>
        <v>-322.66999999999996</v>
      </c>
      <c r="O3">
        <f>SUMIFS(LogTable2024[Amount],
LogTable2024[My Category], O$2,
LogTable2024[Date], "&gt;="&amp;AggregateTable2024[[#This Row],[Start]], LogTable2024[Date], "&lt;="&amp;AggregateTable2024[[#This Row],[End]])</f>
        <v>-185.32999999999998</v>
      </c>
      <c r="P3">
        <f>SUMIFS(LogTable2024[Amount],
LogTable2024[My Category], P$2,
LogTable2024[Date], "&gt;="&amp;AggregateTable2024[[#This Row],[Start]], LogTable2024[Date], "&lt;="&amp;AggregateTable2024[[#This Row],[End]])</f>
        <v>-2046.8100000000002</v>
      </c>
      <c r="Q3">
        <f>SUMIFS(LogTable2024[Amount],
LogTable2024[My Category], Q$2,
LogTable2024[Date], "&gt;="&amp;AggregateTable2024[[#This Row],[Start]], LogTable2024[Date], "&lt;="&amp;AggregateTable2024[[#This Row],[End]])</f>
        <v>-35</v>
      </c>
      <c r="R3">
        <f>SUMIFS(LogTable2024[Amount],
LogTable2024[My Category], R$2,
LogTable2024[Date], "&gt;="&amp;AggregateTable2024[[#This Row],[Start]], LogTable2024[Date], "&lt;="&amp;AggregateTable2024[[#This Row],[End]])</f>
        <v>0</v>
      </c>
      <c r="S3">
        <f>SUMIFS(LogTable2024[Amount],
LogTable2024[My Category], S$2,
LogTable2024[Date], "&gt;="&amp;AggregateTable2024[[#This Row],[Start]], LogTable2024[Date], "&lt;="&amp;AggregateTable2024[[#This Row],[End]])</f>
        <v>0</v>
      </c>
      <c r="T3">
        <f>SUMIFS(LogTable2024[Amount],
LogTable2024[My Category], T$2,
LogTable2024[Date], "&gt;="&amp;AggregateTable2024[[#This Row],[Start]], LogTable2024[Date], "&lt;="&amp;AggregateTable2024[[#This Row],[End]])</f>
        <v>0</v>
      </c>
      <c r="U3">
        <f>SUMIFS(LogTable2024[Amount],
LogTable2024[My Category], U$2,
LogTable2024[Date], "&gt;="&amp;AggregateTable2024[[#This Row],[Start]], LogTable2024[Date], "&lt;="&amp;AggregateTable2024[[#This Row],[End]])</f>
        <v>0</v>
      </c>
      <c r="V3">
        <f>SUMIFS(LogTable2024[Amount],
LogTable2024[My Category], V$2,
LogTable2024[Date], "&gt;="&amp;AggregateTable2024[[#This Row],[Start]], LogTable2024[Date], "&lt;="&amp;AggregateTable2024[[#This Row],[End]])</f>
        <v>0</v>
      </c>
      <c r="W3">
        <f>SUMIFS(LogTable2024[Amount],
LogTable2024[My Category], W$2,
LogTable2024[Date], "&gt;="&amp;AggregateTable2024[[#This Row],[Start]], LogTable2024[Date], "&lt;="&amp;AggregateTable2024[[#This Row],[End]])</f>
        <v>0</v>
      </c>
      <c r="X3">
        <f>SUMIFS(LogTable2024[Amount],
LogTable2024[My Category], X$2,
LogTable2024[Date], "&gt;="&amp;AggregateTable2024[[#This Row],[Start]], LogTable2024[Date], "&lt;="&amp;AggregateTable2024[[#This Row],[End]])</f>
        <v>0</v>
      </c>
      <c r="Y3">
        <f>SUMIFS(LogTable2024[Amount],
LogTable2024[My Category], Y$2,
LogTable2024[Date], "&gt;="&amp;AggregateTable2024[[#This Row],[Start]], LogTable2024[Date], "&lt;="&amp;AggregateTable2024[[#This Row],[End]])</f>
        <v>-12.52</v>
      </c>
      <c r="Z3">
        <f>SUMIFS(LogTable2024[Amount],
LogTable2024[My Category], Z$2,
LogTable2024[Date], "&gt;="&amp;AggregateTable2024[[#This Row],[Start]], LogTable2024[Date], "&lt;="&amp;AggregateTable2024[[#This Row],[End]])</f>
        <v>0</v>
      </c>
      <c r="AA3">
        <f>SUMIFS(LogTable2024[Amount],
LogTable2024[My Category], AA$2,
LogTable2024[Date], "&gt;="&amp;AggregateTable2024[[#This Row],[Start]], LogTable2024[Date], "&lt;="&amp;AggregateTable2024[[#This Row],[End]])</f>
        <v>0</v>
      </c>
      <c r="AB3">
        <f>SUMIFS(LogTable2024[Amount],
LogTable2024[My Category], AB$2,
LogTable2024[Date], "&gt;="&amp;AggregateTable2024[[#This Row],[Start]], LogTable2024[Date], "&lt;="&amp;AggregateTable2024[[#This Row],[End]])</f>
        <v>-30</v>
      </c>
      <c r="AC3">
        <f>SUMIFS(LogTable2024[Amount],
LogTable2024[My Category], AC$2,
LogTable2024[Date], "&gt;="&amp;AggregateTable2024[[#This Row],[Start]], LogTable2024[Date], "&lt;="&amp;AggregateTable2024[[#This Row],[End]])</f>
        <v>-56.25</v>
      </c>
      <c r="AD3">
        <f>SUMIFS(LogTable2024[Amount],
LogTable2024[My Category], AD$2,
LogTable2024[Date], "&gt;="&amp;AggregateTable2024[[#This Row],[Start]], LogTable2024[Date], "&lt;="&amp;AggregateTable2024[[#This Row],[End]])</f>
        <v>0</v>
      </c>
      <c r="AE3">
        <f>SUMIFS(LogTable2024[Amount],
LogTable2024[My Category], AE$2,
LogTable2024[Date], "&gt;="&amp;AggregateTable2024[[#This Row],[Start]], LogTable2024[Date], "&lt;="&amp;AggregateTable2024[[#This Row],[End]])</f>
        <v>5616.04</v>
      </c>
      <c r="AF3">
        <f>SUMIFS(LogTable2024[Amount],
LogTable2024[My Category], AF$2,
LogTable2024[Date], "&gt;="&amp;AggregateTable2024[[#This Row],[Start]], LogTable2024[Date], "&lt;="&amp;AggregateTable2024[[#This Row],[End]])</f>
        <v>9.9999999999999992E-2</v>
      </c>
      <c r="AG3">
        <f>SUMIFS(LogTable2024[Amount],
LogTable2024[My Category], AG$2,
LogTable2024[Date], "&gt;="&amp;AggregateTable2024[[#This Row],[Start]], LogTable2024[Date], "&lt;="&amp;AggregateTable2024[[#This Row],[End]])</f>
        <v>0</v>
      </c>
      <c r="AH3">
        <f>SUMIFS(LogTable2024[Amount],
LogTable2024[My Category], AH$2,
LogTable2024[Date], "&gt;="&amp;AggregateTable2024[[#This Row],[Start]], LogTable2024[Date], "&lt;="&amp;AggregateTable2024[[#This Row],[End]])</f>
        <v>0</v>
      </c>
      <c r="AI3">
        <f>SUM(AggregateTable2024[[#This Row],[Car - Note]:[Internal Transfers]])</f>
        <v>1723.2199999999993</v>
      </c>
    </row>
    <row r="4" spans="1:35" x14ac:dyDescent="0.25">
      <c r="A4" s="1">
        <f>EDATE($C$1, ROW(AggregateTable2024[[#This Row],[Start]])-3)</f>
        <v>45323</v>
      </c>
      <c r="B4" s="1">
        <f>EDATE($C$1, ROW(AggregateTable2024[[#This Row],[Start]])-2)-1</f>
        <v>45351</v>
      </c>
      <c r="C4">
        <f>SUMIFS(LogTable2024[Amount],
LogTable2024[My Category], C$2,
LogTable2024[Date], "&gt;="&amp;AggregateTable2024[[#This Row],[Start]], LogTable2024[Date], "&lt;="&amp;AggregateTable2024[[#This Row],[End]])</f>
        <v>0</v>
      </c>
      <c r="D4">
        <f>SUMIFS(LogTable2024[Amount],
LogTable2024[My Category], D$2,
LogTable2024[Date], "&gt;="&amp;AggregateTable2024[[#This Row],[Start]], LogTable2024[Date], "&lt;="&amp;AggregateTable2024[[#This Row],[End]])</f>
        <v>-163.69999999999999</v>
      </c>
      <c r="E4">
        <f>SUMIFS(LogTable2024[Amount],
LogTable2024[My Category], E$2,
LogTable2024[Date], "&gt;="&amp;AggregateTable2024[[#This Row],[Start]], LogTable2024[Date], "&lt;="&amp;AggregateTable2024[[#This Row],[End]])</f>
        <v>-26.51</v>
      </c>
      <c r="F4">
        <f>SUMIFS(LogTable2024[Amount],
LogTable2024[My Category], F$2,
LogTable2024[Date], "&gt;="&amp;AggregateTable2024[[#This Row],[Start]], LogTable2024[Date], "&lt;="&amp;AggregateTable2024[[#This Row],[End]])</f>
        <v>0</v>
      </c>
      <c r="G4">
        <f>SUMIFS(LogTable2024[Amount],
LogTable2024[My Category], G$2,
LogTable2024[Date], "&gt;="&amp;AggregateTable2024[[#This Row],[Start]], LogTable2024[Date], "&lt;="&amp;AggregateTable2024[[#This Row],[End]])</f>
        <v>-500</v>
      </c>
      <c r="H4">
        <f>SUMIFS(LogTable2024[Amount],
LogTable2024[My Category], H$2,
LogTable2024[Date], "&gt;="&amp;AggregateTable2024[[#This Row],[Start]], LogTable2024[Date], "&lt;="&amp;AggregateTable2024[[#This Row],[End]])</f>
        <v>0</v>
      </c>
      <c r="I4">
        <f>SUMIFS(LogTable2024[Amount],
LogTable2024[My Category], I$2,
LogTable2024[Date], "&gt;="&amp;AggregateTable2024[[#This Row],[Start]], LogTable2024[Date], "&lt;="&amp;AggregateTable2024[[#This Row],[End]])</f>
        <v>-13.9</v>
      </c>
      <c r="J4">
        <f>SUMIFS(LogTable2024[Amount],
LogTable2024[My Category], J$2,
LogTable2024[Date], "&gt;="&amp;AggregateTable2024[[#This Row],[Start]], LogTable2024[Date], "&lt;="&amp;AggregateTable2024[[#This Row],[End]])</f>
        <v>-43.29</v>
      </c>
      <c r="K4">
        <f>SUMIFS(LogTable2024[Amount],
LogTable2024[My Category], K$2,
LogTable2024[Date], "&gt;="&amp;AggregateTable2024[[#This Row],[Start]], LogTable2024[Date], "&lt;="&amp;AggregateTable2024[[#This Row],[End]])</f>
        <v>0</v>
      </c>
      <c r="L4">
        <f>SUMIFS(LogTable2024[Amount],
LogTable2024[My Category], L$2,
LogTable2024[Date], "&gt;="&amp;AggregateTable2024[[#This Row],[Start]], LogTable2024[Date], "&lt;="&amp;AggregateTable2024[[#This Row],[End]])</f>
        <v>0</v>
      </c>
      <c r="M4">
        <f>SUMIFS(LogTable2024[Amount],
LogTable2024[My Category], M$2,
LogTable2024[Date], "&gt;="&amp;AggregateTable2024[[#This Row],[Start]], LogTable2024[Date], "&lt;="&amp;AggregateTable2024[[#This Row],[End]])</f>
        <v>0</v>
      </c>
      <c r="N4">
        <f>SUMIFS(LogTable2024[Amount],
LogTable2024[My Category], N$2,
LogTable2024[Date], "&gt;="&amp;AggregateTable2024[[#This Row],[Start]], LogTable2024[Date], "&lt;="&amp;AggregateTable2024[[#This Row],[End]])</f>
        <v>-288.81</v>
      </c>
      <c r="O4">
        <f>SUMIFS(LogTable2024[Amount],
LogTable2024[My Category], O$2,
LogTable2024[Date], "&gt;="&amp;AggregateTable2024[[#This Row],[Start]], LogTable2024[Date], "&lt;="&amp;AggregateTable2024[[#This Row],[End]])</f>
        <v>-36.46</v>
      </c>
      <c r="P4">
        <f>SUMIFS(LogTable2024[Amount],
LogTable2024[My Category], P$2,
LogTable2024[Date], "&gt;="&amp;AggregateTable2024[[#This Row],[Start]], LogTable2024[Date], "&lt;="&amp;AggregateTable2024[[#This Row],[End]])</f>
        <v>-2055.33</v>
      </c>
      <c r="Q4">
        <f>SUMIFS(LogTable2024[Amount],
LogTable2024[My Category], Q$2,
LogTable2024[Date], "&gt;="&amp;AggregateTable2024[[#This Row],[Start]], LogTable2024[Date], "&lt;="&amp;AggregateTable2024[[#This Row],[End]])</f>
        <v>-35</v>
      </c>
      <c r="R4">
        <f>SUMIFS(LogTable2024[Amount],
LogTable2024[My Category], R$2,
LogTable2024[Date], "&gt;="&amp;AggregateTable2024[[#This Row],[Start]], LogTable2024[Date], "&lt;="&amp;AggregateTable2024[[#This Row],[End]])</f>
        <v>0</v>
      </c>
      <c r="S4">
        <f>SUMIFS(LogTable2024[Amount],
LogTable2024[My Category], S$2,
LogTable2024[Date], "&gt;="&amp;AggregateTable2024[[#This Row],[Start]], LogTable2024[Date], "&lt;="&amp;AggregateTable2024[[#This Row],[End]])</f>
        <v>0</v>
      </c>
      <c r="T4">
        <f>SUMIFS(LogTable2024[Amount],
LogTable2024[My Category], T$2,
LogTable2024[Date], "&gt;="&amp;AggregateTable2024[[#This Row],[Start]], LogTable2024[Date], "&lt;="&amp;AggregateTable2024[[#This Row],[End]])</f>
        <v>0</v>
      </c>
      <c r="U4">
        <f>SUMIFS(LogTable2024[Amount],
LogTable2024[My Category], U$2,
LogTable2024[Date], "&gt;="&amp;AggregateTable2024[[#This Row],[Start]], LogTable2024[Date], "&lt;="&amp;AggregateTable2024[[#This Row],[End]])</f>
        <v>0</v>
      </c>
      <c r="V4">
        <f>SUMIFS(LogTable2024[Amount],
LogTable2024[My Category], V$2,
LogTable2024[Date], "&gt;="&amp;AggregateTable2024[[#This Row],[Start]], LogTable2024[Date], "&lt;="&amp;AggregateTable2024[[#This Row],[End]])</f>
        <v>0</v>
      </c>
      <c r="W4">
        <f>SUMIFS(LogTable2024[Amount],
LogTable2024[My Category], W$2,
LogTable2024[Date], "&gt;="&amp;AggregateTable2024[[#This Row],[Start]], LogTable2024[Date], "&lt;="&amp;AggregateTable2024[[#This Row],[End]])</f>
        <v>0</v>
      </c>
      <c r="X4">
        <f>SUMIFS(LogTable2024[Amount],
LogTable2024[My Category], X$2,
LogTable2024[Date], "&gt;="&amp;AggregateTable2024[[#This Row],[Start]], LogTable2024[Date], "&lt;="&amp;AggregateTable2024[[#This Row],[End]])</f>
        <v>0</v>
      </c>
      <c r="Y4">
        <f>SUMIFS(LogTable2024[Amount],
LogTable2024[My Category], Y$2,
LogTable2024[Date], "&gt;="&amp;AggregateTable2024[[#This Row],[Start]], LogTable2024[Date], "&lt;="&amp;AggregateTable2024[[#This Row],[End]])</f>
        <v>-173.02</v>
      </c>
      <c r="Z4">
        <f>SUMIFS(LogTable2024[Amount],
LogTable2024[My Category], Z$2,
LogTable2024[Date], "&gt;="&amp;AggregateTable2024[[#This Row],[Start]], LogTable2024[Date], "&lt;="&amp;AggregateTable2024[[#This Row],[End]])</f>
        <v>0</v>
      </c>
      <c r="AA4">
        <f>SUMIFS(LogTable2024[Amount],
LogTable2024[My Category], AA$2,
LogTable2024[Date], "&gt;="&amp;AggregateTable2024[[#This Row],[Start]], LogTable2024[Date], "&lt;="&amp;AggregateTable2024[[#This Row],[End]])</f>
        <v>0</v>
      </c>
      <c r="AB4">
        <f>SUMIFS(LogTable2024[Amount],
LogTable2024[My Category], AB$2,
LogTable2024[Date], "&gt;="&amp;AggregateTable2024[[#This Row],[Start]], LogTable2024[Date], "&lt;="&amp;AggregateTable2024[[#This Row],[End]])</f>
        <v>-30</v>
      </c>
      <c r="AC4">
        <f>SUMIFS(LogTable2024[Amount],
LogTable2024[My Category], AC$2,
LogTable2024[Date], "&gt;="&amp;AggregateTable2024[[#This Row],[Start]], LogTable2024[Date], "&lt;="&amp;AggregateTable2024[[#This Row],[End]])</f>
        <v>0</v>
      </c>
      <c r="AD4">
        <f>SUMIFS(LogTable2024[Amount],
LogTable2024[My Category], AD$2,
LogTable2024[Date], "&gt;="&amp;AggregateTable2024[[#This Row],[Start]], LogTable2024[Date], "&lt;="&amp;AggregateTable2024[[#This Row],[End]])</f>
        <v>0</v>
      </c>
      <c r="AE4">
        <f>SUMIFS(LogTable2024[Amount],
LogTable2024[My Category], AE$2,
LogTable2024[Date], "&gt;="&amp;AggregateTable2024[[#This Row],[Start]], LogTable2024[Date], "&lt;="&amp;AggregateTable2024[[#This Row],[End]])</f>
        <v>5616.04</v>
      </c>
      <c r="AF4">
        <f>SUMIFS(LogTable2024[Amount],
LogTable2024[My Category], AF$2,
LogTable2024[Date], "&gt;="&amp;AggregateTable2024[[#This Row],[Start]], LogTable2024[Date], "&lt;="&amp;AggregateTable2024[[#This Row],[End]])</f>
        <v>1194.9199999999998</v>
      </c>
      <c r="AG4">
        <f>SUMIFS(LogTable2024[Amount],
LogTable2024[My Category], AG$2,
LogTable2024[Date], "&gt;="&amp;AggregateTable2024[[#This Row],[Start]], LogTable2024[Date], "&lt;="&amp;AggregateTable2024[[#This Row],[End]])</f>
        <v>0</v>
      </c>
      <c r="AH4">
        <f>SUMIFS(LogTable2024[Amount],
LogTable2024[My Category], AH$2,
LogTable2024[Date], "&gt;="&amp;AggregateTable2024[[#This Row],[Start]], LogTable2024[Date], "&lt;="&amp;AggregateTable2024[[#This Row],[End]])</f>
        <v>0</v>
      </c>
      <c r="AI4">
        <f>SUM(AggregateTable2024[[#This Row],[Car - Note]:[Internal Transfers]])</f>
        <v>3444.9399999999996</v>
      </c>
    </row>
    <row r="5" spans="1:35" x14ac:dyDescent="0.25">
      <c r="A5" s="1">
        <f>EDATE($C$1, ROW(AggregateTable2024[[#This Row],[Start]])-3)</f>
        <v>45352</v>
      </c>
      <c r="B5" s="1">
        <f>EDATE($C$1, ROW(AggregateTable2024[[#This Row],[Start]])-2)-1</f>
        <v>45382</v>
      </c>
      <c r="C5">
        <f>SUMIFS(LogTable2024[Amount],
LogTable2024[My Category], C$2,
LogTable2024[Date], "&gt;="&amp;AggregateTable2024[[#This Row],[Start]], LogTable2024[Date], "&lt;="&amp;AggregateTable2024[[#This Row],[End]])</f>
        <v>0</v>
      </c>
      <c r="D5">
        <f>SUMIFS(LogTable2024[Amount],
LogTable2024[My Category], D$2,
LogTable2024[Date], "&gt;="&amp;AggregateTable2024[[#This Row],[Start]], LogTable2024[Date], "&lt;="&amp;AggregateTable2024[[#This Row],[End]])</f>
        <v>-190.19</v>
      </c>
      <c r="E5">
        <f>SUMIFS(LogTable2024[Amount],
LogTable2024[My Category], E$2,
LogTable2024[Date], "&gt;="&amp;AggregateTable2024[[#This Row],[Start]], LogTable2024[Date], "&lt;="&amp;AggregateTable2024[[#This Row],[End]])</f>
        <v>-50.56</v>
      </c>
      <c r="F5">
        <f>SUMIFS(LogTable2024[Amount],
LogTable2024[My Category], F$2,
LogTable2024[Date], "&gt;="&amp;AggregateTable2024[[#This Row],[Start]], LogTable2024[Date], "&lt;="&amp;AggregateTable2024[[#This Row],[End]])</f>
        <v>0</v>
      </c>
      <c r="G5">
        <f>SUMIFS(LogTable2024[Amount],
LogTable2024[My Category], G$2,
LogTable2024[Date], "&gt;="&amp;AggregateTable2024[[#This Row],[Start]], LogTable2024[Date], "&lt;="&amp;AggregateTable2024[[#This Row],[End]])</f>
        <v>-500</v>
      </c>
      <c r="H5">
        <f>SUMIFS(LogTable2024[Amount],
LogTable2024[My Category], H$2,
LogTable2024[Date], "&gt;="&amp;AggregateTable2024[[#This Row],[Start]], LogTable2024[Date], "&lt;="&amp;AggregateTable2024[[#This Row],[End]])</f>
        <v>0</v>
      </c>
      <c r="I5">
        <f>SUMIFS(LogTable2024[Amount],
LogTable2024[My Category], I$2,
LogTable2024[Date], "&gt;="&amp;AggregateTable2024[[#This Row],[Start]], LogTable2024[Date], "&lt;="&amp;AggregateTable2024[[#This Row],[End]])</f>
        <v>-13.9</v>
      </c>
      <c r="J5">
        <f>SUMIFS(LogTable2024[Amount],
LogTable2024[My Category], J$2,
LogTable2024[Date], "&gt;="&amp;AggregateTable2024[[#This Row],[Start]], LogTable2024[Date], "&lt;="&amp;AggregateTable2024[[#This Row],[End]])</f>
        <v>-47.870000000000005</v>
      </c>
      <c r="K5">
        <f>SUMIFS(LogTable2024[Amount],
LogTable2024[My Category], K$2,
LogTable2024[Date], "&gt;="&amp;AggregateTable2024[[#This Row],[Start]], LogTable2024[Date], "&lt;="&amp;AggregateTable2024[[#This Row],[End]])</f>
        <v>-11.65</v>
      </c>
      <c r="L5">
        <f>SUMIFS(LogTable2024[Amount],
LogTable2024[My Category], L$2,
LogTable2024[Date], "&gt;="&amp;AggregateTable2024[[#This Row],[Start]], LogTable2024[Date], "&lt;="&amp;AggregateTable2024[[#This Row],[End]])</f>
        <v>0</v>
      </c>
      <c r="M5">
        <f>SUMIFS(LogTable2024[Amount],
LogTable2024[My Category], M$2,
LogTable2024[Date], "&gt;="&amp;AggregateTable2024[[#This Row],[Start]], LogTable2024[Date], "&lt;="&amp;AggregateTable2024[[#This Row],[End]])</f>
        <v>0</v>
      </c>
      <c r="N5">
        <f>SUMIFS(LogTable2024[Amount],
LogTable2024[My Category], N$2,
LogTable2024[Date], "&gt;="&amp;AggregateTable2024[[#This Row],[Start]], LogTable2024[Date], "&lt;="&amp;AggregateTable2024[[#This Row],[End]])</f>
        <v>-257.33</v>
      </c>
      <c r="O5">
        <f>SUMIFS(LogTable2024[Amount],
LogTable2024[My Category], O$2,
LogTable2024[Date], "&gt;="&amp;AggregateTable2024[[#This Row],[Start]], LogTable2024[Date], "&lt;="&amp;AggregateTable2024[[#This Row],[End]])</f>
        <v>-113.94</v>
      </c>
      <c r="P5">
        <f>SUMIFS(LogTable2024[Amount],
LogTable2024[My Category], P$2,
LogTable2024[Date], "&gt;="&amp;AggregateTable2024[[#This Row],[Start]], LogTable2024[Date], "&lt;="&amp;AggregateTable2024[[#This Row],[End]])</f>
        <v>-2174.83</v>
      </c>
      <c r="Q5">
        <f>SUMIFS(LogTable2024[Amount],
LogTable2024[My Category], Q$2,
LogTable2024[Date], "&gt;="&amp;AggregateTable2024[[#This Row],[Start]], LogTable2024[Date], "&lt;="&amp;AggregateTable2024[[#This Row],[End]])</f>
        <v>-35</v>
      </c>
      <c r="R5">
        <f>SUMIFS(LogTable2024[Amount],
LogTable2024[My Category], R$2,
LogTable2024[Date], "&gt;="&amp;AggregateTable2024[[#This Row],[Start]], LogTable2024[Date], "&lt;="&amp;AggregateTable2024[[#This Row],[End]])</f>
        <v>0</v>
      </c>
      <c r="S5">
        <f>SUMIFS(LogTable2024[Amount],
LogTable2024[My Category], S$2,
LogTable2024[Date], "&gt;="&amp;AggregateTable2024[[#This Row],[Start]], LogTable2024[Date], "&lt;="&amp;AggregateTable2024[[#This Row],[End]])</f>
        <v>0</v>
      </c>
      <c r="T5">
        <f>SUMIFS(LogTable2024[Amount],
LogTable2024[My Category], T$2,
LogTable2024[Date], "&gt;="&amp;AggregateTable2024[[#This Row],[Start]], LogTable2024[Date], "&lt;="&amp;AggregateTable2024[[#This Row],[End]])</f>
        <v>0</v>
      </c>
      <c r="U5">
        <f>SUMIFS(LogTable2024[Amount],
LogTable2024[My Category], U$2,
LogTable2024[Date], "&gt;="&amp;AggregateTable2024[[#This Row],[Start]], LogTable2024[Date], "&lt;="&amp;AggregateTable2024[[#This Row],[End]])</f>
        <v>0</v>
      </c>
      <c r="V5">
        <f>SUMIFS(LogTable2024[Amount],
LogTable2024[My Category], V$2,
LogTable2024[Date], "&gt;="&amp;AggregateTable2024[[#This Row],[Start]], LogTable2024[Date], "&lt;="&amp;AggregateTable2024[[#This Row],[End]])</f>
        <v>0</v>
      </c>
      <c r="W5">
        <f>SUMIFS(LogTable2024[Amount],
LogTable2024[My Category], W$2,
LogTable2024[Date], "&gt;="&amp;AggregateTable2024[[#This Row],[Start]], LogTable2024[Date], "&lt;="&amp;AggregateTable2024[[#This Row],[End]])</f>
        <v>0</v>
      </c>
      <c r="X5">
        <f>SUMIFS(LogTable2024[Amount],
LogTable2024[My Category], X$2,
LogTable2024[Date], "&gt;="&amp;AggregateTable2024[[#This Row],[Start]], LogTable2024[Date], "&lt;="&amp;AggregateTable2024[[#This Row],[End]])</f>
        <v>0</v>
      </c>
      <c r="Y5">
        <f>SUMIFS(LogTable2024[Amount],
LogTable2024[My Category], Y$2,
LogTable2024[Date], "&gt;="&amp;AggregateTable2024[[#This Row],[Start]], LogTable2024[Date], "&lt;="&amp;AggregateTable2024[[#This Row],[End]])</f>
        <v>-70</v>
      </c>
      <c r="Z5">
        <f>SUMIFS(LogTable2024[Amount],
LogTable2024[My Category], Z$2,
LogTable2024[Date], "&gt;="&amp;AggregateTable2024[[#This Row],[Start]], LogTable2024[Date], "&lt;="&amp;AggregateTable2024[[#This Row],[End]])</f>
        <v>0</v>
      </c>
      <c r="AA5">
        <f>SUMIFS(LogTable2024[Amount],
LogTable2024[My Category], AA$2,
LogTable2024[Date], "&gt;="&amp;AggregateTable2024[[#This Row],[Start]], LogTable2024[Date], "&lt;="&amp;AggregateTable2024[[#This Row],[End]])</f>
        <v>0</v>
      </c>
      <c r="AB5">
        <f>SUMIFS(LogTable2024[Amount],
LogTable2024[My Category], AB$2,
LogTable2024[Date], "&gt;="&amp;AggregateTable2024[[#This Row],[Start]], LogTable2024[Date], "&lt;="&amp;AggregateTable2024[[#This Row],[End]])</f>
        <v>-30</v>
      </c>
      <c r="AC5">
        <f>SUMIFS(LogTable2024[Amount],
LogTable2024[My Category], AC$2,
LogTable2024[Date], "&gt;="&amp;AggregateTable2024[[#This Row],[Start]], LogTable2024[Date], "&lt;="&amp;AggregateTable2024[[#This Row],[End]])</f>
        <v>0</v>
      </c>
      <c r="AD5">
        <f>SUMIFS(LogTable2024[Amount],
LogTable2024[My Category], AD$2,
LogTable2024[Date], "&gt;="&amp;AggregateTable2024[[#This Row],[Start]], LogTable2024[Date], "&lt;="&amp;AggregateTable2024[[#This Row],[End]])</f>
        <v>0</v>
      </c>
      <c r="AE5">
        <f>SUMIFS(LogTable2024[Amount],
LogTable2024[My Category], AE$2,
LogTable2024[Date], "&gt;="&amp;AggregateTable2024[[#This Row],[Start]], LogTable2024[Date], "&lt;="&amp;AggregateTable2024[[#This Row],[End]])</f>
        <v>5616.04</v>
      </c>
      <c r="AF5">
        <f>SUMIFS(LogTable2024[Amount],
LogTable2024[My Category], AF$2,
LogTable2024[Date], "&gt;="&amp;AggregateTable2024[[#This Row],[Start]], LogTable2024[Date], "&lt;="&amp;AggregateTable2024[[#This Row],[End]])</f>
        <v>0.12</v>
      </c>
      <c r="AG5">
        <f>SUMIFS(LogTable2024[Amount],
LogTable2024[My Category], AG$2,
LogTable2024[Date], "&gt;="&amp;AggregateTable2024[[#This Row],[Start]], LogTable2024[Date], "&lt;="&amp;AggregateTable2024[[#This Row],[End]])</f>
        <v>0</v>
      </c>
      <c r="AH5">
        <f>SUMIFS(LogTable2024[Amount],
LogTable2024[My Category], AH$2,
LogTable2024[Date], "&gt;="&amp;AggregateTable2024[[#This Row],[Start]], LogTable2024[Date], "&lt;="&amp;AggregateTable2024[[#This Row],[End]])</f>
        <v>0</v>
      </c>
      <c r="AI5">
        <f>SUM(AggregateTable2024[[#This Row],[Car - Note]:[Internal Transfers]])</f>
        <v>2120.89</v>
      </c>
    </row>
    <row r="6" spans="1:35" x14ac:dyDescent="0.25">
      <c r="A6" s="1">
        <f>EDATE($C$1, ROW(AggregateTable2024[[#This Row],[Start]])-3)</f>
        <v>45383</v>
      </c>
      <c r="B6" s="1">
        <f>EDATE($C$1, ROW(AggregateTable2024[[#This Row],[Start]])-2)-1</f>
        <v>45412</v>
      </c>
      <c r="C6">
        <f>SUMIFS(LogTable2024[Amount],
LogTable2024[My Category], C$2,
LogTable2024[Date], "&gt;="&amp;AggregateTable2024[[#This Row],[Start]], LogTable2024[Date], "&lt;="&amp;AggregateTable2024[[#This Row],[End]])</f>
        <v>0</v>
      </c>
      <c r="D6">
        <f>SUMIFS(LogTable2024[Amount],
LogTable2024[My Category], D$2,
LogTable2024[Date], "&gt;="&amp;AggregateTable2024[[#This Row],[Start]], LogTable2024[Date], "&lt;="&amp;AggregateTable2024[[#This Row],[End]])</f>
        <v>-189.69</v>
      </c>
      <c r="E6">
        <f>SUMIFS(LogTable2024[Amount],
LogTable2024[My Category], E$2,
LogTable2024[Date], "&gt;="&amp;AggregateTable2024[[#This Row],[Start]], LogTable2024[Date], "&lt;="&amp;AggregateTable2024[[#This Row],[End]])</f>
        <v>0</v>
      </c>
      <c r="F6">
        <f>SUMIFS(LogTable2024[Amount],
LogTable2024[My Category], F$2,
LogTable2024[Date], "&gt;="&amp;AggregateTable2024[[#This Row],[Start]], LogTable2024[Date], "&lt;="&amp;AggregateTable2024[[#This Row],[End]])</f>
        <v>0</v>
      </c>
      <c r="G6">
        <f>SUMIFS(LogTable2024[Amount],
LogTable2024[My Category], G$2,
LogTable2024[Date], "&gt;="&amp;AggregateTable2024[[#This Row],[Start]], LogTable2024[Date], "&lt;="&amp;AggregateTable2024[[#This Row],[End]])</f>
        <v>-500</v>
      </c>
      <c r="H6">
        <f>SUMIFS(LogTable2024[Amount],
LogTable2024[My Category], H$2,
LogTable2024[Date], "&gt;="&amp;AggregateTable2024[[#This Row],[Start]], LogTable2024[Date], "&lt;="&amp;AggregateTable2024[[#This Row],[End]])</f>
        <v>0</v>
      </c>
      <c r="I6">
        <f>SUMIFS(LogTable2024[Amount],
LogTable2024[My Category], I$2,
LogTable2024[Date], "&gt;="&amp;AggregateTable2024[[#This Row],[Start]], LogTable2024[Date], "&lt;="&amp;AggregateTable2024[[#This Row],[End]])</f>
        <v>-13.9</v>
      </c>
      <c r="J6">
        <f>SUMIFS(LogTable2024[Amount],
LogTable2024[My Category], J$2,
LogTable2024[Date], "&gt;="&amp;AggregateTable2024[[#This Row],[Start]], LogTable2024[Date], "&lt;="&amp;AggregateTable2024[[#This Row],[End]])</f>
        <v>-18.18</v>
      </c>
      <c r="K6">
        <f>SUMIFS(LogTable2024[Amount],
LogTable2024[My Category], K$2,
LogTable2024[Date], "&gt;="&amp;AggregateTable2024[[#This Row],[Start]], LogTable2024[Date], "&lt;="&amp;AggregateTable2024[[#This Row],[End]])</f>
        <v>-31.2</v>
      </c>
      <c r="L6">
        <f>SUMIFS(LogTable2024[Amount],
LogTable2024[My Category], L$2,
LogTable2024[Date], "&gt;="&amp;AggregateTable2024[[#This Row],[Start]], LogTable2024[Date], "&lt;="&amp;AggregateTable2024[[#This Row],[End]])</f>
        <v>0</v>
      </c>
      <c r="M6">
        <f>SUMIFS(LogTable2024[Amount],
LogTable2024[My Category], M$2,
LogTable2024[Date], "&gt;="&amp;AggregateTable2024[[#This Row],[Start]], LogTable2024[Date], "&lt;="&amp;AggregateTable2024[[#This Row],[End]])</f>
        <v>0</v>
      </c>
      <c r="N6">
        <f>SUMIFS(LogTable2024[Amount],
LogTable2024[My Category], N$2,
LogTable2024[Date], "&gt;="&amp;AggregateTable2024[[#This Row],[Start]], LogTable2024[Date], "&lt;="&amp;AggregateTable2024[[#This Row],[End]])</f>
        <v>-400.66</v>
      </c>
      <c r="O6">
        <f>SUMIFS(LogTable2024[Amount],
LogTable2024[My Category], O$2,
LogTable2024[Date], "&gt;="&amp;AggregateTable2024[[#This Row],[Start]], LogTable2024[Date], "&lt;="&amp;AggregateTable2024[[#This Row],[End]])</f>
        <v>-162.13999999999999</v>
      </c>
      <c r="P6">
        <f>SUMIFS(LogTable2024[Amount],
LogTable2024[My Category], P$2,
LogTable2024[Date], "&gt;="&amp;AggregateTable2024[[#This Row],[Start]], LogTable2024[Date], "&lt;="&amp;AggregateTable2024[[#This Row],[End]])</f>
        <v>-2060.04</v>
      </c>
      <c r="Q6">
        <f>SUMIFS(LogTable2024[Amount],
LogTable2024[My Category], Q$2,
LogTable2024[Date], "&gt;="&amp;AggregateTable2024[[#This Row],[Start]], LogTable2024[Date], "&lt;="&amp;AggregateTable2024[[#This Row],[End]])</f>
        <v>-68.89</v>
      </c>
      <c r="R6">
        <f>SUMIFS(LogTable2024[Amount],
LogTable2024[My Category], R$2,
LogTable2024[Date], "&gt;="&amp;AggregateTable2024[[#This Row],[Start]], LogTable2024[Date], "&lt;="&amp;AggregateTable2024[[#This Row],[End]])</f>
        <v>0</v>
      </c>
      <c r="S6">
        <f>SUMIFS(LogTable2024[Amount],
LogTable2024[My Category], S$2,
LogTable2024[Date], "&gt;="&amp;AggregateTable2024[[#This Row],[Start]], LogTable2024[Date], "&lt;="&amp;AggregateTable2024[[#This Row],[End]])</f>
        <v>0</v>
      </c>
      <c r="T6">
        <f>SUMIFS(LogTable2024[Amount],
LogTable2024[My Category], T$2,
LogTable2024[Date], "&gt;="&amp;AggregateTable2024[[#This Row],[Start]], LogTable2024[Date], "&lt;="&amp;AggregateTable2024[[#This Row],[End]])</f>
        <v>0</v>
      </c>
      <c r="U6">
        <f>SUMIFS(LogTable2024[Amount],
LogTable2024[My Category], U$2,
LogTable2024[Date], "&gt;="&amp;AggregateTable2024[[#This Row],[Start]], LogTable2024[Date], "&lt;="&amp;AggregateTable2024[[#This Row],[End]])</f>
        <v>-6500</v>
      </c>
      <c r="V6">
        <f>SUMIFS(LogTable2024[Amount],
LogTable2024[My Category], V$2,
LogTable2024[Date], "&gt;="&amp;AggregateTable2024[[#This Row],[Start]], LogTable2024[Date], "&lt;="&amp;AggregateTable2024[[#This Row],[End]])</f>
        <v>0</v>
      </c>
      <c r="W6">
        <f>SUMIFS(LogTable2024[Amount],
LogTable2024[My Category], W$2,
LogTable2024[Date], "&gt;="&amp;AggregateTable2024[[#This Row],[Start]], LogTable2024[Date], "&lt;="&amp;AggregateTable2024[[#This Row],[End]])</f>
        <v>0</v>
      </c>
      <c r="X6">
        <f>SUMIFS(LogTable2024[Amount],
LogTable2024[My Category], X$2,
LogTable2024[Date], "&gt;="&amp;AggregateTable2024[[#This Row],[Start]], LogTable2024[Date], "&lt;="&amp;AggregateTable2024[[#This Row],[End]])</f>
        <v>0</v>
      </c>
      <c r="Y6">
        <f>SUMIFS(LogTable2024[Amount],
LogTable2024[My Category], Y$2,
LogTable2024[Date], "&gt;="&amp;AggregateTable2024[[#This Row],[Start]], LogTable2024[Date], "&lt;="&amp;AggregateTable2024[[#This Row],[End]])</f>
        <v>-109.15</v>
      </c>
      <c r="Z6">
        <f>SUMIFS(LogTable2024[Amount],
LogTable2024[My Category], Z$2,
LogTable2024[Date], "&gt;="&amp;AggregateTable2024[[#This Row],[Start]], LogTable2024[Date], "&lt;="&amp;AggregateTable2024[[#This Row],[End]])</f>
        <v>0</v>
      </c>
      <c r="AA6">
        <f>SUMIFS(LogTable2024[Amount],
LogTable2024[My Category], AA$2,
LogTable2024[Date], "&gt;="&amp;AggregateTable2024[[#This Row],[Start]], LogTable2024[Date], "&lt;="&amp;AggregateTable2024[[#This Row],[End]])</f>
        <v>0</v>
      </c>
      <c r="AB6">
        <f>SUMIFS(LogTable2024[Amount],
LogTable2024[My Category], AB$2,
LogTable2024[Date], "&gt;="&amp;AggregateTable2024[[#This Row],[Start]], LogTable2024[Date], "&lt;="&amp;AggregateTable2024[[#This Row],[End]])</f>
        <v>-40.81</v>
      </c>
      <c r="AC6">
        <f>SUMIFS(LogTable2024[Amount],
LogTable2024[My Category], AC$2,
LogTable2024[Date], "&gt;="&amp;AggregateTable2024[[#This Row],[Start]], LogTable2024[Date], "&lt;="&amp;AggregateTable2024[[#This Row],[End]])</f>
        <v>-34</v>
      </c>
      <c r="AD6">
        <f>SUMIFS(LogTable2024[Amount],
LogTable2024[My Category], AD$2,
LogTable2024[Date], "&gt;="&amp;AggregateTable2024[[#This Row],[Start]], LogTable2024[Date], "&lt;="&amp;AggregateTable2024[[#This Row],[End]])</f>
        <v>0</v>
      </c>
      <c r="AE6">
        <f>SUMIFS(LogTable2024[Amount],
LogTable2024[My Category], AE$2,
LogTable2024[Date], "&gt;="&amp;AggregateTable2024[[#This Row],[Start]], LogTable2024[Date], "&lt;="&amp;AggregateTable2024[[#This Row],[End]])</f>
        <v>5616.04</v>
      </c>
      <c r="AF6">
        <f>SUMIFS(LogTable2024[Amount],
LogTable2024[My Category], AF$2,
LogTable2024[Date], "&gt;="&amp;AggregateTable2024[[#This Row],[Start]], LogTable2024[Date], "&lt;="&amp;AggregateTable2024[[#This Row],[End]])</f>
        <v>5283.13</v>
      </c>
      <c r="AG6">
        <f>SUMIFS(LogTable2024[Amount],
LogTable2024[My Category], AG$2,
LogTable2024[Date], "&gt;="&amp;AggregateTable2024[[#This Row],[Start]], LogTable2024[Date], "&lt;="&amp;AggregateTable2024[[#This Row],[End]])</f>
        <v>0</v>
      </c>
      <c r="AH6">
        <f>SUMIFS(LogTable2024[Amount],
LogTable2024[My Category], AH$2,
LogTable2024[Date], "&gt;="&amp;AggregateTable2024[[#This Row],[Start]], LogTable2024[Date], "&lt;="&amp;AggregateTable2024[[#This Row],[End]])</f>
        <v>0</v>
      </c>
      <c r="AI6">
        <f>SUM(AggregateTable2024[[#This Row],[Car - Note]:[Internal Transfers]])</f>
        <v>770.51000000000022</v>
      </c>
    </row>
    <row r="7" spans="1:35" x14ac:dyDescent="0.25">
      <c r="B7" t="s">
        <v>364</v>
      </c>
      <c r="C7">
        <f>SUM(AggregateTable2024[Car - Note])</f>
        <v>-320</v>
      </c>
      <c r="D7">
        <f>SUM(AggregateTable2024[Car/Rental Insurance])</f>
        <v>-707.29</v>
      </c>
      <c r="E7">
        <f>SUM(AggregateTable2024[Car - Other])</f>
        <v>-210.6</v>
      </c>
      <c r="F7">
        <f>SUM(AggregateTable2024[Car - Parking Pass])</f>
        <v>0</v>
      </c>
      <c r="G7">
        <f>SUM(AggregateTable2024[Self-improvement])</f>
        <v>-2000</v>
      </c>
      <c r="H7">
        <f>SUM(AggregateTable2024[Dates])</f>
        <v>-51.9</v>
      </c>
      <c r="I7">
        <f>SUM(AggregateTable2024[Entertainment - Other])</f>
        <v>-55.6</v>
      </c>
      <c r="J7">
        <f>SUM(AggregateTable2024[Games])</f>
        <v>-109.34</v>
      </c>
      <c r="K7">
        <f>SUM(AggregateTable2024[Going out])</f>
        <v>-64.150000000000006</v>
      </c>
      <c r="L7">
        <f>SUM(AggregateTable2024[Books])</f>
        <v>0</v>
      </c>
      <c r="M7">
        <f>SUM(AggregateTable2024[Big Fun])</f>
        <v>0</v>
      </c>
      <c r="N7">
        <f>SUM(AggregateTable2024[Groceries])</f>
        <v>-1269.47</v>
      </c>
      <c r="O7">
        <f>SUM(AggregateTable2024[Food - nice])</f>
        <v>-497.87</v>
      </c>
      <c r="P7">
        <f>SUM(AggregateTable2024[Rent])</f>
        <v>-8337.01</v>
      </c>
      <c r="Q7">
        <f>SUM(AggregateTable2024[Utilities])</f>
        <v>-173.89</v>
      </c>
      <c r="R7">
        <f>SUM(AggregateTable2024[Internet])</f>
        <v>0</v>
      </c>
      <c r="S7">
        <f>SUM(AggregateTable2024[Housing - Other])</f>
        <v>0</v>
      </c>
      <c r="T7">
        <f>SUM(AggregateTable2024[Decoration])</f>
        <v>0</v>
      </c>
      <c r="U7">
        <f>SUM(AggregateTable2024[401k])</f>
        <v>-6500</v>
      </c>
      <c r="V7">
        <f>SUM(AggregateTable2024[Retirement])</f>
        <v>0</v>
      </c>
      <c r="W7">
        <f>SUM(AggregateTable2024[Long-term])</f>
        <v>0</v>
      </c>
      <c r="X7">
        <f>SUM(AggregateTable2024[Unexpected Fund])</f>
        <v>0</v>
      </c>
      <c r="Y7">
        <f>SUM(AggregateTable2024[Medical - Other])</f>
        <v>-364.69000000000005</v>
      </c>
      <c r="Z7">
        <f>SUM(AggregateTable2024[Medical Insurance])</f>
        <v>0</v>
      </c>
      <c r="AA7">
        <f>SUM(AggregateTable2024[ATM])</f>
        <v>0</v>
      </c>
      <c r="AB7">
        <f>SUM(AggregateTable2024[Other - Other])</f>
        <v>-130.81</v>
      </c>
      <c r="AC7">
        <f>SUM(AggregateTable2024[Clothes/Personal care])</f>
        <v>-90.25</v>
      </c>
      <c r="AD7">
        <f>SUM(AggregateTable2024[Parental Funds])</f>
        <v>0</v>
      </c>
      <c r="AE7">
        <f>SUM(AggregateTable2024[Salary])</f>
        <v>22464.16</v>
      </c>
      <c r="AF7">
        <f>SUM(AggregateTable2024[Income - Other])</f>
        <v>6478.2699999999995</v>
      </c>
      <c r="AG7">
        <f>SUM(AggregateTable2024[CC Payments])</f>
        <v>0</v>
      </c>
      <c r="AH7">
        <f>SUM(AggregateTable2024[Internal Transfers])</f>
        <v>0</v>
      </c>
      <c r="AI7">
        <f>SUM(AggregateTable2024[Total])</f>
        <v>8059.5599999999995</v>
      </c>
    </row>
  </sheetData>
  <dataValidations count="1">
    <dataValidation type="list" errorStyle="warning" allowBlank="1" showInputMessage="1" showErrorMessage="1" sqref="C2:AH2" xr:uid="{E4C1891F-1C3B-4C53-979E-12B46F5A3271}">
      <formula1>CategoriesList</formula1>
    </dataValidation>
  </dataValidations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D6857F3-81D4-4649-ACC0-BF695F7E4DD8}">
  <sheetPr codeName="Sheet4"/>
  <dimension ref="A1:IN46"/>
  <sheetViews>
    <sheetView zoomScale="80" zoomScaleNormal="80" workbookViewId="0">
      <pane xSplit="4" ySplit="3" topLeftCell="W4" activePane="bottomRight" state="frozen"/>
      <selection pane="topRight" activeCell="E1" sqref="E1"/>
      <selection pane="bottomLeft" activeCell="A5" sqref="A5"/>
      <selection pane="bottomRight" activeCell="J4" sqref="J4"/>
    </sheetView>
  </sheetViews>
  <sheetFormatPr defaultRowHeight="15" x14ac:dyDescent="0.25"/>
  <cols>
    <col min="1" max="1" width="8.5703125" customWidth="1"/>
    <col min="2" max="2" width="22.7109375" bestFit="1" customWidth="1"/>
    <col min="3" max="3" width="20.7109375" customWidth="1"/>
    <col min="4" max="4" width="20.85546875" bestFit="1" customWidth="1"/>
    <col min="5" max="5" width="6.28515625" customWidth="1"/>
    <col min="6" max="6" width="11.5703125" bestFit="1" customWidth="1"/>
    <col min="7" max="7" width="12.28515625" bestFit="1" customWidth="1"/>
    <col min="8" max="8" width="6.7109375" bestFit="1" customWidth="1"/>
    <col min="9" max="9" width="6.28515625" customWidth="1"/>
    <col min="10" max="10" width="13.140625" customWidth="1"/>
    <col min="11" max="11" width="14.28515625" bestFit="1" customWidth="1"/>
    <col min="12" max="12" width="12.42578125" customWidth="1"/>
    <col min="13" max="14" width="14.28515625" bestFit="1" customWidth="1"/>
    <col min="15" max="15" width="12.5703125" customWidth="1"/>
    <col min="16" max="16" width="12.42578125" bestFit="1" customWidth="1"/>
    <col min="17" max="17" width="12.42578125" customWidth="1"/>
    <col min="18" max="18" width="8.28515625" bestFit="1" customWidth="1"/>
    <col min="19" max="19" width="12.5703125" bestFit="1" customWidth="1"/>
    <col min="20" max="20" width="14.7109375" customWidth="1"/>
    <col min="21" max="21" width="12.5703125" bestFit="1" customWidth="1"/>
    <col min="22" max="22" width="11.140625" customWidth="1"/>
    <col min="23" max="23" width="12" customWidth="1"/>
    <col min="24" max="24" width="13.140625" customWidth="1"/>
    <col min="25" max="25" width="12.5703125" customWidth="1"/>
    <col min="26" max="26" width="10.28515625" bestFit="1" customWidth="1"/>
    <col min="28" max="28" width="12.28515625" bestFit="1" customWidth="1"/>
    <col min="29" max="29" width="12.42578125" customWidth="1"/>
    <col min="30" max="30" width="6.7109375" bestFit="1" customWidth="1"/>
    <col min="31" max="31" width="9.7109375" customWidth="1"/>
    <col min="32" max="32" width="8.7109375" customWidth="1"/>
    <col min="33" max="33" width="9.7109375" customWidth="1"/>
    <col min="34" max="34" width="11.28515625" bestFit="1" customWidth="1"/>
    <col min="35" max="35" width="6" bestFit="1" customWidth="1"/>
    <col min="36" max="36" width="12.28515625" bestFit="1" customWidth="1"/>
    <col min="37" max="37" width="13.140625" customWidth="1"/>
    <col min="38" max="38" width="6.7109375" bestFit="1" customWidth="1"/>
    <col min="40" max="40" width="13.140625" customWidth="1"/>
    <col min="41" max="41" width="14.28515625" bestFit="1" customWidth="1"/>
    <col min="42" max="42" width="13.42578125" customWidth="1"/>
    <col min="43" max="44" width="14.28515625" bestFit="1" customWidth="1"/>
    <col min="45" max="45" width="11.5703125" bestFit="1" customWidth="1"/>
    <col min="46" max="46" width="12.42578125" bestFit="1" customWidth="1"/>
    <col min="47" max="47" width="12.42578125" customWidth="1"/>
    <col min="48" max="48" width="8.28515625" bestFit="1" customWidth="1"/>
    <col min="49" max="49" width="12.5703125" bestFit="1" customWidth="1"/>
    <col min="50" max="50" width="14.7109375" customWidth="1"/>
    <col min="51" max="51" width="12.5703125" bestFit="1" customWidth="1"/>
    <col min="52" max="52" width="11.140625" customWidth="1"/>
    <col min="53" max="53" width="12" customWidth="1"/>
    <col min="54" max="54" width="13.140625" customWidth="1"/>
    <col min="55" max="55" width="12.5703125" customWidth="1"/>
    <col min="56" max="56" width="10.28515625" bestFit="1" customWidth="1"/>
    <col min="58" max="58" width="12.28515625" bestFit="1" customWidth="1"/>
    <col min="59" max="59" width="12.7109375" customWidth="1"/>
    <col min="60" max="60" width="6.7109375" bestFit="1" customWidth="1"/>
    <col min="61" max="61" width="9.5703125" customWidth="1"/>
    <col min="62" max="62" width="8.85546875" customWidth="1"/>
    <col min="63" max="63" width="9.85546875" customWidth="1"/>
    <col min="64" max="64" width="11.28515625" bestFit="1" customWidth="1"/>
    <col min="65" max="65" width="6" bestFit="1" customWidth="1"/>
    <col min="66" max="66" width="12.28515625" bestFit="1" customWidth="1"/>
    <col min="67" max="67" width="13" customWidth="1"/>
    <col min="68" max="68" width="6.7109375" bestFit="1" customWidth="1"/>
    <col min="70" max="70" width="13.140625" customWidth="1"/>
    <col min="71" max="71" width="14.28515625" bestFit="1" customWidth="1"/>
    <col min="72" max="72" width="13.42578125" customWidth="1"/>
    <col min="73" max="74" width="14.28515625" bestFit="1" customWidth="1"/>
    <col min="75" max="75" width="11.5703125" bestFit="1" customWidth="1"/>
    <col min="76" max="76" width="12.42578125" bestFit="1" customWidth="1"/>
    <col min="77" max="77" width="12.42578125" customWidth="1"/>
    <col min="78" max="78" width="8.28515625" bestFit="1" customWidth="1"/>
    <col min="79" max="79" width="12.5703125" bestFit="1" customWidth="1"/>
    <col min="80" max="80" width="14.7109375" customWidth="1"/>
    <col min="81" max="81" width="12.5703125" bestFit="1" customWidth="1"/>
    <col min="82" max="82" width="11.140625" customWidth="1"/>
    <col min="83" max="83" width="12" customWidth="1"/>
    <col min="84" max="84" width="13.140625" customWidth="1"/>
    <col min="85" max="85" width="12.5703125" customWidth="1"/>
    <col min="86" max="86" width="10.28515625" bestFit="1" customWidth="1"/>
    <col min="88" max="89" width="12.28515625" bestFit="1" customWidth="1"/>
    <col min="90" max="90" width="6.7109375" bestFit="1" customWidth="1"/>
    <col min="91" max="91" width="12" bestFit="1" customWidth="1"/>
    <col min="92" max="92" width="11.28515625" bestFit="1" customWidth="1"/>
    <col min="93" max="93" width="9.7109375" customWidth="1"/>
    <col min="94" max="94" width="11.28515625" bestFit="1" customWidth="1"/>
    <col min="95" max="95" width="6" bestFit="1" customWidth="1"/>
    <col min="96" max="97" width="12.28515625" bestFit="1" customWidth="1"/>
    <col min="98" max="98" width="6.7109375" bestFit="1" customWidth="1"/>
    <col min="100" max="100" width="13.140625" customWidth="1"/>
    <col min="101" max="101" width="14.28515625" bestFit="1" customWidth="1"/>
    <col min="102" max="102" width="13.42578125" customWidth="1"/>
    <col min="103" max="104" width="14.28515625" bestFit="1" customWidth="1"/>
    <col min="105" max="105" width="11.5703125" bestFit="1" customWidth="1"/>
    <col min="106" max="106" width="12.42578125" bestFit="1" customWidth="1"/>
    <col min="107" max="107" width="12.42578125" customWidth="1"/>
    <col min="108" max="108" width="8.28515625" bestFit="1" customWidth="1"/>
    <col min="109" max="109" width="12.5703125" bestFit="1" customWidth="1"/>
    <col min="110" max="110" width="14.7109375" customWidth="1"/>
    <col min="111" max="111" width="12.5703125" bestFit="1" customWidth="1"/>
    <col min="112" max="112" width="11.140625" customWidth="1"/>
    <col min="113" max="113" width="12" customWidth="1"/>
    <col min="114" max="114" width="13.140625" customWidth="1"/>
    <col min="115" max="115" width="12.5703125" customWidth="1"/>
    <col min="116" max="116" width="10.28515625" bestFit="1" customWidth="1"/>
    <col min="118" max="119" width="12.28515625" bestFit="1" customWidth="1"/>
    <col min="120" max="120" width="6.7109375" bestFit="1" customWidth="1"/>
    <col min="121" max="121" width="12" bestFit="1" customWidth="1"/>
    <col min="122" max="122" width="11.28515625" bestFit="1" customWidth="1"/>
    <col min="123" max="123" width="9.7109375" customWidth="1"/>
    <col min="124" max="124" width="11.28515625" bestFit="1" customWidth="1"/>
    <col min="125" max="125" width="6" bestFit="1" customWidth="1"/>
    <col min="126" max="127" width="12.28515625" bestFit="1" customWidth="1"/>
    <col min="128" max="128" width="6.7109375" bestFit="1" customWidth="1"/>
    <col min="130" max="130" width="13.140625" customWidth="1"/>
    <col min="131" max="131" width="14.28515625" bestFit="1" customWidth="1"/>
    <col min="132" max="132" width="13.42578125" customWidth="1"/>
    <col min="133" max="134" width="14.28515625" bestFit="1" customWidth="1"/>
    <col min="135" max="135" width="11.5703125" bestFit="1" customWidth="1"/>
    <col min="136" max="136" width="12.42578125" bestFit="1" customWidth="1"/>
    <col min="137" max="137" width="12.42578125" customWidth="1"/>
    <col min="138" max="138" width="8.28515625" bestFit="1" customWidth="1"/>
    <col min="139" max="139" width="12.5703125" bestFit="1" customWidth="1"/>
    <col min="140" max="140" width="14.7109375" customWidth="1"/>
    <col min="141" max="141" width="12.5703125" bestFit="1" customWidth="1"/>
    <col min="142" max="142" width="11.140625" customWidth="1"/>
    <col min="143" max="143" width="12" customWidth="1"/>
    <col min="144" max="144" width="13.140625" customWidth="1"/>
    <col min="145" max="145" width="12.5703125" customWidth="1"/>
    <col min="146" max="146" width="10.28515625" bestFit="1" customWidth="1"/>
    <col min="148" max="149" width="12.28515625" bestFit="1" customWidth="1"/>
    <col min="150" max="150" width="6.7109375" bestFit="1" customWidth="1"/>
    <col min="151" max="151" width="12" bestFit="1" customWidth="1"/>
    <col min="152" max="152" width="11.28515625" bestFit="1" customWidth="1"/>
    <col min="153" max="153" width="11.28515625" customWidth="1"/>
    <col min="154" max="154" width="11.28515625" bestFit="1" customWidth="1"/>
    <col min="155" max="155" width="6" bestFit="1" customWidth="1"/>
    <col min="156" max="157" width="12.28515625" bestFit="1" customWidth="1"/>
    <col min="158" max="158" width="6.7109375" bestFit="1" customWidth="1"/>
    <col min="160" max="160" width="13.140625" customWidth="1"/>
    <col min="161" max="161" width="14.28515625" bestFit="1" customWidth="1"/>
    <col min="162" max="162" width="13.42578125" customWidth="1"/>
    <col min="163" max="164" width="14.28515625" bestFit="1" customWidth="1"/>
    <col min="165" max="165" width="11.5703125" bestFit="1" customWidth="1"/>
    <col min="166" max="166" width="12.42578125" bestFit="1" customWidth="1"/>
    <col min="167" max="167" width="12.42578125" customWidth="1"/>
    <col min="168" max="168" width="8.28515625" bestFit="1" customWidth="1"/>
    <col min="169" max="169" width="12.5703125" bestFit="1" customWidth="1"/>
    <col min="170" max="170" width="14.7109375" customWidth="1"/>
    <col min="171" max="171" width="12.5703125" bestFit="1" customWidth="1"/>
    <col min="172" max="172" width="11.140625" customWidth="1"/>
    <col min="173" max="173" width="12" customWidth="1"/>
    <col min="174" max="174" width="13.140625" customWidth="1"/>
    <col min="175" max="175" width="12.5703125" customWidth="1"/>
    <col min="176" max="176" width="10.28515625" bestFit="1" customWidth="1"/>
    <col min="178" max="179" width="12.28515625" bestFit="1" customWidth="1"/>
    <col min="180" max="180" width="6.7109375" bestFit="1" customWidth="1"/>
    <col min="181" max="181" width="12" bestFit="1" customWidth="1"/>
    <col min="182" max="182" width="11.28515625" bestFit="1" customWidth="1"/>
    <col min="183" max="183" width="11.28515625" customWidth="1"/>
    <col min="184" max="184" width="11.28515625" bestFit="1" customWidth="1"/>
    <col min="185" max="185" width="6" bestFit="1" customWidth="1"/>
    <col min="186" max="187" width="12.28515625" bestFit="1" customWidth="1"/>
    <col min="188" max="188" width="6.7109375" bestFit="1" customWidth="1"/>
    <col min="190" max="190" width="13.140625" customWidth="1"/>
    <col min="191" max="191" width="14.28515625" bestFit="1" customWidth="1"/>
    <col min="192" max="192" width="13.42578125" customWidth="1"/>
    <col min="193" max="194" width="14.28515625" bestFit="1" customWidth="1"/>
    <col min="195" max="195" width="11.5703125" bestFit="1" customWidth="1"/>
    <col min="196" max="196" width="12.42578125" bestFit="1" customWidth="1"/>
    <col min="197" max="197" width="12.42578125" customWidth="1"/>
    <col min="198" max="198" width="8.28515625" bestFit="1" customWidth="1"/>
    <col min="199" max="199" width="12.5703125" bestFit="1" customWidth="1"/>
    <col min="200" max="200" width="14.7109375" customWidth="1"/>
    <col min="201" max="201" width="12.5703125" bestFit="1" customWidth="1"/>
    <col min="202" max="202" width="11.140625" customWidth="1"/>
    <col min="203" max="203" width="12" customWidth="1"/>
    <col min="204" max="204" width="13.140625" customWidth="1"/>
    <col min="205" max="205" width="12.5703125" customWidth="1"/>
    <col min="206" max="206" width="10.28515625" bestFit="1" customWidth="1"/>
    <col min="208" max="209" width="12.28515625" bestFit="1" customWidth="1"/>
    <col min="210" max="210" width="6.7109375" bestFit="1" customWidth="1"/>
    <col min="211" max="211" width="12" bestFit="1" customWidth="1"/>
    <col min="212" max="212" width="11.28515625" bestFit="1" customWidth="1"/>
    <col min="213" max="213" width="11.28515625" customWidth="1"/>
    <col min="214" max="214" width="11.28515625" bestFit="1" customWidth="1"/>
    <col min="215" max="215" width="6" bestFit="1" customWidth="1"/>
    <col min="216" max="217" width="12.28515625" bestFit="1" customWidth="1"/>
    <col min="218" max="218" width="6.7109375" bestFit="1" customWidth="1"/>
    <col min="220" max="220" width="13.140625" customWidth="1"/>
    <col min="221" max="221" width="14.28515625" bestFit="1" customWidth="1"/>
    <col min="222" max="222" width="13.42578125" customWidth="1"/>
    <col min="223" max="224" width="14.28515625" bestFit="1" customWidth="1"/>
    <col min="225" max="225" width="13" customWidth="1"/>
    <col min="226" max="226" width="12.42578125" bestFit="1" customWidth="1"/>
    <col min="227" max="227" width="12.42578125" customWidth="1"/>
    <col min="228" max="228" width="8.28515625" bestFit="1" customWidth="1"/>
    <col min="229" max="229" width="12.5703125" bestFit="1" customWidth="1"/>
    <col min="230" max="230" width="14.7109375" customWidth="1"/>
    <col min="231" max="231" width="12.5703125" bestFit="1" customWidth="1"/>
    <col min="232" max="232" width="11.140625" customWidth="1"/>
    <col min="233" max="233" width="12" customWidth="1"/>
    <col min="234" max="234" width="13.140625" customWidth="1"/>
    <col min="235" max="235" width="12.5703125" customWidth="1"/>
    <col min="236" max="236" width="10.28515625" bestFit="1" customWidth="1"/>
    <col min="238" max="239" width="12.28515625" bestFit="1" customWidth="1"/>
    <col min="240" max="240" width="6.7109375" bestFit="1" customWidth="1"/>
    <col min="241" max="241" width="12" bestFit="1" customWidth="1"/>
    <col min="242" max="242" width="11.28515625" bestFit="1" customWidth="1"/>
    <col min="243" max="243" width="11.28515625" customWidth="1"/>
    <col min="244" max="244" width="11.28515625" bestFit="1" customWidth="1"/>
    <col min="245" max="245" width="6" bestFit="1" customWidth="1"/>
    <col min="246" max="247" width="12.28515625" bestFit="1" customWidth="1"/>
    <col min="248" max="248" width="6.7109375" bestFit="1" customWidth="1"/>
  </cols>
  <sheetData>
    <row r="1" spans="1:248" x14ac:dyDescent="0.25">
      <c r="F1" s="28" t="s">
        <v>402</v>
      </c>
      <c r="J1" s="27">
        <v>45170</v>
      </c>
      <c r="AN1" s="27">
        <v>45200</v>
      </c>
      <c r="BR1" s="27">
        <v>45231</v>
      </c>
      <c r="CV1" s="27">
        <v>45261</v>
      </c>
      <c r="DZ1" s="27">
        <v>45292</v>
      </c>
      <c r="FD1" s="27">
        <v>45323</v>
      </c>
      <c r="GH1" s="27">
        <v>45352</v>
      </c>
      <c r="HL1" s="27">
        <v>45383</v>
      </c>
    </row>
    <row r="2" spans="1:248" x14ac:dyDescent="0.25">
      <c r="F2" s="47" t="s">
        <v>401</v>
      </c>
      <c r="G2" s="47"/>
      <c r="H2" s="47"/>
      <c r="J2" t="s">
        <v>372</v>
      </c>
      <c r="K2" s="26" t="s">
        <v>373</v>
      </c>
      <c r="L2" t="s">
        <v>374</v>
      </c>
      <c r="M2" t="s">
        <v>375</v>
      </c>
      <c r="N2" t="s">
        <v>376</v>
      </c>
      <c r="O2" t="s">
        <v>377</v>
      </c>
      <c r="P2" t="s">
        <v>378</v>
      </c>
      <c r="Q2" t="s">
        <v>386</v>
      </c>
      <c r="R2" t="s">
        <v>379</v>
      </c>
      <c r="S2" t="s">
        <v>380</v>
      </c>
      <c r="T2" t="s">
        <v>383</v>
      </c>
      <c r="U2" t="s">
        <v>381</v>
      </c>
      <c r="V2" t="s">
        <v>390</v>
      </c>
      <c r="W2" t="s">
        <v>392</v>
      </c>
      <c r="X2" t="s">
        <v>397</v>
      </c>
      <c r="AB2" s="47" t="s">
        <v>399</v>
      </c>
      <c r="AC2" s="47"/>
      <c r="AD2" s="47"/>
      <c r="AE2" s="47" t="s">
        <v>400</v>
      </c>
      <c r="AF2" s="47"/>
      <c r="AG2" s="47"/>
      <c r="AH2" s="47"/>
      <c r="AI2" s="47"/>
      <c r="AJ2" s="47" t="s">
        <v>401</v>
      </c>
      <c r="AK2" s="47"/>
      <c r="AL2" s="47"/>
      <c r="AN2" t="s">
        <v>372</v>
      </c>
      <c r="AO2" s="26" t="s">
        <v>373</v>
      </c>
      <c r="AP2" t="s">
        <v>374</v>
      </c>
      <c r="AQ2" t="s">
        <v>375</v>
      </c>
      <c r="AR2" t="s">
        <v>376</v>
      </c>
      <c r="AS2" t="s">
        <v>377</v>
      </c>
      <c r="AT2" t="s">
        <v>378</v>
      </c>
      <c r="AU2" t="s">
        <v>386</v>
      </c>
      <c r="AV2" t="s">
        <v>379</v>
      </c>
      <c r="AW2" t="s">
        <v>380</v>
      </c>
      <c r="AX2" t="s">
        <v>383</v>
      </c>
      <c r="AY2" t="s">
        <v>381</v>
      </c>
      <c r="AZ2" t="s">
        <v>390</v>
      </c>
      <c r="BA2" t="s">
        <v>392</v>
      </c>
      <c r="BB2" t="s">
        <v>397</v>
      </c>
      <c r="BF2" s="47" t="s">
        <v>399</v>
      </c>
      <c r="BG2" s="47"/>
      <c r="BH2" s="47"/>
      <c r="BI2" s="47" t="s">
        <v>400</v>
      </c>
      <c r="BJ2" s="47"/>
      <c r="BK2" s="47"/>
      <c r="BL2" s="47"/>
      <c r="BM2" s="47"/>
      <c r="BN2" s="47" t="s">
        <v>401</v>
      </c>
      <c r="BO2" s="47"/>
      <c r="BP2" s="47"/>
      <c r="BR2" t="s">
        <v>372</v>
      </c>
      <c r="BS2" s="26" t="s">
        <v>373</v>
      </c>
      <c r="BT2" t="s">
        <v>374</v>
      </c>
      <c r="BU2" t="s">
        <v>375</v>
      </c>
      <c r="BV2" t="s">
        <v>376</v>
      </c>
      <c r="BW2" t="s">
        <v>377</v>
      </c>
      <c r="BX2" t="s">
        <v>378</v>
      </c>
      <c r="BY2" t="s">
        <v>386</v>
      </c>
      <c r="BZ2" t="s">
        <v>379</v>
      </c>
      <c r="CA2" t="s">
        <v>380</v>
      </c>
      <c r="CB2" t="s">
        <v>383</v>
      </c>
      <c r="CC2" t="s">
        <v>381</v>
      </c>
      <c r="CD2" t="s">
        <v>390</v>
      </c>
      <c r="CE2" t="s">
        <v>392</v>
      </c>
      <c r="CF2" t="s">
        <v>397</v>
      </c>
      <c r="CJ2" s="47" t="s">
        <v>399</v>
      </c>
      <c r="CK2" s="47"/>
      <c r="CL2" s="47"/>
      <c r="CM2" s="47" t="s">
        <v>400</v>
      </c>
      <c r="CN2" s="47"/>
      <c r="CO2" s="47"/>
      <c r="CP2" s="47"/>
      <c r="CQ2" s="47"/>
      <c r="CR2" s="47" t="s">
        <v>401</v>
      </c>
      <c r="CS2" s="47"/>
      <c r="CT2" s="47"/>
      <c r="CV2" t="s">
        <v>372</v>
      </c>
      <c r="CW2" s="26" t="s">
        <v>373</v>
      </c>
      <c r="CX2" t="s">
        <v>374</v>
      </c>
      <c r="CY2" t="s">
        <v>375</v>
      </c>
      <c r="CZ2" t="s">
        <v>376</v>
      </c>
      <c r="DA2" t="s">
        <v>377</v>
      </c>
      <c r="DB2" t="s">
        <v>378</v>
      </c>
      <c r="DC2" t="s">
        <v>386</v>
      </c>
      <c r="DD2" t="s">
        <v>379</v>
      </c>
      <c r="DE2" t="s">
        <v>380</v>
      </c>
      <c r="DF2" t="s">
        <v>383</v>
      </c>
      <c r="DG2" t="s">
        <v>381</v>
      </c>
      <c r="DH2" t="s">
        <v>390</v>
      </c>
      <c r="DI2" t="s">
        <v>392</v>
      </c>
      <c r="DJ2" t="s">
        <v>397</v>
      </c>
      <c r="DN2" s="47" t="s">
        <v>399</v>
      </c>
      <c r="DO2" s="47"/>
      <c r="DP2" s="47"/>
      <c r="DQ2" s="47" t="s">
        <v>400</v>
      </c>
      <c r="DR2" s="47"/>
      <c r="DS2" s="47"/>
      <c r="DT2" s="47"/>
      <c r="DU2" s="47"/>
      <c r="DV2" s="47" t="s">
        <v>401</v>
      </c>
      <c r="DW2" s="47"/>
      <c r="DX2" s="47"/>
      <c r="DZ2" t="s">
        <v>372</v>
      </c>
      <c r="EA2" s="26" t="s">
        <v>373</v>
      </c>
      <c r="EB2" t="s">
        <v>374</v>
      </c>
      <c r="EC2" t="s">
        <v>375</v>
      </c>
      <c r="ED2" t="s">
        <v>376</v>
      </c>
      <c r="EE2" t="s">
        <v>377</v>
      </c>
      <c r="EF2" t="s">
        <v>378</v>
      </c>
      <c r="EG2" t="s">
        <v>386</v>
      </c>
      <c r="EH2" t="s">
        <v>379</v>
      </c>
      <c r="EI2" t="s">
        <v>380</v>
      </c>
      <c r="EJ2" t="s">
        <v>383</v>
      </c>
      <c r="EK2" t="s">
        <v>381</v>
      </c>
      <c r="EL2" t="s">
        <v>390</v>
      </c>
      <c r="EM2" t="s">
        <v>392</v>
      </c>
      <c r="EN2" t="s">
        <v>397</v>
      </c>
      <c r="ER2" s="47" t="s">
        <v>399</v>
      </c>
      <c r="ES2" s="47"/>
      <c r="ET2" s="47"/>
      <c r="EU2" s="47" t="s">
        <v>400</v>
      </c>
      <c r="EV2" s="47"/>
      <c r="EW2" s="47"/>
      <c r="EX2" s="47"/>
      <c r="EY2" s="47"/>
      <c r="EZ2" s="47" t="s">
        <v>401</v>
      </c>
      <c r="FA2" s="47"/>
      <c r="FB2" s="47"/>
      <c r="FD2" t="s">
        <v>372</v>
      </c>
      <c r="FE2" s="26" t="s">
        <v>373</v>
      </c>
      <c r="FF2" t="s">
        <v>374</v>
      </c>
      <c r="FG2" t="s">
        <v>375</v>
      </c>
      <c r="FH2" t="s">
        <v>376</v>
      </c>
      <c r="FI2" t="s">
        <v>377</v>
      </c>
      <c r="FJ2" t="s">
        <v>378</v>
      </c>
      <c r="FK2" t="s">
        <v>386</v>
      </c>
      <c r="FL2" t="s">
        <v>379</v>
      </c>
      <c r="FM2" t="s">
        <v>380</v>
      </c>
      <c r="FN2" t="s">
        <v>383</v>
      </c>
      <c r="FO2" t="s">
        <v>381</v>
      </c>
      <c r="FP2" t="s">
        <v>390</v>
      </c>
      <c r="FQ2" t="s">
        <v>392</v>
      </c>
      <c r="FR2" t="s">
        <v>397</v>
      </c>
      <c r="FV2" s="47" t="s">
        <v>399</v>
      </c>
      <c r="FW2" s="47"/>
      <c r="FX2" s="47"/>
      <c r="FY2" s="47" t="s">
        <v>400</v>
      </c>
      <c r="FZ2" s="47"/>
      <c r="GA2" s="47"/>
      <c r="GB2" s="47"/>
      <c r="GC2" s="47"/>
      <c r="GD2" s="47" t="s">
        <v>401</v>
      </c>
      <c r="GE2" s="47"/>
      <c r="GF2" s="47"/>
      <c r="GH2" t="s">
        <v>372</v>
      </c>
      <c r="GI2" s="26" t="s">
        <v>373</v>
      </c>
      <c r="GJ2" t="s">
        <v>374</v>
      </c>
      <c r="GK2" t="s">
        <v>375</v>
      </c>
      <c r="GL2" t="s">
        <v>376</v>
      </c>
      <c r="GM2" t="s">
        <v>377</v>
      </c>
      <c r="GN2" t="s">
        <v>378</v>
      </c>
      <c r="GO2" t="s">
        <v>386</v>
      </c>
      <c r="GP2" t="s">
        <v>379</v>
      </c>
      <c r="GQ2" t="s">
        <v>380</v>
      </c>
      <c r="GR2" t="s">
        <v>383</v>
      </c>
      <c r="GS2" t="s">
        <v>381</v>
      </c>
      <c r="GT2" t="s">
        <v>390</v>
      </c>
      <c r="GU2" t="s">
        <v>392</v>
      </c>
      <c r="GV2" t="s">
        <v>397</v>
      </c>
      <c r="GZ2" s="47" t="s">
        <v>399</v>
      </c>
      <c r="HA2" s="47"/>
      <c r="HB2" s="47"/>
      <c r="HC2" s="47" t="s">
        <v>400</v>
      </c>
      <c r="HD2" s="47"/>
      <c r="HE2" s="47"/>
      <c r="HF2" s="47"/>
      <c r="HG2" s="47"/>
      <c r="HH2" s="47" t="s">
        <v>401</v>
      </c>
      <c r="HI2" s="47"/>
      <c r="HJ2" s="47"/>
      <c r="HL2" t="s">
        <v>372</v>
      </c>
      <c r="HM2" s="26" t="s">
        <v>373</v>
      </c>
      <c r="HN2" t="s">
        <v>374</v>
      </c>
      <c r="HO2" t="s">
        <v>375</v>
      </c>
      <c r="HP2" t="s">
        <v>376</v>
      </c>
      <c r="HQ2" t="s">
        <v>377</v>
      </c>
      <c r="HR2" t="s">
        <v>378</v>
      </c>
      <c r="HS2" t="s">
        <v>386</v>
      </c>
      <c r="HT2" t="s">
        <v>379</v>
      </c>
      <c r="HU2" t="s">
        <v>380</v>
      </c>
      <c r="HV2" t="s">
        <v>383</v>
      </c>
      <c r="HW2" t="s">
        <v>381</v>
      </c>
      <c r="HX2" t="s">
        <v>390</v>
      </c>
      <c r="HY2" t="s">
        <v>392</v>
      </c>
      <c r="HZ2" t="s">
        <v>397</v>
      </c>
      <c r="ID2" s="47" t="s">
        <v>399</v>
      </c>
      <c r="IE2" s="47"/>
      <c r="IF2" s="47"/>
      <c r="IG2" s="47" t="s">
        <v>400</v>
      </c>
      <c r="IH2" s="47"/>
      <c r="II2" s="47"/>
      <c r="IJ2" s="47"/>
      <c r="IK2" s="47"/>
      <c r="IL2" s="47" t="s">
        <v>401</v>
      </c>
      <c r="IM2" s="47"/>
      <c r="IN2" s="47"/>
    </row>
    <row r="3" spans="1:248" x14ac:dyDescent="0.25">
      <c r="A3" t="s">
        <v>315</v>
      </c>
      <c r="B3" t="s">
        <v>312</v>
      </c>
      <c r="C3" t="s">
        <v>313</v>
      </c>
      <c r="D3" t="s">
        <v>314</v>
      </c>
      <c r="F3" t="s">
        <v>398</v>
      </c>
      <c r="G3" t="s">
        <v>333</v>
      </c>
      <c r="H3" t="s">
        <v>332</v>
      </c>
      <c r="J3" t="s">
        <v>270</v>
      </c>
      <c r="K3" t="s">
        <v>330</v>
      </c>
      <c r="L3" t="s">
        <v>331</v>
      </c>
      <c r="M3" t="s">
        <v>333</v>
      </c>
      <c r="N3" t="s">
        <v>370</v>
      </c>
      <c r="O3" t="s">
        <v>368</v>
      </c>
      <c r="P3" t="s">
        <v>369</v>
      </c>
      <c r="Q3" t="s">
        <v>385</v>
      </c>
      <c r="R3" t="s">
        <v>332</v>
      </c>
      <c r="S3" t="s">
        <v>367</v>
      </c>
      <c r="T3" t="s">
        <v>382</v>
      </c>
      <c r="U3" t="s">
        <v>387</v>
      </c>
      <c r="V3" t="s">
        <v>388</v>
      </c>
      <c r="W3" t="s">
        <v>391</v>
      </c>
      <c r="X3" t="s">
        <v>394</v>
      </c>
      <c r="Y3" t="s">
        <v>395</v>
      </c>
      <c r="Z3" t="s">
        <v>396</v>
      </c>
      <c r="AB3" t="s">
        <v>398</v>
      </c>
      <c r="AC3" t="s">
        <v>333</v>
      </c>
      <c r="AD3" t="s">
        <v>332</v>
      </c>
      <c r="AE3" t="s">
        <v>466</v>
      </c>
      <c r="AF3" t="s">
        <v>467</v>
      </c>
      <c r="AG3" t="s">
        <v>370</v>
      </c>
      <c r="AH3" t="s">
        <v>468</v>
      </c>
      <c r="AI3" t="s">
        <v>332</v>
      </c>
      <c r="AJ3" t="s">
        <v>398</v>
      </c>
      <c r="AK3" t="s">
        <v>333</v>
      </c>
      <c r="AL3" t="s">
        <v>332</v>
      </c>
      <c r="AN3" t="s">
        <v>270</v>
      </c>
      <c r="AO3" t="s">
        <v>330</v>
      </c>
      <c r="AP3" t="s">
        <v>331</v>
      </c>
      <c r="AQ3" t="s">
        <v>333</v>
      </c>
      <c r="AR3" t="s">
        <v>370</v>
      </c>
      <c r="AS3" t="s">
        <v>368</v>
      </c>
      <c r="AT3" t="s">
        <v>369</v>
      </c>
      <c r="AU3" t="s">
        <v>385</v>
      </c>
      <c r="AV3" t="s">
        <v>332</v>
      </c>
      <c r="AW3" t="s">
        <v>367</v>
      </c>
      <c r="AX3" t="s">
        <v>382</v>
      </c>
      <c r="AY3" t="s">
        <v>387</v>
      </c>
      <c r="AZ3" t="s">
        <v>388</v>
      </c>
      <c r="BA3" t="s">
        <v>391</v>
      </c>
      <c r="BB3" t="s">
        <v>394</v>
      </c>
      <c r="BC3" t="s">
        <v>395</v>
      </c>
      <c r="BD3" t="s">
        <v>396</v>
      </c>
      <c r="BF3" t="s">
        <v>398</v>
      </c>
      <c r="BG3" t="s">
        <v>333</v>
      </c>
      <c r="BH3" t="s">
        <v>332</v>
      </c>
      <c r="BI3" t="s">
        <v>466</v>
      </c>
      <c r="BJ3" t="s">
        <v>467</v>
      </c>
      <c r="BK3" t="s">
        <v>370</v>
      </c>
      <c r="BL3" t="s">
        <v>468</v>
      </c>
      <c r="BM3" t="s">
        <v>332</v>
      </c>
      <c r="BN3" t="s">
        <v>398</v>
      </c>
      <c r="BO3" t="s">
        <v>333</v>
      </c>
      <c r="BP3" t="s">
        <v>332</v>
      </c>
      <c r="BR3" t="s">
        <v>270</v>
      </c>
      <c r="BS3" t="s">
        <v>330</v>
      </c>
      <c r="BT3" t="s">
        <v>331</v>
      </c>
      <c r="BU3" t="s">
        <v>333</v>
      </c>
      <c r="BV3" t="s">
        <v>370</v>
      </c>
      <c r="BW3" t="s">
        <v>368</v>
      </c>
      <c r="BX3" t="s">
        <v>369</v>
      </c>
      <c r="BY3" t="s">
        <v>385</v>
      </c>
      <c r="BZ3" t="s">
        <v>332</v>
      </c>
      <c r="CA3" t="s">
        <v>367</v>
      </c>
      <c r="CB3" t="s">
        <v>382</v>
      </c>
      <c r="CC3" t="s">
        <v>387</v>
      </c>
      <c r="CD3" t="s">
        <v>388</v>
      </c>
      <c r="CE3" t="s">
        <v>391</v>
      </c>
      <c r="CF3" t="s">
        <v>394</v>
      </c>
      <c r="CG3" t="s">
        <v>395</v>
      </c>
      <c r="CH3" t="s">
        <v>396</v>
      </c>
      <c r="CJ3" t="s">
        <v>398</v>
      </c>
      <c r="CK3" t="s">
        <v>333</v>
      </c>
      <c r="CL3" t="s">
        <v>332</v>
      </c>
      <c r="CM3" t="s">
        <v>466</v>
      </c>
      <c r="CN3" t="s">
        <v>467</v>
      </c>
      <c r="CO3" t="s">
        <v>370</v>
      </c>
      <c r="CP3" t="s">
        <v>468</v>
      </c>
      <c r="CQ3" t="s">
        <v>332</v>
      </c>
      <c r="CR3" t="s">
        <v>398</v>
      </c>
      <c r="CS3" t="s">
        <v>333</v>
      </c>
      <c r="CT3" t="s">
        <v>332</v>
      </c>
      <c r="CV3" t="s">
        <v>270</v>
      </c>
      <c r="CW3" t="s">
        <v>330</v>
      </c>
      <c r="CX3" t="s">
        <v>331</v>
      </c>
      <c r="CY3" t="s">
        <v>333</v>
      </c>
      <c r="CZ3" t="s">
        <v>370</v>
      </c>
      <c r="DA3" t="s">
        <v>368</v>
      </c>
      <c r="DB3" t="s">
        <v>369</v>
      </c>
      <c r="DC3" t="s">
        <v>385</v>
      </c>
      <c r="DD3" t="s">
        <v>332</v>
      </c>
      <c r="DE3" t="s">
        <v>367</v>
      </c>
      <c r="DF3" t="s">
        <v>382</v>
      </c>
      <c r="DG3" t="s">
        <v>387</v>
      </c>
      <c r="DH3" t="s">
        <v>388</v>
      </c>
      <c r="DI3" t="s">
        <v>391</v>
      </c>
      <c r="DJ3" t="s">
        <v>394</v>
      </c>
      <c r="DK3" t="s">
        <v>395</v>
      </c>
      <c r="DL3" t="s">
        <v>396</v>
      </c>
      <c r="DN3" t="s">
        <v>398</v>
      </c>
      <c r="DO3" t="s">
        <v>333</v>
      </c>
      <c r="DP3" t="s">
        <v>332</v>
      </c>
      <c r="DQ3" t="s">
        <v>466</v>
      </c>
      <c r="DR3" t="s">
        <v>467</v>
      </c>
      <c r="DS3" t="s">
        <v>370</v>
      </c>
      <c r="DT3" t="s">
        <v>468</v>
      </c>
      <c r="DU3" t="s">
        <v>332</v>
      </c>
      <c r="DV3" t="s">
        <v>398</v>
      </c>
      <c r="DW3" t="s">
        <v>333</v>
      </c>
      <c r="DX3" t="s">
        <v>332</v>
      </c>
      <c r="DZ3" t="s">
        <v>270</v>
      </c>
      <c r="EA3" t="s">
        <v>330</v>
      </c>
      <c r="EB3" t="s">
        <v>331</v>
      </c>
      <c r="EC3" t="s">
        <v>333</v>
      </c>
      <c r="ED3" t="s">
        <v>370</v>
      </c>
      <c r="EE3" t="s">
        <v>368</v>
      </c>
      <c r="EF3" t="s">
        <v>369</v>
      </c>
      <c r="EG3" t="s">
        <v>385</v>
      </c>
      <c r="EH3" t="s">
        <v>332</v>
      </c>
      <c r="EI3" t="s">
        <v>367</v>
      </c>
      <c r="EJ3" t="s">
        <v>382</v>
      </c>
      <c r="EK3" t="s">
        <v>387</v>
      </c>
      <c r="EL3" t="s">
        <v>388</v>
      </c>
      <c r="EM3" t="s">
        <v>391</v>
      </c>
      <c r="EN3" t="s">
        <v>394</v>
      </c>
      <c r="EO3" t="s">
        <v>395</v>
      </c>
      <c r="EP3" t="s">
        <v>396</v>
      </c>
      <c r="ER3" t="s">
        <v>398</v>
      </c>
      <c r="ES3" t="s">
        <v>333</v>
      </c>
      <c r="ET3" t="s">
        <v>332</v>
      </c>
      <c r="EU3" t="s">
        <v>466</v>
      </c>
      <c r="EV3" t="s">
        <v>467</v>
      </c>
      <c r="EW3" t="s">
        <v>370</v>
      </c>
      <c r="EX3" t="s">
        <v>468</v>
      </c>
      <c r="EY3" t="s">
        <v>332</v>
      </c>
      <c r="EZ3" t="s">
        <v>398</v>
      </c>
      <c r="FA3" t="s">
        <v>333</v>
      </c>
      <c r="FB3" t="s">
        <v>332</v>
      </c>
      <c r="FD3" t="s">
        <v>270</v>
      </c>
      <c r="FE3" t="s">
        <v>330</v>
      </c>
      <c r="FF3" t="s">
        <v>331</v>
      </c>
      <c r="FG3" t="s">
        <v>333</v>
      </c>
      <c r="FH3" t="s">
        <v>370</v>
      </c>
      <c r="FI3" t="s">
        <v>368</v>
      </c>
      <c r="FJ3" t="s">
        <v>369</v>
      </c>
      <c r="FK3" t="s">
        <v>385</v>
      </c>
      <c r="FL3" t="s">
        <v>332</v>
      </c>
      <c r="FM3" t="s">
        <v>367</v>
      </c>
      <c r="FN3" t="s">
        <v>382</v>
      </c>
      <c r="FO3" t="s">
        <v>387</v>
      </c>
      <c r="FP3" t="s">
        <v>388</v>
      </c>
      <c r="FQ3" t="s">
        <v>391</v>
      </c>
      <c r="FR3" t="s">
        <v>394</v>
      </c>
      <c r="FS3" t="s">
        <v>395</v>
      </c>
      <c r="FT3" t="s">
        <v>396</v>
      </c>
      <c r="FV3" t="s">
        <v>398</v>
      </c>
      <c r="FW3" t="s">
        <v>333</v>
      </c>
      <c r="FX3" t="s">
        <v>332</v>
      </c>
      <c r="FY3" t="s">
        <v>466</v>
      </c>
      <c r="FZ3" t="s">
        <v>467</v>
      </c>
      <c r="GA3" t="s">
        <v>370</v>
      </c>
      <c r="GB3" t="s">
        <v>468</v>
      </c>
      <c r="GC3" t="s">
        <v>332</v>
      </c>
      <c r="GD3" t="s">
        <v>398</v>
      </c>
      <c r="GE3" t="s">
        <v>333</v>
      </c>
      <c r="GF3" t="s">
        <v>332</v>
      </c>
      <c r="GH3" t="s">
        <v>270</v>
      </c>
      <c r="GI3" t="s">
        <v>330</v>
      </c>
      <c r="GJ3" t="s">
        <v>331</v>
      </c>
      <c r="GK3" t="s">
        <v>333</v>
      </c>
      <c r="GL3" t="s">
        <v>370</v>
      </c>
      <c r="GM3" t="s">
        <v>368</v>
      </c>
      <c r="GN3" t="s">
        <v>369</v>
      </c>
      <c r="GO3" t="s">
        <v>385</v>
      </c>
      <c r="GP3" t="s">
        <v>332</v>
      </c>
      <c r="GQ3" t="s">
        <v>367</v>
      </c>
      <c r="GR3" t="s">
        <v>382</v>
      </c>
      <c r="GS3" t="s">
        <v>387</v>
      </c>
      <c r="GT3" t="s">
        <v>388</v>
      </c>
      <c r="GU3" t="s">
        <v>391</v>
      </c>
      <c r="GV3" t="s">
        <v>394</v>
      </c>
      <c r="GW3" t="s">
        <v>395</v>
      </c>
      <c r="GX3" t="s">
        <v>396</v>
      </c>
      <c r="GZ3" t="s">
        <v>398</v>
      </c>
      <c r="HA3" t="s">
        <v>333</v>
      </c>
      <c r="HB3" t="s">
        <v>332</v>
      </c>
      <c r="HC3" t="s">
        <v>466</v>
      </c>
      <c r="HD3" t="s">
        <v>467</v>
      </c>
      <c r="HE3" t="s">
        <v>370</v>
      </c>
      <c r="HF3" t="s">
        <v>468</v>
      </c>
      <c r="HG3" t="s">
        <v>332</v>
      </c>
      <c r="HH3" t="s">
        <v>398</v>
      </c>
      <c r="HI3" t="s">
        <v>333</v>
      </c>
      <c r="HJ3" t="s">
        <v>332</v>
      </c>
      <c r="HL3" t="s">
        <v>270</v>
      </c>
      <c r="HM3" t="s">
        <v>330</v>
      </c>
      <c r="HN3" t="s">
        <v>331</v>
      </c>
      <c r="HO3" t="s">
        <v>333</v>
      </c>
      <c r="HP3" t="s">
        <v>370</v>
      </c>
      <c r="HQ3" t="s">
        <v>368</v>
      </c>
      <c r="HR3" t="s">
        <v>369</v>
      </c>
      <c r="HS3" t="s">
        <v>385</v>
      </c>
      <c r="HT3" t="s">
        <v>332</v>
      </c>
      <c r="HU3" t="s">
        <v>367</v>
      </c>
      <c r="HV3" t="s">
        <v>382</v>
      </c>
      <c r="HW3" t="s">
        <v>387</v>
      </c>
      <c r="HX3" t="s">
        <v>388</v>
      </c>
      <c r="HY3" t="s">
        <v>391</v>
      </c>
      <c r="HZ3" t="s">
        <v>394</v>
      </c>
      <c r="IA3" t="s">
        <v>395</v>
      </c>
      <c r="IB3" t="s">
        <v>396</v>
      </c>
      <c r="ID3" t="s">
        <v>398</v>
      </c>
      <c r="IE3" t="s">
        <v>333</v>
      </c>
      <c r="IF3" t="s">
        <v>332</v>
      </c>
      <c r="IG3" t="s">
        <v>466</v>
      </c>
      <c r="IH3" t="s">
        <v>467</v>
      </c>
      <c r="II3" t="s">
        <v>370</v>
      </c>
      <c r="IJ3" t="s">
        <v>468</v>
      </c>
      <c r="IK3" t="s">
        <v>332</v>
      </c>
      <c r="IL3" t="s">
        <v>398</v>
      </c>
      <c r="IM3" t="s">
        <v>333</v>
      </c>
      <c r="IN3" t="s">
        <v>332</v>
      </c>
    </row>
    <row r="4" spans="1:248" x14ac:dyDescent="0.25">
      <c r="A4" s="49" t="s">
        <v>316</v>
      </c>
      <c r="B4" t="s">
        <v>318</v>
      </c>
      <c r="C4" t="s">
        <v>319</v>
      </c>
      <c r="D4" t="s">
        <v>281</v>
      </c>
      <c r="F4" s="30">
        <v>320</v>
      </c>
      <c r="G4" s="38">
        <v>640</v>
      </c>
      <c r="H4" t="b">
        <v>1</v>
      </c>
      <c r="J4" s="29">
        <f>F4</f>
        <v>320</v>
      </c>
      <c r="K4" s="29">
        <f>GetTransactionTotal(AggregateTable2023[], AggregateTable2023[Start], J$1, AggregateTable2023[#Headers], $D4)</f>
        <v>-320</v>
      </c>
      <c r="L4" s="29">
        <f>Buckets_9_23[[#This Row],[Start]]+Buckets_9_23[[#This Row],[Transactions]]</f>
        <v>0</v>
      </c>
      <c r="M4" s="29">
        <f>G4</f>
        <v>640</v>
      </c>
      <c r="N4" s="29">
        <f>Buckets_9_23[[#This Row],[Capacity]]-Buckets_9_23[[#This Row],[After T]]</f>
        <v>640</v>
      </c>
      <c r="O4" s="29">
        <f>IF(Buckets_9_23[[#This Row],[After T]]&lt;0, Buckets_9_23[[#This Row],[After T]], IF(Buckets_9_23[[#This Row],[Cap Diff]]&lt;0, -Buckets_9_23[[#This Row],[Cap Diff]], 0))</f>
        <v>0</v>
      </c>
      <c r="P4" s="29">
        <f>Buckets_9_23[[#This Row],[After T]]-Buckets_9_23[[#This Row],[Slush]]</f>
        <v>0</v>
      </c>
      <c r="Q4" s="29">
        <f>Buckets_9_23[[#This Row],[Capacity]]-Buckets_9_23[[#This Row],[Before Fill]]</f>
        <v>640</v>
      </c>
      <c r="R4" t="b">
        <f t="shared" ref="R4:R35" si="0">H4</f>
        <v>1</v>
      </c>
      <c r="S4" s="29">
        <f>IF(Buckets_9_23[[#This Row],[Is Crit]], Buckets_9_23[[#This Row],[S Cap Diff]], 0)</f>
        <v>640</v>
      </c>
      <c r="T4" s="29">
        <f>Buckets_9_23[[#This Row],[Before Fill]]+Buckets_9_23[[#This Row],[Crit To Fill]]</f>
        <v>640</v>
      </c>
      <c r="U4" s="29">
        <f>IF(NOT(Buckets_9_23[[#This Row],[Is Crit]]), Buckets_9_23[[#This Row],[S Cap Diff]], 0)</f>
        <v>0</v>
      </c>
      <c r="V4" s="31">
        <f>T$41/Buckets_9_23[[#Totals],[NC To Fill]]*Buckets_9_23[[#This Row],[NC To Fill]]</f>
        <v>0</v>
      </c>
      <c r="W4" s="31">
        <f>Buckets_9_23[[#This Row],[Crit Filled]]+Buckets_9_23[[#This Row],[Scaled]]</f>
        <v>640</v>
      </c>
      <c r="X4" s="31">
        <f>Buckets_9_23[[#This Row],[NC Filled]]</f>
        <v>640</v>
      </c>
      <c r="Y4" s="31">
        <f>Buckets_9_23[[#This Row],[Capacity]]-Buckets_9_23[[#This Row],[Final]]</f>
        <v>0</v>
      </c>
      <c r="Z4" s="33">
        <f>IF(Buckets_9_23[[#This Row],[Capacity]]=0, 1, Buckets_9_23[[#This Row],[Final]]/Buckets_9_23[[#This Row],[Capacity]])</f>
        <v>1</v>
      </c>
      <c r="AB4" s="31">
        <f>Buckets_9_23[[#This Row],[Final]]</f>
        <v>640</v>
      </c>
      <c r="AC4" s="31">
        <f>Buckets_9_23[[#This Row],[Capacity]]</f>
        <v>640</v>
      </c>
      <c r="AD4" t="b">
        <f>H4</f>
        <v>1</v>
      </c>
      <c r="AE4" s="43" t="e">
        <f>NA()</f>
        <v>#N/A</v>
      </c>
      <c r="AF4" s="42"/>
      <c r="AG4" s="43" t="e">
        <f>NA()</f>
        <v>#N/A</v>
      </c>
      <c r="AH4" s="42"/>
      <c r="AI4" s="43"/>
      <c r="AJ4" s="31">
        <f>IF(ISBLANK(AF4), AB4, AF4)</f>
        <v>640</v>
      </c>
      <c r="AK4" s="31">
        <f>IF(ISBLANK(AH4), AC4, AH4)</f>
        <v>640</v>
      </c>
      <c r="AL4" t="b">
        <f>IF(ISBLANK(AI4), AD4, AI4)</f>
        <v>1</v>
      </c>
      <c r="AN4" s="29">
        <f>AJ4</f>
        <v>640</v>
      </c>
      <c r="AO4" s="29">
        <f>GetTransactionTotal(AggregateTable2023[], AggregateTable2023[Start], AN$1, AggregateTable2023[#Headers], $D4)</f>
        <v>-320</v>
      </c>
      <c r="AP4" s="29">
        <f>Buckets_10_23[[#This Row],[Start]]+Buckets_10_23[[#This Row],[Transactions]]</f>
        <v>320</v>
      </c>
      <c r="AQ4" s="29">
        <f>AK4</f>
        <v>640</v>
      </c>
      <c r="AR4" s="29">
        <f>Buckets_10_23[[#This Row],[Capacity]]-Buckets_10_23[[#This Row],[After T]]</f>
        <v>320</v>
      </c>
      <c r="AS4" s="29">
        <f>MAX(-Buckets_10_23[[#This Row],[Cap Diff]], 0)</f>
        <v>0</v>
      </c>
      <c r="AT4" s="29">
        <f>Buckets_10_23[[#This Row],[After T]]-Buckets_10_23[[#This Row],[Slush]]</f>
        <v>320</v>
      </c>
      <c r="AU4" s="29">
        <f>Buckets_10_23[[#This Row],[Capacity]]-Buckets_10_23[[#This Row],[Before Fill]]</f>
        <v>320</v>
      </c>
      <c r="AV4" t="b">
        <f>OR(AL4, Buckets_10_23[[#This Row],[After T]]&lt;0)</f>
        <v>1</v>
      </c>
      <c r="AW4" s="29">
        <f>IF(Buckets_10_23[[#This Row],[Is Crit]], Buckets_10_23[[#This Row],[S Cap Diff]], 0)</f>
        <v>320</v>
      </c>
      <c r="AX4" s="29">
        <f>Buckets_10_23[[#This Row],[Before Fill]]+Buckets_10_23[[#This Row],[Crit To Fill]]</f>
        <v>640</v>
      </c>
      <c r="AY4" s="29">
        <f>IF(NOT(Buckets_10_23[[#This Row],[Is Crit]]), Buckets_10_23[[#This Row],[S Cap Diff]], 0)</f>
        <v>0</v>
      </c>
      <c r="AZ4" s="31">
        <f>AX$41/Buckets_10_23[[#Totals],[NC To Fill]]*Buckets_10_23[[#This Row],[NC To Fill]]</f>
        <v>0</v>
      </c>
      <c r="BA4" s="31">
        <f>Buckets_10_23[[#This Row],[Crit Filled]]+Buckets_10_23[[#This Row],[Scaled]]</f>
        <v>640</v>
      </c>
      <c r="BB4" s="31">
        <f>Buckets_10_23[[#This Row],[NC Filled]]</f>
        <v>640</v>
      </c>
      <c r="BC4" s="31">
        <f>Buckets_10_23[[#This Row],[Capacity]]-Buckets_10_23[[#This Row],[Final]]</f>
        <v>0</v>
      </c>
      <c r="BD4" s="33">
        <f>IF(Buckets_10_23[[#This Row],[Capacity]]=0, 1, Buckets_10_23[[#This Row],[Final]]/Buckets_10_23[[#This Row],[Capacity]])</f>
        <v>1</v>
      </c>
      <c r="BF4" s="31">
        <f>Buckets_10_23[[#This Row],[Final]]</f>
        <v>640</v>
      </c>
      <c r="BG4" s="31">
        <f>Buckets_10_23[[#This Row],[Capacity]]</f>
        <v>640</v>
      </c>
      <c r="BH4" t="b">
        <f>AL4</f>
        <v>1</v>
      </c>
      <c r="BI4" s="43" t="e">
        <f>NA()</f>
        <v>#N/A</v>
      </c>
      <c r="BJ4" s="42"/>
      <c r="BK4" s="43" t="e">
        <f>NA()</f>
        <v>#N/A</v>
      </c>
      <c r="BL4" s="42"/>
      <c r="BM4" s="43"/>
      <c r="BN4" s="31">
        <f>IF(ISBLANK(BJ4), BF4, BJ4)</f>
        <v>640</v>
      </c>
      <c r="BO4" s="31">
        <f t="shared" ref="BO4:BO35" si="1">IF(ISBLANK(BL4), BG4, BL4)</f>
        <v>640</v>
      </c>
      <c r="BP4" t="b">
        <f t="shared" ref="BP4:BP35" si="2">IF(ISBLANK(BM4), BH4, BM4)</f>
        <v>1</v>
      </c>
      <c r="BR4" s="29">
        <f>BN4</f>
        <v>640</v>
      </c>
      <c r="BS4" s="29">
        <f>GetTransactionTotal(AggregateTable2023[], AggregateTable2023[Start], BR$1, AggregateTable2023[#Headers], $D4)</f>
        <v>-320</v>
      </c>
      <c r="BT4" s="29">
        <f>Buckets_11_23[[#This Row],[Start]]+Buckets_11_23[[#This Row],[Transactions]]</f>
        <v>320</v>
      </c>
      <c r="BU4" s="29">
        <f>BO4</f>
        <v>640</v>
      </c>
      <c r="BV4" s="29">
        <f>Buckets_11_23[[#This Row],[Capacity]]-Buckets_11_23[[#This Row],[After T]]</f>
        <v>320</v>
      </c>
      <c r="BW4" s="29">
        <f>MAX(-Buckets_11_23[[#This Row],[Cap Diff]], 0)</f>
        <v>0</v>
      </c>
      <c r="BX4" s="29">
        <f>Buckets_11_23[[#This Row],[After T]]-Buckets_11_23[[#This Row],[Slush]]</f>
        <v>320</v>
      </c>
      <c r="BY4" s="29">
        <f>Buckets_11_23[[#This Row],[Capacity]]-Buckets_11_23[[#This Row],[Before Fill]]</f>
        <v>320</v>
      </c>
      <c r="BZ4" t="b">
        <f>OR(BP4, Buckets_11_23[[#This Row],[After T]]&lt;0)</f>
        <v>1</v>
      </c>
      <c r="CA4" s="29">
        <f>IF(Buckets_11_23[[#This Row],[Is Crit]], Buckets_11_23[[#This Row],[S Cap Diff]], 0)</f>
        <v>320</v>
      </c>
      <c r="CB4" s="29">
        <f>Buckets_11_23[[#This Row],[Before Fill]]+Buckets_11_23[[#This Row],[Crit To Fill]]</f>
        <v>640</v>
      </c>
      <c r="CC4" s="29">
        <f>IF(NOT(Buckets_11_23[[#This Row],[Is Crit]]), Buckets_11_23[[#This Row],[S Cap Diff]], 0)</f>
        <v>0</v>
      </c>
      <c r="CD4" s="31">
        <f>CB$41/Buckets_11_23[[#Totals],[NC To Fill]]*Buckets_11_23[[#This Row],[NC To Fill]]</f>
        <v>0</v>
      </c>
      <c r="CE4" s="31">
        <f>Buckets_11_23[[#This Row],[Crit Filled]]+Buckets_11_23[[#This Row],[Scaled]]</f>
        <v>640</v>
      </c>
      <c r="CF4" s="31">
        <f>Buckets_11_23[[#This Row],[NC Filled]]</f>
        <v>640</v>
      </c>
      <c r="CG4" s="31">
        <f>Buckets_11_23[[#This Row],[Capacity]]-Buckets_11_23[[#This Row],[Final]]</f>
        <v>0</v>
      </c>
      <c r="CH4" s="33">
        <f>IF(Buckets_11_23[[#This Row],[Capacity]]=0, 1, Buckets_11_23[[#This Row],[Final]]/Buckets_11_23[[#This Row],[Capacity]])</f>
        <v>1</v>
      </c>
      <c r="CJ4" s="40">
        <f>Buckets_11_23[[#This Row],[Final]]</f>
        <v>640</v>
      </c>
      <c r="CK4" s="40">
        <f>Buckets_11_23[[#This Row],[Capacity]]</f>
        <v>640</v>
      </c>
      <c r="CL4" s="41" t="b">
        <f>BP4</f>
        <v>1</v>
      </c>
      <c r="CM4" s="42"/>
      <c r="CN4" s="42"/>
      <c r="CO4" s="42" t="e">
        <f>NA()</f>
        <v>#N/A</v>
      </c>
      <c r="CP4" s="42"/>
      <c r="CQ4" s="43"/>
      <c r="CR4" s="40">
        <f>IF(NOT(ISBLANK(CN4)), CN4,
IF(NOT(ISBLANK(CM4)), CJ4+CM4,
CJ4))</f>
        <v>640</v>
      </c>
      <c r="CS4" s="40">
        <f t="shared" ref="CS4:CS35" si="3">IF(ISBLANK(CP4), CK4, CP4)</f>
        <v>640</v>
      </c>
      <c r="CT4" s="41" t="b">
        <f t="shared" ref="CT4:CT35" si="4">IF(ISBLANK(CQ4), CL4, CQ4)</f>
        <v>1</v>
      </c>
      <c r="CV4" s="29">
        <f>CR4</f>
        <v>640</v>
      </c>
      <c r="CW4" s="29">
        <f>GetTransactionTotal(AggregateTable2023[], AggregateTable2023[Start], CV$1, AggregateTable2023[#Headers], $D4)</f>
        <v>-320</v>
      </c>
      <c r="CX4" s="29">
        <f>Buckets_12_23[[#This Row],[Start]]+Buckets_12_23[[#This Row],[Transactions]]</f>
        <v>320</v>
      </c>
      <c r="CY4" s="29">
        <f>CS4</f>
        <v>640</v>
      </c>
      <c r="CZ4" s="29">
        <f>Buckets_12_23[[#This Row],[Capacity]]-Buckets_12_23[[#This Row],[After T]]</f>
        <v>320</v>
      </c>
      <c r="DA4" s="29">
        <f>MAX(-Buckets_12_23[[#This Row],[Cap Diff]], 0)</f>
        <v>0</v>
      </c>
      <c r="DB4" s="29">
        <f>Buckets_12_23[[#This Row],[After T]]-Buckets_12_23[[#This Row],[Slush]]</f>
        <v>320</v>
      </c>
      <c r="DC4" s="29">
        <f>Buckets_12_23[[#This Row],[Capacity]]-Buckets_12_23[[#This Row],[Before Fill]]</f>
        <v>320</v>
      </c>
      <c r="DD4" t="b">
        <f>OR(CT4, Buckets_12_23[[#This Row],[After T]]&lt;0)</f>
        <v>1</v>
      </c>
      <c r="DE4" s="29">
        <f>IF(Buckets_12_23[[#This Row],[Is Crit]], Buckets_12_23[[#This Row],[S Cap Diff]], 0)</f>
        <v>320</v>
      </c>
      <c r="DF4" s="29">
        <f>Buckets_12_23[[#This Row],[Before Fill]]+Buckets_12_23[[#This Row],[Crit To Fill]]</f>
        <v>640</v>
      </c>
      <c r="DG4" s="29">
        <f>IF(NOT(Buckets_12_23[[#This Row],[Is Crit]]), Buckets_12_23[[#This Row],[S Cap Diff]], 0)</f>
        <v>0</v>
      </c>
      <c r="DH4" s="31">
        <f>DF$41/Buckets_12_23[[#Totals],[NC To Fill]]*Buckets_12_23[[#This Row],[NC To Fill]]</f>
        <v>0</v>
      </c>
      <c r="DI4" s="31">
        <f>Buckets_12_23[[#This Row],[Crit Filled]]+Buckets_12_23[[#This Row],[Scaled]]</f>
        <v>640</v>
      </c>
      <c r="DJ4" s="31">
        <f>Buckets_12_23[[#This Row],[NC Filled]]</f>
        <v>640</v>
      </c>
      <c r="DK4" s="31">
        <f>Buckets_12_23[[#This Row],[Capacity]]-Buckets_12_23[[#This Row],[Final]]</f>
        <v>0</v>
      </c>
      <c r="DL4" s="33">
        <f>IF(Buckets_12_23[[#This Row],[Capacity]]=0, 1, Buckets_12_23[[#This Row],[Final]]/Buckets_12_23[[#This Row],[Capacity]])</f>
        <v>1</v>
      </c>
      <c r="DN4" s="40">
        <f>Buckets_12_23[[#This Row],[Final]]</f>
        <v>640</v>
      </c>
      <c r="DO4" s="40">
        <f>Buckets_12_23[[#This Row],[Capacity]]</f>
        <v>640</v>
      </c>
      <c r="DP4" s="41" t="b">
        <f>CT4</f>
        <v>1</v>
      </c>
      <c r="DQ4" s="42"/>
      <c r="DR4" s="42"/>
      <c r="DS4" s="42" t="e">
        <f>NA()</f>
        <v>#N/A</v>
      </c>
      <c r="DT4" s="42"/>
      <c r="DU4" s="43"/>
      <c r="DV4" s="40">
        <f>IF(NOT(ISBLANK(DR4)), DR4,
IF(NOT(ISBLANK(DQ4)), DN4+DQ4,
DN4))</f>
        <v>640</v>
      </c>
      <c r="DW4" s="40">
        <f t="shared" ref="DW4:DW35" si="5">IF(ISBLANK(DT4), DO4, DT4)</f>
        <v>640</v>
      </c>
      <c r="DX4" s="41" t="b">
        <f t="shared" ref="DX4:DX35" si="6">IF(ISBLANK(DU4), DP4, DU4)</f>
        <v>1</v>
      </c>
      <c r="DZ4" s="29">
        <f>DV4</f>
        <v>640</v>
      </c>
      <c r="EA4" s="29">
        <f>GetTransactionTotal(AggregateTable2024[], AggregateTable2024[Start], DZ$1, AggregateTable2024[#Headers], $D4)</f>
        <v>-320</v>
      </c>
      <c r="EB4" s="29">
        <f>Buckets_1_24[[#This Row],[Start]]+Buckets_1_24[[#This Row],[Transactions]]</f>
        <v>320</v>
      </c>
      <c r="EC4" s="29">
        <f>DW4</f>
        <v>640</v>
      </c>
      <c r="ED4" s="29">
        <f>Buckets_1_24[[#This Row],[Capacity]]-Buckets_1_24[[#This Row],[After T]]</f>
        <v>320</v>
      </c>
      <c r="EE4" s="29">
        <f>MAX(-Buckets_1_24[[#This Row],[Cap Diff]], 0)</f>
        <v>0</v>
      </c>
      <c r="EF4" s="29">
        <f>Buckets_1_24[[#This Row],[After T]]-Buckets_1_24[[#This Row],[Slush]]</f>
        <v>320</v>
      </c>
      <c r="EG4" s="29">
        <f>Buckets_1_24[[#This Row],[Capacity]]-Buckets_1_24[[#This Row],[Before Fill]]</f>
        <v>320</v>
      </c>
      <c r="EH4" t="b">
        <f>OR(DX4, Buckets_1_24[[#This Row],[After T]]&lt;0)</f>
        <v>1</v>
      </c>
      <c r="EI4" s="29">
        <f>IF(Buckets_1_24[[#This Row],[Is Crit]], Buckets_1_24[[#This Row],[S Cap Diff]], 0)</f>
        <v>320</v>
      </c>
      <c r="EJ4" s="29">
        <f>Buckets_1_24[[#This Row],[Before Fill]]+Buckets_1_24[[#This Row],[Crit To Fill]]</f>
        <v>640</v>
      </c>
      <c r="EK4" s="29">
        <f>IF(NOT(Buckets_1_24[[#This Row],[Is Crit]]), Buckets_1_24[[#This Row],[S Cap Diff]], 0)</f>
        <v>0</v>
      </c>
      <c r="EL4" s="31">
        <f>EJ$41/Buckets_1_24[[#Totals],[NC To Fill]]*Buckets_1_24[[#This Row],[NC To Fill]]</f>
        <v>0</v>
      </c>
      <c r="EM4" s="31">
        <f>Buckets_1_24[[#This Row],[Crit Filled]]+Buckets_1_24[[#This Row],[Scaled]]</f>
        <v>640</v>
      </c>
      <c r="EN4" s="31">
        <f>Buckets_1_24[[#This Row],[NC Filled]]</f>
        <v>640</v>
      </c>
      <c r="EO4" s="31">
        <f>Buckets_1_24[[#This Row],[Capacity]]-Buckets_1_24[[#This Row],[Final]]</f>
        <v>0</v>
      </c>
      <c r="EP4" s="33">
        <f>IF(Buckets_1_24[[#This Row],[Capacity]]=0, 1, Buckets_1_24[[#This Row],[Final]]/Buckets_1_24[[#This Row],[Capacity]])</f>
        <v>1</v>
      </c>
      <c r="ER4" s="40">
        <f>Buckets_1_24[[#This Row],[Final]]</f>
        <v>640</v>
      </c>
      <c r="ES4" s="40">
        <f>Buckets_1_24[[#This Row],[Capacity]]</f>
        <v>640</v>
      </c>
      <c r="ET4" s="41" t="b">
        <f>DX4</f>
        <v>1</v>
      </c>
      <c r="EU4" s="42"/>
      <c r="EV4" s="42"/>
      <c r="EW4" s="42"/>
      <c r="EX4" s="42">
        <v>0</v>
      </c>
      <c r="EY4" s="43"/>
      <c r="EZ4" s="40">
        <f>IF(NOT(ISBLANK(EV4)), EV4,
IF(NOT(ISBLANK(EU4)), ER4+EU4,
ER4))</f>
        <v>640</v>
      </c>
      <c r="FA4" s="40">
        <f>IF(NOT(ISBLANK(EX4)), EX4,
IF(NOT(ISBLANK(EW4)), ES4+EW4,
ES4))</f>
        <v>0</v>
      </c>
      <c r="FB4" s="41" t="b">
        <f t="shared" ref="FB4:FB35" si="7">IF(ISBLANK(EY4), ET4, EY4)</f>
        <v>1</v>
      </c>
      <c r="FD4" s="29">
        <f>EZ4</f>
        <v>640</v>
      </c>
      <c r="FE4" s="29">
        <f>GetTransactionTotal(AggregateTable2024[], AggregateTable2024[Start], FD$1, AggregateTable2024[#Headers], $D4)</f>
        <v>0</v>
      </c>
      <c r="FF4" s="29">
        <f>Buckets_2_24[[#This Row],[Start]]+Buckets_2_24[[#This Row],[Transactions]]</f>
        <v>640</v>
      </c>
      <c r="FG4" s="29">
        <f>FA4</f>
        <v>0</v>
      </c>
      <c r="FH4" s="29">
        <f>Buckets_2_24[[#This Row],[Capacity]]-Buckets_2_24[[#This Row],[After T]]</f>
        <v>-640</v>
      </c>
      <c r="FI4" s="29">
        <f>MAX(-Buckets_2_24[[#This Row],[Cap Diff]], 0)</f>
        <v>640</v>
      </c>
      <c r="FJ4" s="29">
        <f>Buckets_2_24[[#This Row],[After T]]-Buckets_2_24[[#This Row],[Slush]]</f>
        <v>0</v>
      </c>
      <c r="FK4" s="29">
        <f>Buckets_2_24[[#This Row],[Capacity]]-Buckets_2_24[[#This Row],[Before Fill]]</f>
        <v>0</v>
      </c>
      <c r="FL4" t="b">
        <f>OR(FB4, Buckets_2_24[[#This Row],[After T]]&lt;0)</f>
        <v>1</v>
      </c>
      <c r="FM4" s="29">
        <f>IF(Buckets_2_24[[#This Row],[Is Crit]], Buckets_2_24[[#This Row],[S Cap Diff]], 0)</f>
        <v>0</v>
      </c>
      <c r="FN4" s="29">
        <f>Buckets_2_24[[#This Row],[Before Fill]]+Buckets_2_24[[#This Row],[Crit To Fill]]</f>
        <v>0</v>
      </c>
      <c r="FO4" s="29">
        <f>IF(NOT(Buckets_2_24[[#This Row],[Is Crit]]), Buckets_2_24[[#This Row],[S Cap Diff]], 0)</f>
        <v>0</v>
      </c>
      <c r="FP4" s="31">
        <f>FN$41/Buckets_2_24[[#Totals],[NC To Fill]]*Buckets_2_24[[#This Row],[NC To Fill]]</f>
        <v>0</v>
      </c>
      <c r="FQ4" s="31">
        <f>Buckets_2_24[[#This Row],[Crit Filled]]+Buckets_2_24[[#This Row],[Scaled]]</f>
        <v>0</v>
      </c>
      <c r="FR4" s="31">
        <f>Buckets_2_24[[#This Row],[NC Filled]]</f>
        <v>0</v>
      </c>
      <c r="FS4" s="31">
        <f>Buckets_2_24[[#This Row],[Capacity]]-Buckets_2_24[[#This Row],[Final]]</f>
        <v>0</v>
      </c>
      <c r="FT4" s="33">
        <f>IF(Buckets_2_24[[#This Row],[Capacity]]=0, 1, Buckets_2_24[[#This Row],[Final]]/Buckets_2_24[[#This Row],[Capacity]])</f>
        <v>1</v>
      </c>
      <c r="FV4" s="40">
        <f>Buckets_2_24[[#This Row],[Final]]</f>
        <v>0</v>
      </c>
      <c r="FW4" s="40">
        <f>Buckets_2_24[[#This Row],[Capacity]]</f>
        <v>0</v>
      </c>
      <c r="FX4" s="41" t="b">
        <f>FB4</f>
        <v>1</v>
      </c>
      <c r="FY4" s="42"/>
      <c r="FZ4" s="42"/>
      <c r="GA4" s="42"/>
      <c r="GB4" s="42"/>
      <c r="GC4" s="43"/>
      <c r="GD4" s="40">
        <f>IF(NOT(ISBLANK(FZ4)), FZ4,
IF(NOT(ISBLANK(FY4)), FV4+FY4,
FV4))</f>
        <v>0</v>
      </c>
      <c r="GE4" s="40">
        <f>IF(NOT(ISBLANK(GB4)), GB4,
IF(NOT(ISBLANK(GA4)), FW4+GA4,
FW4))</f>
        <v>0</v>
      </c>
      <c r="GF4" s="41" t="b">
        <f t="shared" ref="GF4:GF35" si="8">IF(ISBLANK(GC4), FX4, GC4)</f>
        <v>1</v>
      </c>
      <c r="GH4" s="29">
        <f>GD4</f>
        <v>0</v>
      </c>
      <c r="GI4" s="29">
        <f>GetTransactionTotal(AggregateTable2024[], AggregateTable2024[Start], GH$1, AggregateTable2024[#Headers], $D4)</f>
        <v>0</v>
      </c>
      <c r="GJ4" s="29">
        <f>Buckets_3_24[[#This Row],[Start]]+Buckets_3_24[[#This Row],[Transactions]]</f>
        <v>0</v>
      </c>
      <c r="GK4" s="29">
        <f>GE4</f>
        <v>0</v>
      </c>
      <c r="GL4" s="29">
        <f>Buckets_3_24[[#This Row],[Capacity]]-Buckets_3_24[[#This Row],[After T]]</f>
        <v>0</v>
      </c>
      <c r="GM4" s="29">
        <f>MAX(-Buckets_3_24[[#This Row],[Cap Diff]], 0)</f>
        <v>0</v>
      </c>
      <c r="GN4" s="29">
        <f>Buckets_3_24[[#This Row],[After T]]-Buckets_3_24[[#This Row],[Slush]]</f>
        <v>0</v>
      </c>
      <c r="GO4" s="29">
        <f>Buckets_3_24[[#This Row],[Capacity]]-Buckets_3_24[[#This Row],[Before Fill]]</f>
        <v>0</v>
      </c>
      <c r="GP4" t="b">
        <f>OR(GF4, Buckets_3_24[[#This Row],[After T]]&lt;0)</f>
        <v>1</v>
      </c>
      <c r="GQ4" s="29">
        <f>IF(Buckets_3_24[[#This Row],[Is Crit]], Buckets_3_24[[#This Row],[S Cap Diff]], 0)</f>
        <v>0</v>
      </c>
      <c r="GR4" s="29">
        <f>Buckets_3_24[[#This Row],[Before Fill]]+Buckets_3_24[[#This Row],[Crit To Fill]]</f>
        <v>0</v>
      </c>
      <c r="GS4" s="29">
        <f>IF(NOT(Buckets_3_24[[#This Row],[Is Crit]]), Buckets_3_24[[#This Row],[S Cap Diff]], 0)</f>
        <v>0</v>
      </c>
      <c r="GT4" s="31">
        <f>GR$41/Buckets_3_24[[#Totals],[NC To Fill]]*Buckets_3_24[[#This Row],[NC To Fill]]</f>
        <v>0</v>
      </c>
      <c r="GU4" s="31">
        <f>Buckets_3_24[[#This Row],[Crit Filled]]+Buckets_3_24[[#This Row],[Scaled]]</f>
        <v>0</v>
      </c>
      <c r="GV4" s="31">
        <f>Buckets_3_24[[#This Row],[NC Filled]]</f>
        <v>0</v>
      </c>
      <c r="GW4" s="31">
        <f>Buckets_3_24[[#This Row],[Capacity]]-Buckets_3_24[[#This Row],[Final]]</f>
        <v>0</v>
      </c>
      <c r="GX4" s="33">
        <f>IF(Buckets_3_24[[#This Row],[Capacity]]=0, 1, Buckets_3_24[[#This Row],[Final]]/Buckets_3_24[[#This Row],[Capacity]])</f>
        <v>1</v>
      </c>
      <c r="GZ4" s="40">
        <f>Buckets_3_24[[#This Row],[Final]]</f>
        <v>0</v>
      </c>
      <c r="HA4" s="40">
        <f>Buckets_3_24[[#This Row],[Capacity]]</f>
        <v>0</v>
      </c>
      <c r="HB4" s="41" t="b">
        <f>GF4</f>
        <v>1</v>
      </c>
      <c r="HC4" s="42"/>
      <c r="HD4" s="42"/>
      <c r="HE4" s="42"/>
      <c r="HF4" s="42"/>
      <c r="HG4" s="43"/>
      <c r="HH4" s="40">
        <f>IF(NOT(ISBLANK(HD4)), HD4,
IF(NOT(ISBLANK(HC4)), GZ4+HC4,
GZ4))</f>
        <v>0</v>
      </c>
      <c r="HI4" s="40">
        <f>IF(NOT(ISBLANK(HF4)), HF4,
IF(NOT(ISBLANK(HE4)), HA4+HE4,
HA4))</f>
        <v>0</v>
      </c>
      <c r="HJ4" s="41" t="b">
        <f t="shared" ref="HJ4:HJ35" si="9">IF(ISBLANK(HG4), HB4, HG4)</f>
        <v>1</v>
      </c>
      <c r="HL4" s="29">
        <f>HH4</f>
        <v>0</v>
      </c>
      <c r="HM4" s="29">
        <f>GetTransactionTotal(AggregateTable2024[], AggregateTable2024[Start], HL$1, AggregateTable2024[#Headers], $D4)</f>
        <v>0</v>
      </c>
      <c r="HN4" s="29">
        <f>Buckets_4_24[[#This Row],[Start]]+Buckets_4_24[[#This Row],[Transactions]]</f>
        <v>0</v>
      </c>
      <c r="HO4" s="29">
        <f>HI4</f>
        <v>0</v>
      </c>
      <c r="HP4" s="29">
        <f>Buckets_4_24[[#This Row],[Capacity]]-Buckets_4_24[[#This Row],[After T]]</f>
        <v>0</v>
      </c>
      <c r="HQ4" s="29">
        <f>MAX(-Buckets_4_24[[#This Row],[Cap Diff]], 0)</f>
        <v>0</v>
      </c>
      <c r="HR4" s="29">
        <f>Buckets_4_24[[#This Row],[After T]]-Buckets_4_24[[#This Row],[Slush]]</f>
        <v>0</v>
      </c>
      <c r="HS4" s="29">
        <f>Buckets_4_24[[#This Row],[Capacity]]-Buckets_4_24[[#This Row],[Before Fill]]</f>
        <v>0</v>
      </c>
      <c r="HT4" t="b">
        <f>OR(HJ4, Buckets_4_24[[#This Row],[After T]]&lt;0)</f>
        <v>1</v>
      </c>
      <c r="HU4" s="29">
        <f>IF(Buckets_4_24[[#This Row],[Is Crit]], Buckets_4_24[[#This Row],[S Cap Diff]], 0)</f>
        <v>0</v>
      </c>
      <c r="HV4" s="29">
        <f>Buckets_4_24[[#This Row],[Before Fill]]+Buckets_4_24[[#This Row],[Crit To Fill]]</f>
        <v>0</v>
      </c>
      <c r="HW4" s="29">
        <f>IF(NOT(Buckets_4_24[[#This Row],[Is Crit]]), Buckets_4_24[[#This Row],[S Cap Diff]], 0)</f>
        <v>0</v>
      </c>
      <c r="HX4" s="31">
        <f>HV$41/Buckets_4_24[[#Totals],[NC To Fill]]*Buckets_4_24[[#This Row],[NC To Fill]]</f>
        <v>0</v>
      </c>
      <c r="HY4" s="31">
        <f>Buckets_4_24[[#This Row],[Crit Filled]]+Buckets_4_24[[#This Row],[Scaled]]</f>
        <v>0</v>
      </c>
      <c r="HZ4" s="31">
        <f>Buckets_4_24[[#This Row],[NC Filled]]</f>
        <v>0</v>
      </c>
      <c r="IA4" s="31">
        <f>Buckets_4_24[[#This Row],[Capacity]]-Buckets_4_24[[#This Row],[Final]]</f>
        <v>0</v>
      </c>
      <c r="IB4" s="33">
        <f>IF(Buckets_4_24[[#This Row],[Capacity]]=0, 1, Buckets_4_24[[#This Row],[Final]]/Buckets_4_24[[#This Row],[Capacity]])</f>
        <v>1</v>
      </c>
      <c r="ID4" s="40">
        <f>Buckets_4_24[[#This Row],[Final]]</f>
        <v>0</v>
      </c>
      <c r="IE4" s="40">
        <f>Buckets_4_24[[#This Row],[Capacity]]</f>
        <v>0</v>
      </c>
      <c r="IF4" s="41" t="b">
        <f>HJ4</f>
        <v>1</v>
      </c>
      <c r="IG4" s="42"/>
      <c r="IH4" s="42"/>
      <c r="II4" s="42"/>
      <c r="IJ4" s="42"/>
      <c r="IK4" s="43"/>
      <c r="IL4" s="40">
        <f>IF(NOT(ISBLANK(IH4)), IH4,
IF(NOT(ISBLANK(IG4)), ID4+IG4,
ID4))</f>
        <v>0</v>
      </c>
      <c r="IM4" s="40">
        <f>IF(NOT(ISBLANK(IJ4)), IJ4,
IF(NOT(ISBLANK(II4)), IE4+II4,
IE4))</f>
        <v>0</v>
      </c>
      <c r="IN4" s="41" t="b">
        <f t="shared" ref="IN4:IN35" si="10">IF(ISBLANK(IK4), IF4, IK4)</f>
        <v>1</v>
      </c>
    </row>
    <row r="5" spans="1:248" x14ac:dyDescent="0.25">
      <c r="A5" s="49"/>
      <c r="B5" t="s">
        <v>318</v>
      </c>
      <c r="C5" t="s">
        <v>320</v>
      </c>
      <c r="D5" t="s">
        <v>282</v>
      </c>
      <c r="F5" s="30">
        <v>150</v>
      </c>
      <c r="G5" s="38">
        <v>400</v>
      </c>
      <c r="H5" t="b">
        <v>1</v>
      </c>
      <c r="J5" s="29">
        <f t="shared" ref="J5:J35" si="11">F5</f>
        <v>150</v>
      </c>
      <c r="K5" s="29">
        <f>GetTransactionTotal(AggregateTable2023[], AggregateTable2023[Start], J$1, AggregateTable2023[#Headers], $D5)</f>
        <v>-145.84</v>
      </c>
      <c r="L5" s="29">
        <f>Buckets_9_23[[#This Row],[Start]]+Buckets_9_23[[#This Row],[Transactions]]</f>
        <v>4.1599999999999966</v>
      </c>
      <c r="M5" s="29">
        <f t="shared" ref="M5:M35" si="12">G5</f>
        <v>400</v>
      </c>
      <c r="N5" s="29">
        <f>Buckets_9_23[[#This Row],[Capacity]]-Buckets_9_23[[#This Row],[After T]]</f>
        <v>395.84000000000003</v>
      </c>
      <c r="O5" s="29">
        <f>IF(Buckets_9_23[[#This Row],[After T]]&lt;0, Buckets_9_23[[#This Row],[After T]], IF(Buckets_9_23[[#This Row],[Cap Diff]]&lt;0, -Buckets_9_23[[#This Row],[Cap Diff]], 0))</f>
        <v>0</v>
      </c>
      <c r="P5" s="29">
        <f>Buckets_9_23[[#This Row],[After T]]-Buckets_9_23[[#This Row],[Slush]]</f>
        <v>4.1599999999999966</v>
      </c>
      <c r="Q5" s="29">
        <f>Buckets_9_23[[#This Row],[Capacity]]-Buckets_9_23[[#This Row],[Before Fill]]</f>
        <v>395.84000000000003</v>
      </c>
      <c r="R5" t="b">
        <f t="shared" si="0"/>
        <v>1</v>
      </c>
      <c r="S5" s="29">
        <f>IF(Buckets_9_23[[#This Row],[Is Crit]], Buckets_9_23[[#This Row],[S Cap Diff]], 0)</f>
        <v>395.84000000000003</v>
      </c>
      <c r="T5" s="29">
        <f>Buckets_9_23[[#This Row],[Before Fill]]+Buckets_9_23[[#This Row],[Crit To Fill]]</f>
        <v>400</v>
      </c>
      <c r="U5" s="29">
        <f>IF(NOT(Buckets_9_23[[#This Row],[Is Crit]]), Buckets_9_23[[#This Row],[S Cap Diff]], 0)</f>
        <v>0</v>
      </c>
      <c r="V5" s="31">
        <f>T$41/Buckets_9_23[[#Totals],[NC To Fill]]*Buckets_9_23[[#This Row],[NC To Fill]]</f>
        <v>0</v>
      </c>
      <c r="W5" s="31">
        <f>Buckets_9_23[[#This Row],[Crit Filled]]+Buckets_9_23[[#This Row],[Scaled]]</f>
        <v>400</v>
      </c>
      <c r="X5" s="31">
        <f>Buckets_9_23[[#This Row],[NC Filled]]</f>
        <v>400</v>
      </c>
      <c r="Y5" s="31">
        <f>Buckets_9_23[[#This Row],[Capacity]]-Buckets_9_23[[#This Row],[Final]]</f>
        <v>0</v>
      </c>
      <c r="Z5" s="33">
        <f>IF(Buckets_9_23[[#This Row],[Capacity]]=0, 1, Buckets_9_23[[#This Row],[Final]]/Buckets_9_23[[#This Row],[Capacity]])</f>
        <v>1</v>
      </c>
      <c r="AB5" s="31">
        <f>Buckets_9_23[[#This Row],[Final]]</f>
        <v>400</v>
      </c>
      <c r="AC5" s="31">
        <f>Buckets_9_23[[#This Row],[Capacity]]</f>
        <v>400</v>
      </c>
      <c r="AD5" t="b">
        <f t="shared" ref="AD5:AD35" si="13">H5</f>
        <v>1</v>
      </c>
      <c r="AE5" s="43" t="e">
        <f>NA()</f>
        <v>#N/A</v>
      </c>
      <c r="AF5" s="42"/>
      <c r="AG5" s="43" t="e">
        <f>NA()</f>
        <v>#N/A</v>
      </c>
      <c r="AH5" s="42"/>
      <c r="AI5" s="43"/>
      <c r="AJ5" s="31">
        <f t="shared" ref="AJ5:AJ35" si="14">IF(ISBLANK(AF5), AB5, AF5)</f>
        <v>400</v>
      </c>
      <c r="AK5" s="31">
        <f t="shared" ref="AK5:AK35" si="15">IF(ISBLANK(AH5), AC5, AH5)</f>
        <v>400</v>
      </c>
      <c r="AL5" t="b">
        <f t="shared" ref="AL5:AL35" si="16">IF(ISBLANK(AI5), AD5, AI5)</f>
        <v>1</v>
      </c>
      <c r="AN5" s="29">
        <f t="shared" ref="AN5:AN35" si="17">AJ5</f>
        <v>400</v>
      </c>
      <c r="AO5" s="29">
        <f>GetTransactionTotal(AggregateTable2023[], AggregateTable2023[Start], AN$1, AggregateTable2023[#Headers], $D5)</f>
        <v>-136.07</v>
      </c>
      <c r="AP5" s="29">
        <f>Buckets_10_23[[#This Row],[Start]]+Buckets_10_23[[#This Row],[Transactions]]</f>
        <v>263.93</v>
      </c>
      <c r="AQ5" s="29">
        <f t="shared" ref="AQ5:AQ35" si="18">AK5</f>
        <v>400</v>
      </c>
      <c r="AR5" s="29">
        <f>Buckets_10_23[[#This Row],[Capacity]]-Buckets_10_23[[#This Row],[After T]]</f>
        <v>136.07</v>
      </c>
      <c r="AS5" s="29">
        <f>MAX(-Buckets_10_23[[#This Row],[Cap Diff]], 0)</f>
        <v>0</v>
      </c>
      <c r="AT5" s="29">
        <f>Buckets_10_23[[#This Row],[After T]]-Buckets_10_23[[#This Row],[Slush]]</f>
        <v>263.93</v>
      </c>
      <c r="AU5" s="29">
        <f>Buckets_10_23[[#This Row],[Capacity]]-Buckets_10_23[[#This Row],[Before Fill]]</f>
        <v>136.07</v>
      </c>
      <c r="AV5" t="b">
        <f>OR(AL5, Buckets_10_23[[#This Row],[After T]]&lt;0)</f>
        <v>1</v>
      </c>
      <c r="AW5" s="29">
        <f>IF(Buckets_10_23[[#This Row],[Is Crit]], Buckets_10_23[[#This Row],[S Cap Diff]], 0)</f>
        <v>136.07</v>
      </c>
      <c r="AX5" s="29">
        <f>Buckets_10_23[[#This Row],[Before Fill]]+Buckets_10_23[[#This Row],[Crit To Fill]]</f>
        <v>400</v>
      </c>
      <c r="AY5" s="29">
        <f>IF(NOT(Buckets_10_23[[#This Row],[Is Crit]]), Buckets_10_23[[#This Row],[S Cap Diff]], 0)</f>
        <v>0</v>
      </c>
      <c r="AZ5" s="31">
        <f>AX$41/Buckets_10_23[[#Totals],[NC To Fill]]*Buckets_10_23[[#This Row],[NC To Fill]]</f>
        <v>0</v>
      </c>
      <c r="BA5" s="31">
        <f>Buckets_10_23[[#This Row],[Crit Filled]]+Buckets_10_23[[#This Row],[Scaled]]</f>
        <v>400</v>
      </c>
      <c r="BB5" s="31">
        <f>Buckets_10_23[[#This Row],[NC Filled]]</f>
        <v>400</v>
      </c>
      <c r="BC5" s="31">
        <f>Buckets_10_23[[#This Row],[Capacity]]-Buckets_10_23[[#This Row],[Final]]</f>
        <v>0</v>
      </c>
      <c r="BD5" s="33">
        <f>IF(Buckets_10_23[[#This Row],[Capacity]]=0, 1, Buckets_10_23[[#This Row],[Final]]/Buckets_10_23[[#This Row],[Capacity]])</f>
        <v>1</v>
      </c>
      <c r="BF5" s="31">
        <f>Buckets_10_23[[#This Row],[Final]]</f>
        <v>400</v>
      </c>
      <c r="BG5" s="31">
        <f>Buckets_10_23[[#This Row],[Capacity]]</f>
        <v>400</v>
      </c>
      <c r="BH5" t="b">
        <f t="shared" ref="BH5:BH35" si="19">AL5</f>
        <v>1</v>
      </c>
      <c r="BI5" s="43" t="e">
        <f>NA()</f>
        <v>#N/A</v>
      </c>
      <c r="BJ5" s="42"/>
      <c r="BK5" s="43" t="e">
        <f>NA()</f>
        <v>#N/A</v>
      </c>
      <c r="BL5" s="42"/>
      <c r="BM5" s="43"/>
      <c r="BN5" s="31">
        <f t="shared" ref="BN5:BN35" si="20">IF(ISBLANK(BJ5), BF5, BJ5)</f>
        <v>400</v>
      </c>
      <c r="BO5" s="31">
        <f t="shared" si="1"/>
        <v>400</v>
      </c>
      <c r="BP5" t="b">
        <f t="shared" si="2"/>
        <v>1</v>
      </c>
      <c r="BR5" s="29">
        <f t="shared" ref="BR5:BR35" si="21">BN5</f>
        <v>400</v>
      </c>
      <c r="BS5" s="29">
        <f>GetTransactionTotal(AggregateTable2023[], AggregateTable2023[Start], BR$1, AggregateTable2023[#Headers], $D5)</f>
        <v>-163.71</v>
      </c>
      <c r="BT5" s="29">
        <f>Buckets_11_23[[#This Row],[Start]]+Buckets_11_23[[#This Row],[Transactions]]</f>
        <v>236.29</v>
      </c>
      <c r="BU5" s="29">
        <f t="shared" ref="BU5:BU35" si="22">BO5</f>
        <v>400</v>
      </c>
      <c r="BV5" s="29">
        <f>Buckets_11_23[[#This Row],[Capacity]]-Buckets_11_23[[#This Row],[After T]]</f>
        <v>163.71</v>
      </c>
      <c r="BW5" s="29">
        <f>MAX(-Buckets_11_23[[#This Row],[Cap Diff]], 0)</f>
        <v>0</v>
      </c>
      <c r="BX5" s="29">
        <f>Buckets_11_23[[#This Row],[After T]]-Buckets_11_23[[#This Row],[Slush]]</f>
        <v>236.29</v>
      </c>
      <c r="BY5" s="29">
        <f>Buckets_11_23[[#This Row],[Capacity]]-Buckets_11_23[[#This Row],[Before Fill]]</f>
        <v>163.71</v>
      </c>
      <c r="BZ5" t="b">
        <f>OR(BP5, Buckets_11_23[[#This Row],[After T]]&lt;0)</f>
        <v>1</v>
      </c>
      <c r="CA5" s="29">
        <f>IF(Buckets_11_23[[#This Row],[Is Crit]], Buckets_11_23[[#This Row],[S Cap Diff]], 0)</f>
        <v>163.71</v>
      </c>
      <c r="CB5" s="29">
        <f>Buckets_11_23[[#This Row],[Before Fill]]+Buckets_11_23[[#This Row],[Crit To Fill]]</f>
        <v>400</v>
      </c>
      <c r="CC5" s="29">
        <f>IF(NOT(Buckets_11_23[[#This Row],[Is Crit]]), Buckets_11_23[[#This Row],[S Cap Diff]], 0)</f>
        <v>0</v>
      </c>
      <c r="CD5" s="31">
        <f>CB$41/Buckets_11_23[[#Totals],[NC To Fill]]*Buckets_11_23[[#This Row],[NC To Fill]]</f>
        <v>0</v>
      </c>
      <c r="CE5" s="31">
        <f>Buckets_11_23[[#This Row],[Crit Filled]]+Buckets_11_23[[#This Row],[Scaled]]</f>
        <v>400</v>
      </c>
      <c r="CF5" s="31">
        <f>Buckets_11_23[[#This Row],[NC Filled]]</f>
        <v>400</v>
      </c>
      <c r="CG5" s="31">
        <f>Buckets_11_23[[#This Row],[Capacity]]-Buckets_11_23[[#This Row],[Final]]</f>
        <v>0</v>
      </c>
      <c r="CH5" s="33">
        <f>IF(Buckets_11_23[[#This Row],[Capacity]]=0, 1, Buckets_11_23[[#This Row],[Final]]/Buckets_11_23[[#This Row],[Capacity]])</f>
        <v>1</v>
      </c>
      <c r="CJ5" s="40">
        <f>Buckets_11_23[[#This Row],[Final]]</f>
        <v>400</v>
      </c>
      <c r="CK5" s="40">
        <f>Buckets_11_23[[#This Row],[Capacity]]</f>
        <v>400</v>
      </c>
      <c r="CL5" s="41" t="b">
        <f t="shared" ref="CL5:CL35" si="23">BP5</f>
        <v>1</v>
      </c>
      <c r="CM5" s="42"/>
      <c r="CN5" s="42"/>
      <c r="CO5" s="42" t="e">
        <f>NA()</f>
        <v>#N/A</v>
      </c>
      <c r="CP5" s="42"/>
      <c r="CQ5" s="43"/>
      <c r="CR5" s="40">
        <f t="shared" ref="CR5:CR35" si="24">IF(NOT(ISBLANK(CN5)), CN5,
IF(NOT(ISBLANK(CM5)), CJ5+CM5,
CJ5))</f>
        <v>400</v>
      </c>
      <c r="CS5" s="40">
        <f t="shared" si="3"/>
        <v>400</v>
      </c>
      <c r="CT5" s="41" t="b">
        <f t="shared" si="4"/>
        <v>1</v>
      </c>
      <c r="CV5" s="29">
        <f t="shared" ref="CV5:CV35" si="25">CR5</f>
        <v>400</v>
      </c>
      <c r="CW5" s="29">
        <f>GetTransactionTotal(AggregateTable2023[], AggregateTable2023[Start], CV$1, AggregateTable2023[#Headers], $D5)</f>
        <v>-163.71</v>
      </c>
      <c r="CX5" s="29">
        <f>Buckets_12_23[[#This Row],[Start]]+Buckets_12_23[[#This Row],[Transactions]]</f>
        <v>236.29</v>
      </c>
      <c r="CY5" s="29">
        <f t="shared" ref="CY5:CY35" si="26">CS5</f>
        <v>400</v>
      </c>
      <c r="CZ5" s="29">
        <f>Buckets_12_23[[#This Row],[Capacity]]-Buckets_12_23[[#This Row],[After T]]</f>
        <v>163.71</v>
      </c>
      <c r="DA5" s="29">
        <f>MAX(-Buckets_12_23[[#This Row],[Cap Diff]], 0)</f>
        <v>0</v>
      </c>
      <c r="DB5" s="29">
        <f>Buckets_12_23[[#This Row],[After T]]-Buckets_12_23[[#This Row],[Slush]]</f>
        <v>236.29</v>
      </c>
      <c r="DC5" s="29">
        <f>Buckets_12_23[[#This Row],[Capacity]]-Buckets_12_23[[#This Row],[Before Fill]]</f>
        <v>163.71</v>
      </c>
      <c r="DD5" t="b">
        <f>OR(CT5, Buckets_12_23[[#This Row],[After T]]&lt;0)</f>
        <v>1</v>
      </c>
      <c r="DE5" s="29">
        <f>IF(Buckets_12_23[[#This Row],[Is Crit]], Buckets_12_23[[#This Row],[S Cap Diff]], 0)</f>
        <v>163.71</v>
      </c>
      <c r="DF5" s="29">
        <f>Buckets_12_23[[#This Row],[Before Fill]]+Buckets_12_23[[#This Row],[Crit To Fill]]</f>
        <v>400</v>
      </c>
      <c r="DG5" s="29">
        <f>IF(NOT(Buckets_12_23[[#This Row],[Is Crit]]), Buckets_12_23[[#This Row],[S Cap Diff]], 0)</f>
        <v>0</v>
      </c>
      <c r="DH5" s="31">
        <f>DF$41/Buckets_12_23[[#Totals],[NC To Fill]]*Buckets_12_23[[#This Row],[NC To Fill]]</f>
        <v>0</v>
      </c>
      <c r="DI5" s="31">
        <f>Buckets_12_23[[#This Row],[Crit Filled]]+Buckets_12_23[[#This Row],[Scaled]]</f>
        <v>400</v>
      </c>
      <c r="DJ5" s="31">
        <f>Buckets_12_23[[#This Row],[NC Filled]]</f>
        <v>400</v>
      </c>
      <c r="DK5" s="31">
        <f>Buckets_12_23[[#This Row],[Capacity]]-Buckets_12_23[[#This Row],[Final]]</f>
        <v>0</v>
      </c>
      <c r="DL5" s="33">
        <f>IF(Buckets_12_23[[#This Row],[Capacity]]=0, 1, Buckets_12_23[[#This Row],[Final]]/Buckets_12_23[[#This Row],[Capacity]])</f>
        <v>1</v>
      </c>
      <c r="DN5" s="40">
        <f>Buckets_12_23[[#This Row],[Final]]</f>
        <v>400</v>
      </c>
      <c r="DO5" s="40">
        <f>Buckets_12_23[[#This Row],[Capacity]]</f>
        <v>400</v>
      </c>
      <c r="DP5" s="41" t="b">
        <f t="shared" ref="DP5:DP35" si="27">CT5</f>
        <v>1</v>
      </c>
      <c r="DQ5" s="42"/>
      <c r="DR5" s="42"/>
      <c r="DS5" s="42" t="e">
        <f>NA()</f>
        <v>#N/A</v>
      </c>
      <c r="DT5" s="42"/>
      <c r="DU5" s="43"/>
      <c r="DV5" s="40">
        <f t="shared" ref="DV5:DV35" si="28">IF(NOT(ISBLANK(DR5)), DR5,
IF(NOT(ISBLANK(DQ5)), DN5+DQ5,
DN5))</f>
        <v>400</v>
      </c>
      <c r="DW5" s="40">
        <f t="shared" si="5"/>
        <v>400</v>
      </c>
      <c r="DX5" s="41" t="b">
        <f t="shared" si="6"/>
        <v>1</v>
      </c>
      <c r="DZ5" s="29">
        <f t="shared" ref="DZ5:DZ35" si="29">DV5</f>
        <v>400</v>
      </c>
      <c r="EA5" s="29">
        <f>GetTransactionTotal(AggregateTable2024[], AggregateTable2024[Start], DZ$1, AggregateTable2024[#Headers], $D5)</f>
        <v>-163.71</v>
      </c>
      <c r="EB5" s="29">
        <f>Buckets_1_24[[#This Row],[Start]]+Buckets_1_24[[#This Row],[Transactions]]</f>
        <v>236.29</v>
      </c>
      <c r="EC5" s="29">
        <f t="shared" ref="EC5:EC35" si="30">DW5</f>
        <v>400</v>
      </c>
      <c r="ED5" s="29">
        <f>Buckets_1_24[[#This Row],[Capacity]]-Buckets_1_24[[#This Row],[After T]]</f>
        <v>163.71</v>
      </c>
      <c r="EE5" s="29">
        <f>MAX(-Buckets_1_24[[#This Row],[Cap Diff]], 0)</f>
        <v>0</v>
      </c>
      <c r="EF5" s="29">
        <f>Buckets_1_24[[#This Row],[After T]]-Buckets_1_24[[#This Row],[Slush]]</f>
        <v>236.29</v>
      </c>
      <c r="EG5" s="29">
        <f>Buckets_1_24[[#This Row],[Capacity]]-Buckets_1_24[[#This Row],[Before Fill]]</f>
        <v>163.71</v>
      </c>
      <c r="EH5" t="b">
        <f>OR(DX5, Buckets_1_24[[#This Row],[After T]]&lt;0)</f>
        <v>1</v>
      </c>
      <c r="EI5" s="29">
        <f>IF(Buckets_1_24[[#This Row],[Is Crit]], Buckets_1_24[[#This Row],[S Cap Diff]], 0)</f>
        <v>163.71</v>
      </c>
      <c r="EJ5" s="29">
        <f>Buckets_1_24[[#This Row],[Before Fill]]+Buckets_1_24[[#This Row],[Crit To Fill]]</f>
        <v>400</v>
      </c>
      <c r="EK5" s="29">
        <f>IF(NOT(Buckets_1_24[[#This Row],[Is Crit]]), Buckets_1_24[[#This Row],[S Cap Diff]], 0)</f>
        <v>0</v>
      </c>
      <c r="EL5" s="31">
        <f>EJ$41/Buckets_1_24[[#Totals],[NC To Fill]]*Buckets_1_24[[#This Row],[NC To Fill]]</f>
        <v>0</v>
      </c>
      <c r="EM5" s="31">
        <f>Buckets_1_24[[#This Row],[Crit Filled]]+Buckets_1_24[[#This Row],[Scaled]]</f>
        <v>400</v>
      </c>
      <c r="EN5" s="31">
        <f>Buckets_1_24[[#This Row],[NC Filled]]</f>
        <v>400</v>
      </c>
      <c r="EO5" s="31">
        <f>Buckets_1_24[[#This Row],[Capacity]]-Buckets_1_24[[#This Row],[Final]]</f>
        <v>0</v>
      </c>
      <c r="EP5" s="33">
        <f>IF(Buckets_1_24[[#This Row],[Capacity]]=0, 1, Buckets_1_24[[#This Row],[Final]]/Buckets_1_24[[#This Row],[Capacity]])</f>
        <v>1</v>
      </c>
      <c r="ER5" s="40">
        <f>Buckets_1_24[[#This Row],[Final]]</f>
        <v>400</v>
      </c>
      <c r="ES5" s="40">
        <f>Buckets_1_24[[#This Row],[Capacity]]</f>
        <v>400</v>
      </c>
      <c r="ET5" s="41" t="b">
        <f t="shared" ref="ET5:ET35" si="31">DX5</f>
        <v>1</v>
      </c>
      <c r="EU5" s="42"/>
      <c r="EV5" s="42"/>
      <c r="EW5" s="42"/>
      <c r="EX5" s="42"/>
      <c r="EY5" s="43"/>
      <c r="EZ5" s="40">
        <f t="shared" ref="EZ5:EZ35" si="32">IF(NOT(ISBLANK(EV5)), EV5,
IF(NOT(ISBLANK(EU5)), ER5+EU5,
ER5))</f>
        <v>400</v>
      </c>
      <c r="FA5" s="40">
        <f t="shared" ref="FA5:FA35" si="33">IF(NOT(ISBLANK(EX5)), EX5,
IF(NOT(ISBLANK(EW5)), ES5+EW5,
ES5))</f>
        <v>400</v>
      </c>
      <c r="FB5" s="41" t="b">
        <f t="shared" si="7"/>
        <v>1</v>
      </c>
      <c r="FD5" s="29">
        <f t="shared" ref="FD5:FD35" si="34">EZ5</f>
        <v>400</v>
      </c>
      <c r="FE5" s="29">
        <f>GetTransactionTotal(AggregateTable2024[], AggregateTable2024[Start], FD$1, AggregateTable2024[#Headers], $D5)</f>
        <v>-163.69999999999999</v>
      </c>
      <c r="FF5" s="29">
        <f>Buckets_2_24[[#This Row],[Start]]+Buckets_2_24[[#This Row],[Transactions]]</f>
        <v>236.3</v>
      </c>
      <c r="FG5" s="29">
        <f t="shared" ref="FG5:FG35" si="35">FA5</f>
        <v>400</v>
      </c>
      <c r="FH5" s="29">
        <f>Buckets_2_24[[#This Row],[Capacity]]-Buckets_2_24[[#This Row],[After T]]</f>
        <v>163.69999999999999</v>
      </c>
      <c r="FI5" s="29">
        <f>MAX(-Buckets_2_24[[#This Row],[Cap Diff]], 0)</f>
        <v>0</v>
      </c>
      <c r="FJ5" s="29">
        <f>Buckets_2_24[[#This Row],[After T]]-Buckets_2_24[[#This Row],[Slush]]</f>
        <v>236.3</v>
      </c>
      <c r="FK5" s="29">
        <f>Buckets_2_24[[#This Row],[Capacity]]-Buckets_2_24[[#This Row],[Before Fill]]</f>
        <v>163.69999999999999</v>
      </c>
      <c r="FL5" t="b">
        <f>OR(FB5, Buckets_2_24[[#This Row],[After T]]&lt;0)</f>
        <v>1</v>
      </c>
      <c r="FM5" s="29">
        <f>IF(Buckets_2_24[[#This Row],[Is Crit]], Buckets_2_24[[#This Row],[S Cap Diff]], 0)</f>
        <v>163.69999999999999</v>
      </c>
      <c r="FN5" s="29">
        <f>Buckets_2_24[[#This Row],[Before Fill]]+Buckets_2_24[[#This Row],[Crit To Fill]]</f>
        <v>400</v>
      </c>
      <c r="FO5" s="29">
        <f>IF(NOT(Buckets_2_24[[#This Row],[Is Crit]]), Buckets_2_24[[#This Row],[S Cap Diff]], 0)</f>
        <v>0</v>
      </c>
      <c r="FP5" s="31">
        <f>FN$41/Buckets_2_24[[#Totals],[NC To Fill]]*Buckets_2_24[[#This Row],[NC To Fill]]</f>
        <v>0</v>
      </c>
      <c r="FQ5" s="31">
        <f>Buckets_2_24[[#This Row],[Crit Filled]]+Buckets_2_24[[#This Row],[Scaled]]</f>
        <v>400</v>
      </c>
      <c r="FR5" s="31">
        <f>Buckets_2_24[[#This Row],[NC Filled]]</f>
        <v>400</v>
      </c>
      <c r="FS5" s="31">
        <f>Buckets_2_24[[#This Row],[Capacity]]-Buckets_2_24[[#This Row],[Final]]</f>
        <v>0</v>
      </c>
      <c r="FT5" s="33">
        <f>IF(Buckets_2_24[[#This Row],[Capacity]]=0, 1, Buckets_2_24[[#This Row],[Final]]/Buckets_2_24[[#This Row],[Capacity]])</f>
        <v>1</v>
      </c>
      <c r="FV5" s="40">
        <f>Buckets_2_24[[#This Row],[Final]]</f>
        <v>400</v>
      </c>
      <c r="FW5" s="40">
        <f>Buckets_2_24[[#This Row],[Capacity]]</f>
        <v>400</v>
      </c>
      <c r="FX5" s="41" t="b">
        <f t="shared" ref="FX5:FX35" si="36">FB5</f>
        <v>1</v>
      </c>
      <c r="FY5" s="42"/>
      <c r="FZ5" s="42"/>
      <c r="GA5" s="42"/>
      <c r="GB5" s="42"/>
      <c r="GC5" s="43"/>
      <c r="GD5" s="40">
        <f t="shared" ref="GD5:GD35" si="37">IF(NOT(ISBLANK(FZ5)), FZ5,
IF(NOT(ISBLANK(FY5)), FV5+FY5,
FV5))</f>
        <v>400</v>
      </c>
      <c r="GE5" s="40">
        <f t="shared" ref="GE5:GE35" si="38">IF(NOT(ISBLANK(GB5)), GB5,
IF(NOT(ISBLANK(GA5)), FW5+GA5,
FW5))</f>
        <v>400</v>
      </c>
      <c r="GF5" s="41" t="b">
        <f t="shared" si="8"/>
        <v>1</v>
      </c>
      <c r="GH5" s="29">
        <f t="shared" ref="GH5:GH35" si="39">GD5</f>
        <v>400</v>
      </c>
      <c r="GI5" s="29">
        <f>GetTransactionTotal(AggregateTable2024[], AggregateTable2024[Start], GH$1, AggregateTable2024[#Headers], $D5)</f>
        <v>-190.19</v>
      </c>
      <c r="GJ5" s="29">
        <f>Buckets_3_24[[#This Row],[Start]]+Buckets_3_24[[#This Row],[Transactions]]</f>
        <v>209.81</v>
      </c>
      <c r="GK5" s="29">
        <f t="shared" ref="GK5:GK35" si="40">GE5</f>
        <v>400</v>
      </c>
      <c r="GL5" s="29">
        <f>Buckets_3_24[[#This Row],[Capacity]]-Buckets_3_24[[#This Row],[After T]]</f>
        <v>190.19</v>
      </c>
      <c r="GM5" s="29">
        <f>MAX(-Buckets_3_24[[#This Row],[Cap Diff]], 0)</f>
        <v>0</v>
      </c>
      <c r="GN5" s="29">
        <f>Buckets_3_24[[#This Row],[After T]]-Buckets_3_24[[#This Row],[Slush]]</f>
        <v>209.81</v>
      </c>
      <c r="GO5" s="29">
        <f>Buckets_3_24[[#This Row],[Capacity]]-Buckets_3_24[[#This Row],[Before Fill]]</f>
        <v>190.19</v>
      </c>
      <c r="GP5" t="b">
        <f>OR(GF5, Buckets_3_24[[#This Row],[After T]]&lt;0)</f>
        <v>1</v>
      </c>
      <c r="GQ5" s="29">
        <f>IF(Buckets_3_24[[#This Row],[Is Crit]], Buckets_3_24[[#This Row],[S Cap Diff]], 0)</f>
        <v>190.19</v>
      </c>
      <c r="GR5" s="29">
        <f>Buckets_3_24[[#This Row],[Before Fill]]+Buckets_3_24[[#This Row],[Crit To Fill]]</f>
        <v>400</v>
      </c>
      <c r="GS5" s="29">
        <f>IF(NOT(Buckets_3_24[[#This Row],[Is Crit]]), Buckets_3_24[[#This Row],[S Cap Diff]], 0)</f>
        <v>0</v>
      </c>
      <c r="GT5" s="31">
        <f>GR$41/Buckets_3_24[[#Totals],[NC To Fill]]*Buckets_3_24[[#This Row],[NC To Fill]]</f>
        <v>0</v>
      </c>
      <c r="GU5" s="31">
        <f>Buckets_3_24[[#This Row],[Crit Filled]]+Buckets_3_24[[#This Row],[Scaled]]</f>
        <v>400</v>
      </c>
      <c r="GV5" s="31">
        <f>Buckets_3_24[[#This Row],[NC Filled]]</f>
        <v>400</v>
      </c>
      <c r="GW5" s="31">
        <f>Buckets_3_24[[#This Row],[Capacity]]-Buckets_3_24[[#This Row],[Final]]</f>
        <v>0</v>
      </c>
      <c r="GX5" s="33">
        <f>IF(Buckets_3_24[[#This Row],[Capacity]]=0, 1, Buckets_3_24[[#This Row],[Final]]/Buckets_3_24[[#This Row],[Capacity]])</f>
        <v>1</v>
      </c>
      <c r="GZ5" s="40">
        <f>Buckets_3_24[[#This Row],[Final]]</f>
        <v>400</v>
      </c>
      <c r="HA5" s="40">
        <f>Buckets_3_24[[#This Row],[Capacity]]</f>
        <v>400</v>
      </c>
      <c r="HB5" s="41" t="b">
        <f t="shared" ref="HB5:HB35" si="41">GF5</f>
        <v>1</v>
      </c>
      <c r="HC5" s="42"/>
      <c r="HD5" s="42"/>
      <c r="HE5" s="42"/>
      <c r="HF5" s="42"/>
      <c r="HG5" s="43"/>
      <c r="HH5" s="40">
        <f t="shared" ref="HH5:HH35" si="42">IF(NOT(ISBLANK(HD5)), HD5,
IF(NOT(ISBLANK(HC5)), GZ5+HC5,
GZ5))</f>
        <v>400</v>
      </c>
      <c r="HI5" s="40">
        <f t="shared" ref="HI5:HI35" si="43">IF(NOT(ISBLANK(HF5)), HF5,
IF(NOT(ISBLANK(HE5)), HA5+HE5,
HA5))</f>
        <v>400</v>
      </c>
      <c r="HJ5" s="41" t="b">
        <f t="shared" si="9"/>
        <v>1</v>
      </c>
      <c r="HL5" s="29">
        <f t="shared" ref="HL5:HL35" si="44">HH5</f>
        <v>400</v>
      </c>
      <c r="HM5" s="29">
        <f>GetTransactionTotal(AggregateTable2024[], AggregateTable2024[Start], HL$1, AggregateTable2024[#Headers], $D5)</f>
        <v>-189.69</v>
      </c>
      <c r="HN5" s="29">
        <f>Buckets_4_24[[#This Row],[Start]]+Buckets_4_24[[#This Row],[Transactions]]</f>
        <v>210.31</v>
      </c>
      <c r="HO5" s="29">
        <f t="shared" ref="HO5:HO35" si="45">HI5</f>
        <v>400</v>
      </c>
      <c r="HP5" s="29">
        <f>Buckets_4_24[[#This Row],[Capacity]]-Buckets_4_24[[#This Row],[After T]]</f>
        <v>189.69</v>
      </c>
      <c r="HQ5" s="29">
        <f>MAX(-Buckets_4_24[[#This Row],[Cap Diff]], 0)</f>
        <v>0</v>
      </c>
      <c r="HR5" s="29">
        <f>Buckets_4_24[[#This Row],[After T]]-Buckets_4_24[[#This Row],[Slush]]</f>
        <v>210.31</v>
      </c>
      <c r="HS5" s="29">
        <f>Buckets_4_24[[#This Row],[Capacity]]-Buckets_4_24[[#This Row],[Before Fill]]</f>
        <v>189.69</v>
      </c>
      <c r="HT5" t="b">
        <f>OR(HJ5, Buckets_4_24[[#This Row],[After T]]&lt;0)</f>
        <v>1</v>
      </c>
      <c r="HU5" s="29">
        <f>IF(Buckets_4_24[[#This Row],[Is Crit]], Buckets_4_24[[#This Row],[S Cap Diff]], 0)</f>
        <v>189.69</v>
      </c>
      <c r="HV5" s="29">
        <f>Buckets_4_24[[#This Row],[Before Fill]]+Buckets_4_24[[#This Row],[Crit To Fill]]</f>
        <v>400</v>
      </c>
      <c r="HW5" s="29">
        <f>IF(NOT(Buckets_4_24[[#This Row],[Is Crit]]), Buckets_4_24[[#This Row],[S Cap Diff]], 0)</f>
        <v>0</v>
      </c>
      <c r="HX5" s="31">
        <f>HV$41/Buckets_4_24[[#Totals],[NC To Fill]]*Buckets_4_24[[#This Row],[NC To Fill]]</f>
        <v>0</v>
      </c>
      <c r="HY5" s="31">
        <f>Buckets_4_24[[#This Row],[Crit Filled]]+Buckets_4_24[[#This Row],[Scaled]]</f>
        <v>400</v>
      </c>
      <c r="HZ5" s="31">
        <f>Buckets_4_24[[#This Row],[NC Filled]]</f>
        <v>400</v>
      </c>
      <c r="IA5" s="31">
        <f>Buckets_4_24[[#This Row],[Capacity]]-Buckets_4_24[[#This Row],[Final]]</f>
        <v>0</v>
      </c>
      <c r="IB5" s="33">
        <f>IF(Buckets_4_24[[#This Row],[Capacity]]=0, 1, Buckets_4_24[[#This Row],[Final]]/Buckets_4_24[[#This Row],[Capacity]])</f>
        <v>1</v>
      </c>
      <c r="ID5" s="40">
        <f>Buckets_4_24[[#This Row],[Final]]</f>
        <v>400</v>
      </c>
      <c r="IE5" s="40">
        <f>Buckets_4_24[[#This Row],[Capacity]]</f>
        <v>400</v>
      </c>
      <c r="IF5" s="41" t="b">
        <f t="shared" ref="IF5:IF35" si="46">HJ5</f>
        <v>1</v>
      </c>
      <c r="IG5" s="42"/>
      <c r="IH5" s="42"/>
      <c r="II5" s="42"/>
      <c r="IJ5" s="42"/>
      <c r="IK5" s="43"/>
      <c r="IL5" s="40">
        <f t="shared" ref="IL5:IL35" si="47">IF(NOT(ISBLANK(IH5)), IH5,
IF(NOT(ISBLANK(IG5)), ID5+IG5,
ID5))</f>
        <v>400</v>
      </c>
      <c r="IM5" s="40">
        <f t="shared" ref="IM5:IM35" si="48">IF(NOT(ISBLANK(IJ5)), IJ5,
IF(NOT(ISBLANK(II5)), IE5+II5,
IE5))</f>
        <v>400</v>
      </c>
      <c r="IN5" s="41" t="b">
        <f t="shared" si="10"/>
        <v>1</v>
      </c>
    </row>
    <row r="6" spans="1:248" x14ac:dyDescent="0.25">
      <c r="A6" s="49"/>
      <c r="B6" t="s">
        <v>318</v>
      </c>
      <c r="C6" t="s">
        <v>321</v>
      </c>
      <c r="D6" t="s">
        <v>283</v>
      </c>
      <c r="F6" s="30">
        <v>100</v>
      </c>
      <c r="G6" s="38">
        <v>300</v>
      </c>
      <c r="H6" t="b">
        <v>0</v>
      </c>
      <c r="J6" s="29">
        <f t="shared" si="11"/>
        <v>100</v>
      </c>
      <c r="K6" s="29">
        <f>GetTransactionTotal(AggregateTable2023[], AggregateTable2023[Start], J$1, AggregateTable2023[#Headers], $D6)</f>
        <v>-80.97</v>
      </c>
      <c r="L6" s="29">
        <f>Buckets_9_23[[#This Row],[Start]]+Buckets_9_23[[#This Row],[Transactions]]</f>
        <v>19.03</v>
      </c>
      <c r="M6" s="29">
        <f t="shared" si="12"/>
        <v>300</v>
      </c>
      <c r="N6" s="29">
        <f>Buckets_9_23[[#This Row],[Capacity]]-Buckets_9_23[[#This Row],[After T]]</f>
        <v>280.97000000000003</v>
      </c>
      <c r="O6" s="29">
        <f>IF(Buckets_9_23[[#This Row],[After T]]&lt;0, Buckets_9_23[[#This Row],[After T]], IF(Buckets_9_23[[#This Row],[Cap Diff]]&lt;0, -Buckets_9_23[[#This Row],[Cap Diff]], 0))</f>
        <v>0</v>
      </c>
      <c r="P6" s="29">
        <f>Buckets_9_23[[#This Row],[After T]]-Buckets_9_23[[#This Row],[Slush]]</f>
        <v>19.03</v>
      </c>
      <c r="Q6" s="29">
        <f>Buckets_9_23[[#This Row],[Capacity]]-Buckets_9_23[[#This Row],[Before Fill]]</f>
        <v>280.97000000000003</v>
      </c>
      <c r="R6" t="b">
        <f t="shared" si="0"/>
        <v>0</v>
      </c>
      <c r="S6" s="29">
        <f>IF(Buckets_9_23[[#This Row],[Is Crit]], Buckets_9_23[[#This Row],[S Cap Diff]], 0)</f>
        <v>0</v>
      </c>
      <c r="T6" s="29">
        <f>Buckets_9_23[[#This Row],[Before Fill]]+Buckets_9_23[[#This Row],[Crit To Fill]]</f>
        <v>19.03</v>
      </c>
      <c r="U6" s="29">
        <f>IF(NOT(Buckets_9_23[[#This Row],[Is Crit]]), Buckets_9_23[[#This Row],[S Cap Diff]], 0)</f>
        <v>280.97000000000003</v>
      </c>
      <c r="V6" s="31">
        <f>T$41/Buckets_9_23[[#Totals],[NC To Fill]]*Buckets_9_23[[#This Row],[NC To Fill]]</f>
        <v>245.23556025624274</v>
      </c>
      <c r="W6" s="31">
        <f>Buckets_9_23[[#This Row],[Crit Filled]]+Buckets_9_23[[#This Row],[Scaled]]</f>
        <v>264.26556025624274</v>
      </c>
      <c r="X6" s="31">
        <f>Buckets_9_23[[#This Row],[NC Filled]]</f>
        <v>264.26556025624274</v>
      </c>
      <c r="Y6" s="31">
        <f>Buckets_9_23[[#This Row],[Capacity]]-Buckets_9_23[[#This Row],[Final]]</f>
        <v>35.734439743757264</v>
      </c>
      <c r="Z6" s="33">
        <f>IF(Buckets_9_23[[#This Row],[Capacity]]=0, 1, Buckets_9_23[[#This Row],[Final]]/Buckets_9_23[[#This Row],[Capacity]])</f>
        <v>0.88088520085414246</v>
      </c>
      <c r="AB6" s="31">
        <f>Buckets_9_23[[#This Row],[Final]]</f>
        <v>264.26556025624274</v>
      </c>
      <c r="AC6" s="31">
        <f>Buckets_9_23[[#This Row],[Capacity]]</f>
        <v>300</v>
      </c>
      <c r="AD6" t="b">
        <f t="shared" si="13"/>
        <v>0</v>
      </c>
      <c r="AE6" s="43" t="e">
        <f>NA()</f>
        <v>#N/A</v>
      </c>
      <c r="AF6" s="42"/>
      <c r="AG6" s="43" t="e">
        <f>NA()</f>
        <v>#N/A</v>
      </c>
      <c r="AH6" s="42"/>
      <c r="AI6" s="43"/>
      <c r="AJ6" s="31">
        <f t="shared" si="14"/>
        <v>264.26556025624274</v>
      </c>
      <c r="AK6" s="31">
        <f t="shared" si="15"/>
        <v>300</v>
      </c>
      <c r="AL6" t="b">
        <f t="shared" si="16"/>
        <v>0</v>
      </c>
      <c r="AN6" s="29">
        <f t="shared" si="17"/>
        <v>264.26556025624274</v>
      </c>
      <c r="AO6" s="29">
        <f>GetTransactionTotal(AggregateTable2023[], AggregateTable2023[Start], AN$1, AggregateTable2023[#Headers], $D6)</f>
        <v>-38.26</v>
      </c>
      <c r="AP6" s="29">
        <f>Buckets_10_23[[#This Row],[Start]]+Buckets_10_23[[#This Row],[Transactions]]</f>
        <v>226.00556025624275</v>
      </c>
      <c r="AQ6" s="29">
        <f t="shared" si="18"/>
        <v>300</v>
      </c>
      <c r="AR6" s="29">
        <f>Buckets_10_23[[#This Row],[Capacity]]-Buckets_10_23[[#This Row],[After T]]</f>
        <v>73.994439743757255</v>
      </c>
      <c r="AS6" s="29">
        <f>MAX(-Buckets_10_23[[#This Row],[Cap Diff]], 0)</f>
        <v>0</v>
      </c>
      <c r="AT6" s="29">
        <f>Buckets_10_23[[#This Row],[After T]]-Buckets_10_23[[#This Row],[Slush]]</f>
        <v>226.00556025624275</v>
      </c>
      <c r="AU6" s="29">
        <f>Buckets_10_23[[#This Row],[Capacity]]-Buckets_10_23[[#This Row],[Before Fill]]</f>
        <v>73.994439743757255</v>
      </c>
      <c r="AV6" t="b">
        <f>OR(AL6, Buckets_10_23[[#This Row],[After T]]&lt;0)</f>
        <v>0</v>
      </c>
      <c r="AW6" s="29">
        <f>IF(Buckets_10_23[[#This Row],[Is Crit]], Buckets_10_23[[#This Row],[S Cap Diff]], 0)</f>
        <v>0</v>
      </c>
      <c r="AX6" s="29">
        <f>Buckets_10_23[[#This Row],[Before Fill]]+Buckets_10_23[[#This Row],[Crit To Fill]]</f>
        <v>226.00556025624275</v>
      </c>
      <c r="AY6" s="29">
        <f>IF(NOT(Buckets_10_23[[#This Row],[Is Crit]]), Buckets_10_23[[#This Row],[S Cap Diff]], 0)</f>
        <v>73.994439743757255</v>
      </c>
      <c r="AZ6" s="31">
        <f>AX$41/Buckets_10_23[[#Totals],[NC To Fill]]*Buckets_10_23[[#This Row],[NC To Fill]]</f>
        <v>43.950650377612725</v>
      </c>
      <c r="BA6" s="31">
        <f>Buckets_10_23[[#This Row],[Crit Filled]]+Buckets_10_23[[#This Row],[Scaled]]</f>
        <v>269.95621063385545</v>
      </c>
      <c r="BB6" s="31">
        <f>Buckets_10_23[[#This Row],[NC Filled]]</f>
        <v>269.95621063385545</v>
      </c>
      <c r="BC6" s="31">
        <f>Buckets_10_23[[#This Row],[Capacity]]-Buckets_10_23[[#This Row],[Final]]</f>
        <v>30.043789366144551</v>
      </c>
      <c r="BD6" s="33">
        <f>IF(Buckets_10_23[[#This Row],[Capacity]]=0, 1, Buckets_10_23[[#This Row],[Final]]/Buckets_10_23[[#This Row],[Capacity]])</f>
        <v>0.89985403544618481</v>
      </c>
      <c r="BF6" s="31">
        <f>Buckets_10_23[[#This Row],[Final]]</f>
        <v>269.95621063385545</v>
      </c>
      <c r="BG6" s="31">
        <f>Buckets_10_23[[#This Row],[Capacity]]</f>
        <v>300</v>
      </c>
      <c r="BH6" t="b">
        <f t="shared" si="19"/>
        <v>0</v>
      </c>
      <c r="BI6" s="43" t="e">
        <f>NA()</f>
        <v>#N/A</v>
      </c>
      <c r="BJ6" s="42"/>
      <c r="BK6" s="43" t="e">
        <f>NA()</f>
        <v>#N/A</v>
      </c>
      <c r="BL6" s="42"/>
      <c r="BM6" s="43"/>
      <c r="BN6" s="31">
        <f t="shared" si="20"/>
        <v>269.95621063385545</v>
      </c>
      <c r="BO6" s="31">
        <f t="shared" si="1"/>
        <v>300</v>
      </c>
      <c r="BP6" t="b">
        <f t="shared" si="2"/>
        <v>0</v>
      </c>
      <c r="BR6" s="29">
        <f t="shared" si="21"/>
        <v>269.95621063385545</v>
      </c>
      <c r="BS6" s="29">
        <f>GetTransactionTotal(AggregateTable2023[], AggregateTable2023[Start], BR$1, AggregateTable2023[#Headers], $D6)</f>
        <v>-206.54000000000002</v>
      </c>
      <c r="BT6" s="29">
        <f>Buckets_11_23[[#This Row],[Start]]+Buckets_11_23[[#This Row],[Transactions]]</f>
        <v>63.416210633855428</v>
      </c>
      <c r="BU6" s="29">
        <f t="shared" si="22"/>
        <v>300</v>
      </c>
      <c r="BV6" s="29">
        <f>Buckets_11_23[[#This Row],[Capacity]]-Buckets_11_23[[#This Row],[After T]]</f>
        <v>236.58378936614457</v>
      </c>
      <c r="BW6" s="29">
        <f>MAX(-Buckets_11_23[[#This Row],[Cap Diff]], 0)</f>
        <v>0</v>
      </c>
      <c r="BX6" s="29">
        <f>Buckets_11_23[[#This Row],[After T]]-Buckets_11_23[[#This Row],[Slush]]</f>
        <v>63.416210633855428</v>
      </c>
      <c r="BY6" s="29">
        <f>Buckets_11_23[[#This Row],[Capacity]]-Buckets_11_23[[#This Row],[Before Fill]]</f>
        <v>236.58378936614457</v>
      </c>
      <c r="BZ6" t="b">
        <f>OR(BP6, Buckets_11_23[[#This Row],[After T]]&lt;0)</f>
        <v>0</v>
      </c>
      <c r="CA6" s="29">
        <f>IF(Buckets_11_23[[#This Row],[Is Crit]], Buckets_11_23[[#This Row],[S Cap Diff]], 0)</f>
        <v>0</v>
      </c>
      <c r="CB6" s="29">
        <f>Buckets_11_23[[#This Row],[Before Fill]]+Buckets_11_23[[#This Row],[Crit To Fill]]</f>
        <v>63.416210633855428</v>
      </c>
      <c r="CC6" s="29">
        <f>IF(NOT(Buckets_11_23[[#This Row],[Is Crit]]), Buckets_11_23[[#This Row],[S Cap Diff]], 0)</f>
        <v>236.58378936614457</v>
      </c>
      <c r="CD6" s="31">
        <f>CB$41/Buckets_11_23[[#Totals],[NC To Fill]]*Buckets_11_23[[#This Row],[NC To Fill]]</f>
        <v>233.31965256718959</v>
      </c>
      <c r="CE6" s="31">
        <f>Buckets_11_23[[#This Row],[Crit Filled]]+Buckets_11_23[[#This Row],[Scaled]]</f>
        <v>296.73586320104505</v>
      </c>
      <c r="CF6" s="31">
        <f>Buckets_11_23[[#This Row],[NC Filled]]</f>
        <v>296.73586320104505</v>
      </c>
      <c r="CG6" s="31">
        <f>Buckets_11_23[[#This Row],[Capacity]]-Buckets_11_23[[#This Row],[Final]]</f>
        <v>3.2641367989549508</v>
      </c>
      <c r="CH6" s="33">
        <f>IF(Buckets_11_23[[#This Row],[Capacity]]=0, 1, Buckets_11_23[[#This Row],[Final]]/Buckets_11_23[[#This Row],[Capacity]])</f>
        <v>0.98911954400348345</v>
      </c>
      <c r="CJ6" s="40">
        <f>Buckets_11_23[[#This Row],[Final]]</f>
        <v>296.73586320104505</v>
      </c>
      <c r="CK6" s="40">
        <f>Buckets_11_23[[#This Row],[Capacity]]</f>
        <v>300</v>
      </c>
      <c r="CL6" s="41" t="b">
        <f t="shared" si="23"/>
        <v>0</v>
      </c>
      <c r="CM6" s="42"/>
      <c r="CN6" s="42"/>
      <c r="CO6" s="42" t="e">
        <f>NA()</f>
        <v>#N/A</v>
      </c>
      <c r="CP6" s="42"/>
      <c r="CQ6" s="43" t="b">
        <v>1</v>
      </c>
      <c r="CR6" s="40">
        <f t="shared" si="24"/>
        <v>296.73586320104505</v>
      </c>
      <c r="CS6" s="40">
        <f t="shared" si="3"/>
        <v>300</v>
      </c>
      <c r="CT6" s="41" t="b">
        <f t="shared" si="4"/>
        <v>1</v>
      </c>
      <c r="CV6" s="29">
        <f t="shared" si="25"/>
        <v>296.73586320104505</v>
      </c>
      <c r="CW6" s="29">
        <f>GetTransactionTotal(AggregateTable2023[], AggregateTable2023[Start], CV$1, AggregateTable2023[#Headers], $D6)</f>
        <v>-24.47</v>
      </c>
      <c r="CX6" s="29">
        <f>Buckets_12_23[[#This Row],[Start]]+Buckets_12_23[[#This Row],[Transactions]]</f>
        <v>272.26586320104502</v>
      </c>
      <c r="CY6" s="29">
        <f t="shared" si="26"/>
        <v>300</v>
      </c>
      <c r="CZ6" s="29">
        <f>Buckets_12_23[[#This Row],[Capacity]]-Buckets_12_23[[#This Row],[After T]]</f>
        <v>27.734136798954978</v>
      </c>
      <c r="DA6" s="29">
        <f>MAX(-Buckets_12_23[[#This Row],[Cap Diff]], 0)</f>
        <v>0</v>
      </c>
      <c r="DB6" s="29">
        <f>Buckets_12_23[[#This Row],[After T]]-Buckets_12_23[[#This Row],[Slush]]</f>
        <v>272.26586320104502</v>
      </c>
      <c r="DC6" s="29">
        <f>Buckets_12_23[[#This Row],[Capacity]]-Buckets_12_23[[#This Row],[Before Fill]]</f>
        <v>27.734136798954978</v>
      </c>
      <c r="DD6" t="b">
        <f>OR(CT6, Buckets_12_23[[#This Row],[After T]]&lt;0)</f>
        <v>1</v>
      </c>
      <c r="DE6" s="29">
        <f>IF(Buckets_12_23[[#This Row],[Is Crit]], Buckets_12_23[[#This Row],[S Cap Diff]], 0)</f>
        <v>27.734136798954978</v>
      </c>
      <c r="DF6" s="29">
        <f>Buckets_12_23[[#This Row],[Before Fill]]+Buckets_12_23[[#This Row],[Crit To Fill]]</f>
        <v>300</v>
      </c>
      <c r="DG6" s="29">
        <f>IF(NOT(Buckets_12_23[[#This Row],[Is Crit]]), Buckets_12_23[[#This Row],[S Cap Diff]], 0)</f>
        <v>0</v>
      </c>
      <c r="DH6" s="31">
        <f>DF$41/Buckets_12_23[[#Totals],[NC To Fill]]*Buckets_12_23[[#This Row],[NC To Fill]]</f>
        <v>0</v>
      </c>
      <c r="DI6" s="31">
        <f>Buckets_12_23[[#This Row],[Crit Filled]]+Buckets_12_23[[#This Row],[Scaled]]</f>
        <v>300</v>
      </c>
      <c r="DJ6" s="31">
        <f>Buckets_12_23[[#This Row],[NC Filled]]</f>
        <v>300</v>
      </c>
      <c r="DK6" s="31">
        <f>Buckets_12_23[[#This Row],[Capacity]]-Buckets_12_23[[#This Row],[Final]]</f>
        <v>0</v>
      </c>
      <c r="DL6" s="33">
        <f>IF(Buckets_12_23[[#This Row],[Capacity]]=0, 1, Buckets_12_23[[#This Row],[Final]]/Buckets_12_23[[#This Row],[Capacity]])</f>
        <v>1</v>
      </c>
      <c r="DN6" s="40">
        <f>Buckets_12_23[[#This Row],[Final]]</f>
        <v>300</v>
      </c>
      <c r="DO6" s="40">
        <f>Buckets_12_23[[#This Row],[Capacity]]</f>
        <v>300</v>
      </c>
      <c r="DP6" s="41" t="b">
        <f t="shared" si="27"/>
        <v>1</v>
      </c>
      <c r="DQ6" s="42"/>
      <c r="DR6" s="42"/>
      <c r="DS6" s="42" t="e">
        <f>NA()</f>
        <v>#N/A</v>
      </c>
      <c r="DT6" s="42"/>
      <c r="DU6" s="43"/>
      <c r="DV6" s="40">
        <f t="shared" si="28"/>
        <v>300</v>
      </c>
      <c r="DW6" s="40">
        <f t="shared" si="5"/>
        <v>300</v>
      </c>
      <c r="DX6" s="41" t="b">
        <f t="shared" si="6"/>
        <v>1</v>
      </c>
      <c r="DZ6" s="29">
        <f t="shared" si="29"/>
        <v>300</v>
      </c>
      <c r="EA6" s="29">
        <f>GetTransactionTotal(AggregateTable2024[], AggregateTable2024[Start], DZ$1, AggregateTable2024[#Headers], $D6)</f>
        <v>-133.53</v>
      </c>
      <c r="EB6" s="29">
        <f>Buckets_1_24[[#This Row],[Start]]+Buckets_1_24[[#This Row],[Transactions]]</f>
        <v>166.47</v>
      </c>
      <c r="EC6" s="29">
        <f t="shared" si="30"/>
        <v>300</v>
      </c>
      <c r="ED6" s="29">
        <f>Buckets_1_24[[#This Row],[Capacity]]-Buckets_1_24[[#This Row],[After T]]</f>
        <v>133.53</v>
      </c>
      <c r="EE6" s="29">
        <f>MAX(-Buckets_1_24[[#This Row],[Cap Diff]], 0)</f>
        <v>0</v>
      </c>
      <c r="EF6" s="29">
        <f>Buckets_1_24[[#This Row],[After T]]-Buckets_1_24[[#This Row],[Slush]]</f>
        <v>166.47</v>
      </c>
      <c r="EG6" s="29">
        <f>Buckets_1_24[[#This Row],[Capacity]]-Buckets_1_24[[#This Row],[Before Fill]]</f>
        <v>133.53</v>
      </c>
      <c r="EH6" t="b">
        <f>OR(DX6, Buckets_1_24[[#This Row],[After T]]&lt;0)</f>
        <v>1</v>
      </c>
      <c r="EI6" s="29">
        <f>IF(Buckets_1_24[[#This Row],[Is Crit]], Buckets_1_24[[#This Row],[S Cap Diff]], 0)</f>
        <v>133.53</v>
      </c>
      <c r="EJ6" s="29">
        <f>Buckets_1_24[[#This Row],[Before Fill]]+Buckets_1_24[[#This Row],[Crit To Fill]]</f>
        <v>300</v>
      </c>
      <c r="EK6" s="29">
        <f>IF(NOT(Buckets_1_24[[#This Row],[Is Crit]]), Buckets_1_24[[#This Row],[S Cap Diff]], 0)</f>
        <v>0</v>
      </c>
      <c r="EL6" s="31">
        <f>EJ$41/Buckets_1_24[[#Totals],[NC To Fill]]*Buckets_1_24[[#This Row],[NC To Fill]]</f>
        <v>0</v>
      </c>
      <c r="EM6" s="31">
        <f>Buckets_1_24[[#This Row],[Crit Filled]]+Buckets_1_24[[#This Row],[Scaled]]</f>
        <v>300</v>
      </c>
      <c r="EN6" s="31">
        <f>Buckets_1_24[[#This Row],[NC Filled]]</f>
        <v>300</v>
      </c>
      <c r="EO6" s="31">
        <f>Buckets_1_24[[#This Row],[Capacity]]-Buckets_1_24[[#This Row],[Final]]</f>
        <v>0</v>
      </c>
      <c r="EP6" s="33">
        <f>IF(Buckets_1_24[[#This Row],[Capacity]]=0, 1, Buckets_1_24[[#This Row],[Final]]/Buckets_1_24[[#This Row],[Capacity]])</f>
        <v>1</v>
      </c>
      <c r="ER6" s="40">
        <f>Buckets_1_24[[#This Row],[Final]]</f>
        <v>300</v>
      </c>
      <c r="ES6" s="40">
        <f>Buckets_1_24[[#This Row],[Capacity]]</f>
        <v>300</v>
      </c>
      <c r="ET6" s="41" t="b">
        <f t="shared" si="31"/>
        <v>1</v>
      </c>
      <c r="EU6" s="42"/>
      <c r="EV6" s="42"/>
      <c r="EW6" s="42"/>
      <c r="EX6" s="42"/>
      <c r="EY6" s="43"/>
      <c r="EZ6" s="40">
        <f t="shared" si="32"/>
        <v>300</v>
      </c>
      <c r="FA6" s="40">
        <f t="shared" si="33"/>
        <v>300</v>
      </c>
      <c r="FB6" s="41" t="b">
        <f t="shared" si="7"/>
        <v>1</v>
      </c>
      <c r="FD6" s="29">
        <f t="shared" si="34"/>
        <v>300</v>
      </c>
      <c r="FE6" s="29">
        <f>GetTransactionTotal(AggregateTable2024[], AggregateTable2024[Start], FD$1, AggregateTable2024[#Headers], $D6)</f>
        <v>-26.51</v>
      </c>
      <c r="FF6" s="29">
        <f>Buckets_2_24[[#This Row],[Start]]+Buckets_2_24[[#This Row],[Transactions]]</f>
        <v>273.49</v>
      </c>
      <c r="FG6" s="29">
        <f t="shared" si="35"/>
        <v>300</v>
      </c>
      <c r="FH6" s="29">
        <f>Buckets_2_24[[#This Row],[Capacity]]-Buckets_2_24[[#This Row],[After T]]</f>
        <v>26.509999999999991</v>
      </c>
      <c r="FI6" s="29">
        <f>MAX(-Buckets_2_24[[#This Row],[Cap Diff]], 0)</f>
        <v>0</v>
      </c>
      <c r="FJ6" s="29">
        <f>Buckets_2_24[[#This Row],[After T]]-Buckets_2_24[[#This Row],[Slush]]</f>
        <v>273.49</v>
      </c>
      <c r="FK6" s="29">
        <f>Buckets_2_24[[#This Row],[Capacity]]-Buckets_2_24[[#This Row],[Before Fill]]</f>
        <v>26.509999999999991</v>
      </c>
      <c r="FL6" t="b">
        <f>OR(FB6, Buckets_2_24[[#This Row],[After T]]&lt;0)</f>
        <v>1</v>
      </c>
      <c r="FM6" s="29">
        <f>IF(Buckets_2_24[[#This Row],[Is Crit]], Buckets_2_24[[#This Row],[S Cap Diff]], 0)</f>
        <v>26.509999999999991</v>
      </c>
      <c r="FN6" s="29">
        <f>Buckets_2_24[[#This Row],[Before Fill]]+Buckets_2_24[[#This Row],[Crit To Fill]]</f>
        <v>300</v>
      </c>
      <c r="FO6" s="29">
        <f>IF(NOT(Buckets_2_24[[#This Row],[Is Crit]]), Buckets_2_24[[#This Row],[S Cap Diff]], 0)</f>
        <v>0</v>
      </c>
      <c r="FP6" s="31">
        <f>FN$41/Buckets_2_24[[#Totals],[NC To Fill]]*Buckets_2_24[[#This Row],[NC To Fill]]</f>
        <v>0</v>
      </c>
      <c r="FQ6" s="31">
        <f>Buckets_2_24[[#This Row],[Crit Filled]]+Buckets_2_24[[#This Row],[Scaled]]</f>
        <v>300</v>
      </c>
      <c r="FR6" s="31">
        <f>Buckets_2_24[[#This Row],[NC Filled]]</f>
        <v>300</v>
      </c>
      <c r="FS6" s="31">
        <f>Buckets_2_24[[#This Row],[Capacity]]-Buckets_2_24[[#This Row],[Final]]</f>
        <v>0</v>
      </c>
      <c r="FT6" s="33">
        <f>IF(Buckets_2_24[[#This Row],[Capacity]]=0, 1, Buckets_2_24[[#This Row],[Final]]/Buckets_2_24[[#This Row],[Capacity]])</f>
        <v>1</v>
      </c>
      <c r="FV6" s="40">
        <f>Buckets_2_24[[#This Row],[Final]]</f>
        <v>300</v>
      </c>
      <c r="FW6" s="40">
        <f>Buckets_2_24[[#This Row],[Capacity]]</f>
        <v>300</v>
      </c>
      <c r="FX6" s="41" t="b">
        <f t="shared" si="36"/>
        <v>1</v>
      </c>
      <c r="FY6" s="42"/>
      <c r="FZ6" s="42"/>
      <c r="GA6" s="42"/>
      <c r="GB6" s="42">
        <v>500</v>
      </c>
      <c r="GC6" s="43"/>
      <c r="GD6" s="40">
        <f t="shared" si="37"/>
        <v>300</v>
      </c>
      <c r="GE6" s="40">
        <f t="shared" si="38"/>
        <v>500</v>
      </c>
      <c r="GF6" s="41" t="b">
        <f t="shared" si="8"/>
        <v>1</v>
      </c>
      <c r="GH6" s="29">
        <f t="shared" si="39"/>
        <v>300</v>
      </c>
      <c r="GI6" s="29">
        <f>GetTransactionTotal(AggregateTable2024[], AggregateTable2024[Start], GH$1, AggregateTable2024[#Headers], $D6)</f>
        <v>-50.56</v>
      </c>
      <c r="GJ6" s="29">
        <f>Buckets_3_24[[#This Row],[Start]]+Buckets_3_24[[#This Row],[Transactions]]</f>
        <v>249.44</v>
      </c>
      <c r="GK6" s="29">
        <f t="shared" si="40"/>
        <v>500</v>
      </c>
      <c r="GL6" s="29">
        <f>Buckets_3_24[[#This Row],[Capacity]]-Buckets_3_24[[#This Row],[After T]]</f>
        <v>250.56</v>
      </c>
      <c r="GM6" s="29">
        <f>MAX(-Buckets_3_24[[#This Row],[Cap Diff]], 0)</f>
        <v>0</v>
      </c>
      <c r="GN6" s="29">
        <f>Buckets_3_24[[#This Row],[After T]]-Buckets_3_24[[#This Row],[Slush]]</f>
        <v>249.44</v>
      </c>
      <c r="GO6" s="29">
        <f>Buckets_3_24[[#This Row],[Capacity]]-Buckets_3_24[[#This Row],[Before Fill]]</f>
        <v>250.56</v>
      </c>
      <c r="GP6" t="b">
        <f>OR(GF6, Buckets_3_24[[#This Row],[After T]]&lt;0)</f>
        <v>1</v>
      </c>
      <c r="GQ6" s="29">
        <f>IF(Buckets_3_24[[#This Row],[Is Crit]], Buckets_3_24[[#This Row],[S Cap Diff]], 0)</f>
        <v>250.56</v>
      </c>
      <c r="GR6" s="29">
        <f>Buckets_3_24[[#This Row],[Before Fill]]+Buckets_3_24[[#This Row],[Crit To Fill]]</f>
        <v>500</v>
      </c>
      <c r="GS6" s="29">
        <f>IF(NOT(Buckets_3_24[[#This Row],[Is Crit]]), Buckets_3_24[[#This Row],[S Cap Diff]], 0)</f>
        <v>0</v>
      </c>
      <c r="GT6" s="31">
        <f>GR$41/Buckets_3_24[[#Totals],[NC To Fill]]*Buckets_3_24[[#This Row],[NC To Fill]]</f>
        <v>0</v>
      </c>
      <c r="GU6" s="31">
        <f>Buckets_3_24[[#This Row],[Crit Filled]]+Buckets_3_24[[#This Row],[Scaled]]</f>
        <v>500</v>
      </c>
      <c r="GV6" s="31">
        <f>Buckets_3_24[[#This Row],[NC Filled]]</f>
        <v>500</v>
      </c>
      <c r="GW6" s="31">
        <f>Buckets_3_24[[#This Row],[Capacity]]-Buckets_3_24[[#This Row],[Final]]</f>
        <v>0</v>
      </c>
      <c r="GX6" s="33">
        <f>IF(Buckets_3_24[[#This Row],[Capacity]]=0, 1, Buckets_3_24[[#This Row],[Final]]/Buckets_3_24[[#This Row],[Capacity]])</f>
        <v>1</v>
      </c>
      <c r="GZ6" s="40">
        <f>Buckets_3_24[[#This Row],[Final]]</f>
        <v>500</v>
      </c>
      <c r="HA6" s="40">
        <f>Buckets_3_24[[#This Row],[Capacity]]</f>
        <v>500</v>
      </c>
      <c r="HB6" s="41" t="b">
        <f t="shared" si="41"/>
        <v>1</v>
      </c>
      <c r="HC6" s="42"/>
      <c r="HD6" s="42"/>
      <c r="HE6" s="42"/>
      <c r="HF6" s="42"/>
      <c r="HG6" s="43"/>
      <c r="HH6" s="40">
        <f t="shared" si="42"/>
        <v>500</v>
      </c>
      <c r="HI6" s="40">
        <f t="shared" si="43"/>
        <v>500</v>
      </c>
      <c r="HJ6" s="41" t="b">
        <f t="shared" si="9"/>
        <v>1</v>
      </c>
      <c r="HL6" s="29">
        <f t="shared" si="44"/>
        <v>500</v>
      </c>
      <c r="HM6" s="29">
        <f>GetTransactionTotal(AggregateTable2024[], AggregateTable2024[Start], HL$1, AggregateTable2024[#Headers], $D6)</f>
        <v>0</v>
      </c>
      <c r="HN6" s="29">
        <f>Buckets_4_24[[#This Row],[Start]]+Buckets_4_24[[#This Row],[Transactions]]</f>
        <v>500</v>
      </c>
      <c r="HO6" s="29">
        <f t="shared" si="45"/>
        <v>500</v>
      </c>
      <c r="HP6" s="29">
        <f>Buckets_4_24[[#This Row],[Capacity]]-Buckets_4_24[[#This Row],[After T]]</f>
        <v>0</v>
      </c>
      <c r="HQ6" s="29">
        <f>MAX(-Buckets_4_24[[#This Row],[Cap Diff]], 0)</f>
        <v>0</v>
      </c>
      <c r="HR6" s="29">
        <f>Buckets_4_24[[#This Row],[After T]]-Buckets_4_24[[#This Row],[Slush]]</f>
        <v>500</v>
      </c>
      <c r="HS6" s="29">
        <f>Buckets_4_24[[#This Row],[Capacity]]-Buckets_4_24[[#This Row],[Before Fill]]</f>
        <v>0</v>
      </c>
      <c r="HT6" t="b">
        <f>OR(HJ6, Buckets_4_24[[#This Row],[After T]]&lt;0)</f>
        <v>1</v>
      </c>
      <c r="HU6" s="29">
        <f>IF(Buckets_4_24[[#This Row],[Is Crit]], Buckets_4_24[[#This Row],[S Cap Diff]], 0)</f>
        <v>0</v>
      </c>
      <c r="HV6" s="29">
        <f>Buckets_4_24[[#This Row],[Before Fill]]+Buckets_4_24[[#This Row],[Crit To Fill]]</f>
        <v>500</v>
      </c>
      <c r="HW6" s="29">
        <f>IF(NOT(Buckets_4_24[[#This Row],[Is Crit]]), Buckets_4_24[[#This Row],[S Cap Diff]], 0)</f>
        <v>0</v>
      </c>
      <c r="HX6" s="31">
        <f>HV$41/Buckets_4_24[[#Totals],[NC To Fill]]*Buckets_4_24[[#This Row],[NC To Fill]]</f>
        <v>0</v>
      </c>
      <c r="HY6" s="31">
        <f>Buckets_4_24[[#This Row],[Crit Filled]]+Buckets_4_24[[#This Row],[Scaled]]</f>
        <v>500</v>
      </c>
      <c r="HZ6" s="31">
        <f>Buckets_4_24[[#This Row],[NC Filled]]</f>
        <v>500</v>
      </c>
      <c r="IA6" s="31">
        <f>Buckets_4_24[[#This Row],[Capacity]]-Buckets_4_24[[#This Row],[Final]]</f>
        <v>0</v>
      </c>
      <c r="IB6" s="33">
        <f>IF(Buckets_4_24[[#This Row],[Capacity]]=0, 1, Buckets_4_24[[#This Row],[Final]]/Buckets_4_24[[#This Row],[Capacity]])</f>
        <v>1</v>
      </c>
      <c r="ID6" s="40">
        <f>Buckets_4_24[[#This Row],[Final]]</f>
        <v>500</v>
      </c>
      <c r="IE6" s="40">
        <f>Buckets_4_24[[#This Row],[Capacity]]</f>
        <v>500</v>
      </c>
      <c r="IF6" s="41" t="b">
        <f t="shared" si="46"/>
        <v>1</v>
      </c>
      <c r="IG6" s="42"/>
      <c r="IH6" s="42"/>
      <c r="II6" s="42"/>
      <c r="IJ6" s="42"/>
      <c r="IK6" s="43"/>
      <c r="IL6" s="40">
        <f t="shared" si="47"/>
        <v>500</v>
      </c>
      <c r="IM6" s="40">
        <f t="shared" si="48"/>
        <v>500</v>
      </c>
      <c r="IN6" s="41" t="b">
        <f t="shared" si="10"/>
        <v>1</v>
      </c>
    </row>
    <row r="7" spans="1:248" x14ac:dyDescent="0.25">
      <c r="A7" s="49"/>
      <c r="B7" t="s">
        <v>318</v>
      </c>
      <c r="C7" t="s">
        <v>116</v>
      </c>
      <c r="D7" t="s">
        <v>284</v>
      </c>
      <c r="F7" s="30">
        <v>50</v>
      </c>
      <c r="G7" s="38">
        <v>100</v>
      </c>
      <c r="H7" t="b">
        <v>1</v>
      </c>
      <c r="J7" s="29">
        <f t="shared" si="11"/>
        <v>50</v>
      </c>
      <c r="K7" s="29">
        <f>GetTransactionTotal(AggregateTable2023[], AggregateTable2023[Start], J$1, AggregateTable2023[#Headers], $D7)</f>
        <v>0</v>
      </c>
      <c r="L7" s="29">
        <f>Buckets_9_23[[#This Row],[Start]]+Buckets_9_23[[#This Row],[Transactions]]</f>
        <v>50</v>
      </c>
      <c r="M7" s="29">
        <f t="shared" si="12"/>
        <v>100</v>
      </c>
      <c r="N7" s="29">
        <f>Buckets_9_23[[#This Row],[Capacity]]-Buckets_9_23[[#This Row],[After T]]</f>
        <v>50</v>
      </c>
      <c r="O7" s="29">
        <f>IF(Buckets_9_23[[#This Row],[After T]]&lt;0, Buckets_9_23[[#This Row],[After T]], IF(Buckets_9_23[[#This Row],[Cap Diff]]&lt;0, -Buckets_9_23[[#This Row],[Cap Diff]], 0))</f>
        <v>0</v>
      </c>
      <c r="P7" s="29">
        <f>Buckets_9_23[[#This Row],[After T]]-Buckets_9_23[[#This Row],[Slush]]</f>
        <v>50</v>
      </c>
      <c r="Q7" s="29">
        <f>Buckets_9_23[[#This Row],[Capacity]]-Buckets_9_23[[#This Row],[Before Fill]]</f>
        <v>50</v>
      </c>
      <c r="R7" t="b">
        <f t="shared" si="0"/>
        <v>1</v>
      </c>
      <c r="S7" s="29">
        <f>IF(Buckets_9_23[[#This Row],[Is Crit]], Buckets_9_23[[#This Row],[S Cap Diff]], 0)</f>
        <v>50</v>
      </c>
      <c r="T7" s="29">
        <f>Buckets_9_23[[#This Row],[Before Fill]]+Buckets_9_23[[#This Row],[Crit To Fill]]</f>
        <v>100</v>
      </c>
      <c r="U7" s="29">
        <f>IF(NOT(Buckets_9_23[[#This Row],[Is Crit]]), Buckets_9_23[[#This Row],[S Cap Diff]], 0)</f>
        <v>0</v>
      </c>
      <c r="V7" s="31">
        <f>T$41/Buckets_9_23[[#Totals],[NC To Fill]]*Buckets_9_23[[#This Row],[NC To Fill]]</f>
        <v>0</v>
      </c>
      <c r="W7" s="31">
        <f>Buckets_9_23[[#This Row],[Crit Filled]]+Buckets_9_23[[#This Row],[Scaled]]</f>
        <v>100</v>
      </c>
      <c r="X7" s="31">
        <f>Buckets_9_23[[#This Row],[NC Filled]]</f>
        <v>100</v>
      </c>
      <c r="Y7" s="31">
        <f>Buckets_9_23[[#This Row],[Capacity]]-Buckets_9_23[[#This Row],[Final]]</f>
        <v>0</v>
      </c>
      <c r="Z7" s="33">
        <f>IF(Buckets_9_23[[#This Row],[Capacity]]=0, 1, Buckets_9_23[[#This Row],[Final]]/Buckets_9_23[[#This Row],[Capacity]])</f>
        <v>1</v>
      </c>
      <c r="AB7" s="31">
        <f>Buckets_9_23[[#This Row],[Final]]</f>
        <v>100</v>
      </c>
      <c r="AC7" s="31">
        <f>Buckets_9_23[[#This Row],[Capacity]]</f>
        <v>100</v>
      </c>
      <c r="AD7" t="b">
        <f t="shared" si="13"/>
        <v>1</v>
      </c>
      <c r="AE7" s="43" t="e">
        <f>NA()</f>
        <v>#N/A</v>
      </c>
      <c r="AF7" s="42"/>
      <c r="AG7" s="43" t="e">
        <f>NA()</f>
        <v>#N/A</v>
      </c>
      <c r="AH7" s="42"/>
      <c r="AI7" s="43"/>
      <c r="AJ7" s="31">
        <f t="shared" si="14"/>
        <v>100</v>
      </c>
      <c r="AK7" s="31">
        <f t="shared" si="15"/>
        <v>100</v>
      </c>
      <c r="AL7" t="b">
        <f t="shared" si="16"/>
        <v>1</v>
      </c>
      <c r="AN7" s="29">
        <f t="shared" si="17"/>
        <v>100</v>
      </c>
      <c r="AO7" s="29">
        <f>GetTransactionTotal(AggregateTable2023[], AggregateTable2023[Start], AN$1, AggregateTable2023[#Headers], $D7)</f>
        <v>0</v>
      </c>
      <c r="AP7" s="29">
        <f>Buckets_10_23[[#This Row],[Start]]+Buckets_10_23[[#This Row],[Transactions]]</f>
        <v>100</v>
      </c>
      <c r="AQ7" s="29">
        <f t="shared" si="18"/>
        <v>100</v>
      </c>
      <c r="AR7" s="29">
        <f>Buckets_10_23[[#This Row],[Capacity]]-Buckets_10_23[[#This Row],[After T]]</f>
        <v>0</v>
      </c>
      <c r="AS7" s="29">
        <f>MAX(-Buckets_10_23[[#This Row],[Cap Diff]], 0)</f>
        <v>0</v>
      </c>
      <c r="AT7" s="29">
        <f>Buckets_10_23[[#This Row],[After T]]-Buckets_10_23[[#This Row],[Slush]]</f>
        <v>100</v>
      </c>
      <c r="AU7" s="29">
        <f>Buckets_10_23[[#This Row],[Capacity]]-Buckets_10_23[[#This Row],[Before Fill]]</f>
        <v>0</v>
      </c>
      <c r="AV7" t="b">
        <f>OR(AL7, Buckets_10_23[[#This Row],[After T]]&lt;0)</f>
        <v>1</v>
      </c>
      <c r="AW7" s="29">
        <f>IF(Buckets_10_23[[#This Row],[Is Crit]], Buckets_10_23[[#This Row],[S Cap Diff]], 0)</f>
        <v>0</v>
      </c>
      <c r="AX7" s="29">
        <f>Buckets_10_23[[#This Row],[Before Fill]]+Buckets_10_23[[#This Row],[Crit To Fill]]</f>
        <v>100</v>
      </c>
      <c r="AY7" s="29">
        <f>IF(NOT(Buckets_10_23[[#This Row],[Is Crit]]), Buckets_10_23[[#This Row],[S Cap Diff]], 0)</f>
        <v>0</v>
      </c>
      <c r="AZ7" s="31">
        <f>AX$41/Buckets_10_23[[#Totals],[NC To Fill]]*Buckets_10_23[[#This Row],[NC To Fill]]</f>
        <v>0</v>
      </c>
      <c r="BA7" s="31">
        <f>Buckets_10_23[[#This Row],[Crit Filled]]+Buckets_10_23[[#This Row],[Scaled]]</f>
        <v>100</v>
      </c>
      <c r="BB7" s="31">
        <f>Buckets_10_23[[#This Row],[NC Filled]]</f>
        <v>100</v>
      </c>
      <c r="BC7" s="31">
        <f>Buckets_10_23[[#This Row],[Capacity]]-Buckets_10_23[[#This Row],[Final]]</f>
        <v>0</v>
      </c>
      <c r="BD7" s="33">
        <f>IF(Buckets_10_23[[#This Row],[Capacity]]=0, 1, Buckets_10_23[[#This Row],[Final]]/Buckets_10_23[[#This Row],[Capacity]])</f>
        <v>1</v>
      </c>
      <c r="BF7" s="31">
        <f>Buckets_10_23[[#This Row],[Final]]</f>
        <v>100</v>
      </c>
      <c r="BG7" s="31">
        <f>Buckets_10_23[[#This Row],[Capacity]]</f>
        <v>100</v>
      </c>
      <c r="BH7" t="b">
        <f t="shared" si="19"/>
        <v>1</v>
      </c>
      <c r="BI7" s="43" t="e">
        <f>NA()</f>
        <v>#N/A</v>
      </c>
      <c r="BJ7" s="42"/>
      <c r="BK7" s="43" t="e">
        <f>NA()</f>
        <v>#N/A</v>
      </c>
      <c r="BL7" s="42"/>
      <c r="BM7" s="43"/>
      <c r="BN7" s="31">
        <f t="shared" si="20"/>
        <v>100</v>
      </c>
      <c r="BO7" s="31">
        <f t="shared" si="1"/>
        <v>100</v>
      </c>
      <c r="BP7" t="b">
        <f t="shared" si="2"/>
        <v>1</v>
      </c>
      <c r="BR7" s="29">
        <f t="shared" si="21"/>
        <v>100</v>
      </c>
      <c r="BS7" s="29">
        <f>GetTransactionTotal(AggregateTable2023[], AggregateTable2023[Start], BR$1, AggregateTable2023[#Headers], $D7)</f>
        <v>0</v>
      </c>
      <c r="BT7" s="29">
        <f>Buckets_11_23[[#This Row],[Start]]+Buckets_11_23[[#This Row],[Transactions]]</f>
        <v>100</v>
      </c>
      <c r="BU7" s="29">
        <f t="shared" si="22"/>
        <v>100</v>
      </c>
      <c r="BV7" s="29">
        <f>Buckets_11_23[[#This Row],[Capacity]]-Buckets_11_23[[#This Row],[After T]]</f>
        <v>0</v>
      </c>
      <c r="BW7" s="29">
        <f>MAX(-Buckets_11_23[[#This Row],[Cap Diff]], 0)</f>
        <v>0</v>
      </c>
      <c r="BX7" s="29">
        <f>Buckets_11_23[[#This Row],[After T]]-Buckets_11_23[[#This Row],[Slush]]</f>
        <v>100</v>
      </c>
      <c r="BY7" s="29">
        <f>Buckets_11_23[[#This Row],[Capacity]]-Buckets_11_23[[#This Row],[Before Fill]]</f>
        <v>0</v>
      </c>
      <c r="BZ7" t="b">
        <f>OR(BP7, Buckets_11_23[[#This Row],[After T]]&lt;0)</f>
        <v>1</v>
      </c>
      <c r="CA7" s="29">
        <f>IF(Buckets_11_23[[#This Row],[Is Crit]], Buckets_11_23[[#This Row],[S Cap Diff]], 0)</f>
        <v>0</v>
      </c>
      <c r="CB7" s="29">
        <f>Buckets_11_23[[#This Row],[Before Fill]]+Buckets_11_23[[#This Row],[Crit To Fill]]</f>
        <v>100</v>
      </c>
      <c r="CC7" s="29">
        <f>IF(NOT(Buckets_11_23[[#This Row],[Is Crit]]), Buckets_11_23[[#This Row],[S Cap Diff]], 0)</f>
        <v>0</v>
      </c>
      <c r="CD7" s="31">
        <f>CB$41/Buckets_11_23[[#Totals],[NC To Fill]]*Buckets_11_23[[#This Row],[NC To Fill]]</f>
        <v>0</v>
      </c>
      <c r="CE7" s="31">
        <f>Buckets_11_23[[#This Row],[Crit Filled]]+Buckets_11_23[[#This Row],[Scaled]]</f>
        <v>100</v>
      </c>
      <c r="CF7" s="31">
        <f>Buckets_11_23[[#This Row],[NC Filled]]</f>
        <v>100</v>
      </c>
      <c r="CG7" s="31">
        <f>Buckets_11_23[[#This Row],[Capacity]]-Buckets_11_23[[#This Row],[Final]]</f>
        <v>0</v>
      </c>
      <c r="CH7" s="33">
        <f>IF(Buckets_11_23[[#This Row],[Capacity]]=0, 1, Buckets_11_23[[#This Row],[Final]]/Buckets_11_23[[#This Row],[Capacity]])</f>
        <v>1</v>
      </c>
      <c r="CJ7" s="40">
        <f>Buckets_11_23[[#This Row],[Final]]</f>
        <v>100</v>
      </c>
      <c r="CK7" s="40">
        <f>Buckets_11_23[[#This Row],[Capacity]]</f>
        <v>100</v>
      </c>
      <c r="CL7" s="41" t="b">
        <f t="shared" si="23"/>
        <v>1</v>
      </c>
      <c r="CM7" s="42"/>
      <c r="CN7" s="42"/>
      <c r="CO7" s="42" t="e">
        <f>NA()</f>
        <v>#N/A</v>
      </c>
      <c r="CP7" s="42"/>
      <c r="CQ7" s="43"/>
      <c r="CR7" s="40">
        <f t="shared" si="24"/>
        <v>100</v>
      </c>
      <c r="CS7" s="40">
        <f t="shared" si="3"/>
        <v>100</v>
      </c>
      <c r="CT7" s="41" t="b">
        <f t="shared" si="4"/>
        <v>1</v>
      </c>
      <c r="CV7" s="29">
        <f t="shared" si="25"/>
        <v>100</v>
      </c>
      <c r="CW7" s="29">
        <f>GetTransactionTotal(AggregateTable2023[], AggregateTable2023[Start], CV$1, AggregateTable2023[#Headers], $D7)</f>
        <v>0</v>
      </c>
      <c r="CX7" s="29">
        <f>Buckets_12_23[[#This Row],[Start]]+Buckets_12_23[[#This Row],[Transactions]]</f>
        <v>100</v>
      </c>
      <c r="CY7" s="29">
        <f t="shared" si="26"/>
        <v>100</v>
      </c>
      <c r="CZ7" s="29">
        <f>Buckets_12_23[[#This Row],[Capacity]]-Buckets_12_23[[#This Row],[After T]]</f>
        <v>0</v>
      </c>
      <c r="DA7" s="29">
        <f>MAX(-Buckets_12_23[[#This Row],[Cap Diff]], 0)</f>
        <v>0</v>
      </c>
      <c r="DB7" s="29">
        <f>Buckets_12_23[[#This Row],[After T]]-Buckets_12_23[[#This Row],[Slush]]</f>
        <v>100</v>
      </c>
      <c r="DC7" s="29">
        <f>Buckets_12_23[[#This Row],[Capacity]]-Buckets_12_23[[#This Row],[Before Fill]]</f>
        <v>0</v>
      </c>
      <c r="DD7" t="b">
        <f>OR(CT7, Buckets_12_23[[#This Row],[After T]]&lt;0)</f>
        <v>1</v>
      </c>
      <c r="DE7" s="29">
        <f>IF(Buckets_12_23[[#This Row],[Is Crit]], Buckets_12_23[[#This Row],[S Cap Diff]], 0)</f>
        <v>0</v>
      </c>
      <c r="DF7" s="29">
        <f>Buckets_12_23[[#This Row],[Before Fill]]+Buckets_12_23[[#This Row],[Crit To Fill]]</f>
        <v>100</v>
      </c>
      <c r="DG7" s="29">
        <f>IF(NOT(Buckets_12_23[[#This Row],[Is Crit]]), Buckets_12_23[[#This Row],[S Cap Diff]], 0)</f>
        <v>0</v>
      </c>
      <c r="DH7" s="31">
        <f>DF$41/Buckets_12_23[[#Totals],[NC To Fill]]*Buckets_12_23[[#This Row],[NC To Fill]]</f>
        <v>0</v>
      </c>
      <c r="DI7" s="31">
        <f>Buckets_12_23[[#This Row],[Crit Filled]]+Buckets_12_23[[#This Row],[Scaled]]</f>
        <v>100</v>
      </c>
      <c r="DJ7" s="31">
        <f>Buckets_12_23[[#This Row],[NC Filled]]</f>
        <v>100</v>
      </c>
      <c r="DK7" s="31">
        <f>Buckets_12_23[[#This Row],[Capacity]]-Buckets_12_23[[#This Row],[Final]]</f>
        <v>0</v>
      </c>
      <c r="DL7" s="33">
        <f>IF(Buckets_12_23[[#This Row],[Capacity]]=0, 1, Buckets_12_23[[#This Row],[Final]]/Buckets_12_23[[#This Row],[Capacity]])</f>
        <v>1</v>
      </c>
      <c r="DN7" s="40">
        <f>Buckets_12_23[[#This Row],[Final]]</f>
        <v>100</v>
      </c>
      <c r="DO7" s="40">
        <f>Buckets_12_23[[#This Row],[Capacity]]</f>
        <v>100</v>
      </c>
      <c r="DP7" s="41" t="b">
        <f t="shared" si="27"/>
        <v>1</v>
      </c>
      <c r="DQ7" s="42"/>
      <c r="DR7" s="42"/>
      <c r="DS7" s="42" t="e">
        <f>NA()</f>
        <v>#N/A</v>
      </c>
      <c r="DT7" s="42"/>
      <c r="DU7" s="43"/>
      <c r="DV7" s="40">
        <f t="shared" si="28"/>
        <v>100</v>
      </c>
      <c r="DW7" s="40">
        <f t="shared" si="5"/>
        <v>100</v>
      </c>
      <c r="DX7" s="41" t="b">
        <f t="shared" si="6"/>
        <v>1</v>
      </c>
      <c r="DZ7" s="29">
        <f t="shared" si="29"/>
        <v>100</v>
      </c>
      <c r="EA7" s="29">
        <f>GetTransactionTotal(AggregateTable2024[], AggregateTable2024[Start], DZ$1, AggregateTable2024[#Headers], $D7)</f>
        <v>0</v>
      </c>
      <c r="EB7" s="29">
        <f>Buckets_1_24[[#This Row],[Start]]+Buckets_1_24[[#This Row],[Transactions]]</f>
        <v>100</v>
      </c>
      <c r="EC7" s="29">
        <f t="shared" si="30"/>
        <v>100</v>
      </c>
      <c r="ED7" s="29">
        <f>Buckets_1_24[[#This Row],[Capacity]]-Buckets_1_24[[#This Row],[After T]]</f>
        <v>0</v>
      </c>
      <c r="EE7" s="29">
        <f>MAX(-Buckets_1_24[[#This Row],[Cap Diff]], 0)</f>
        <v>0</v>
      </c>
      <c r="EF7" s="29">
        <f>Buckets_1_24[[#This Row],[After T]]-Buckets_1_24[[#This Row],[Slush]]</f>
        <v>100</v>
      </c>
      <c r="EG7" s="29">
        <f>Buckets_1_24[[#This Row],[Capacity]]-Buckets_1_24[[#This Row],[Before Fill]]</f>
        <v>0</v>
      </c>
      <c r="EH7" t="b">
        <f>OR(DX7, Buckets_1_24[[#This Row],[After T]]&lt;0)</f>
        <v>1</v>
      </c>
      <c r="EI7" s="29">
        <f>IF(Buckets_1_24[[#This Row],[Is Crit]], Buckets_1_24[[#This Row],[S Cap Diff]], 0)</f>
        <v>0</v>
      </c>
      <c r="EJ7" s="29">
        <f>Buckets_1_24[[#This Row],[Before Fill]]+Buckets_1_24[[#This Row],[Crit To Fill]]</f>
        <v>100</v>
      </c>
      <c r="EK7" s="29">
        <f>IF(NOT(Buckets_1_24[[#This Row],[Is Crit]]), Buckets_1_24[[#This Row],[S Cap Diff]], 0)</f>
        <v>0</v>
      </c>
      <c r="EL7" s="31">
        <f>EJ$41/Buckets_1_24[[#Totals],[NC To Fill]]*Buckets_1_24[[#This Row],[NC To Fill]]</f>
        <v>0</v>
      </c>
      <c r="EM7" s="31">
        <f>Buckets_1_24[[#This Row],[Crit Filled]]+Buckets_1_24[[#This Row],[Scaled]]</f>
        <v>100</v>
      </c>
      <c r="EN7" s="31">
        <f>Buckets_1_24[[#This Row],[NC Filled]]</f>
        <v>100</v>
      </c>
      <c r="EO7" s="31">
        <f>Buckets_1_24[[#This Row],[Capacity]]-Buckets_1_24[[#This Row],[Final]]</f>
        <v>0</v>
      </c>
      <c r="EP7" s="33">
        <f>IF(Buckets_1_24[[#This Row],[Capacity]]=0, 1, Buckets_1_24[[#This Row],[Final]]/Buckets_1_24[[#This Row],[Capacity]])</f>
        <v>1</v>
      </c>
      <c r="ER7" s="40">
        <f>Buckets_1_24[[#This Row],[Final]]</f>
        <v>100</v>
      </c>
      <c r="ES7" s="40">
        <f>Buckets_1_24[[#This Row],[Capacity]]</f>
        <v>100</v>
      </c>
      <c r="ET7" s="41" t="b">
        <f t="shared" si="31"/>
        <v>1</v>
      </c>
      <c r="EU7" s="42"/>
      <c r="EV7" s="42"/>
      <c r="EW7" s="42"/>
      <c r="EX7" s="42"/>
      <c r="EY7" s="43"/>
      <c r="EZ7" s="40">
        <f t="shared" si="32"/>
        <v>100</v>
      </c>
      <c r="FA7" s="40">
        <f t="shared" si="33"/>
        <v>100</v>
      </c>
      <c r="FB7" s="41" t="b">
        <f t="shared" si="7"/>
        <v>1</v>
      </c>
      <c r="FD7" s="29">
        <f t="shared" si="34"/>
        <v>100</v>
      </c>
      <c r="FE7" s="29">
        <f>GetTransactionTotal(AggregateTable2024[], AggregateTable2024[Start], FD$1, AggregateTable2024[#Headers], $D7)</f>
        <v>0</v>
      </c>
      <c r="FF7" s="29">
        <f>Buckets_2_24[[#This Row],[Start]]+Buckets_2_24[[#This Row],[Transactions]]</f>
        <v>100</v>
      </c>
      <c r="FG7" s="29">
        <f t="shared" si="35"/>
        <v>100</v>
      </c>
      <c r="FH7" s="29">
        <f>Buckets_2_24[[#This Row],[Capacity]]-Buckets_2_24[[#This Row],[After T]]</f>
        <v>0</v>
      </c>
      <c r="FI7" s="29">
        <f>MAX(-Buckets_2_24[[#This Row],[Cap Diff]], 0)</f>
        <v>0</v>
      </c>
      <c r="FJ7" s="29">
        <f>Buckets_2_24[[#This Row],[After T]]-Buckets_2_24[[#This Row],[Slush]]</f>
        <v>100</v>
      </c>
      <c r="FK7" s="29">
        <f>Buckets_2_24[[#This Row],[Capacity]]-Buckets_2_24[[#This Row],[Before Fill]]</f>
        <v>0</v>
      </c>
      <c r="FL7" t="b">
        <f>OR(FB7, Buckets_2_24[[#This Row],[After T]]&lt;0)</f>
        <v>1</v>
      </c>
      <c r="FM7" s="29">
        <f>IF(Buckets_2_24[[#This Row],[Is Crit]], Buckets_2_24[[#This Row],[S Cap Diff]], 0)</f>
        <v>0</v>
      </c>
      <c r="FN7" s="29">
        <f>Buckets_2_24[[#This Row],[Before Fill]]+Buckets_2_24[[#This Row],[Crit To Fill]]</f>
        <v>100</v>
      </c>
      <c r="FO7" s="29">
        <f>IF(NOT(Buckets_2_24[[#This Row],[Is Crit]]), Buckets_2_24[[#This Row],[S Cap Diff]], 0)</f>
        <v>0</v>
      </c>
      <c r="FP7" s="31">
        <f>FN$41/Buckets_2_24[[#Totals],[NC To Fill]]*Buckets_2_24[[#This Row],[NC To Fill]]</f>
        <v>0</v>
      </c>
      <c r="FQ7" s="31">
        <f>Buckets_2_24[[#This Row],[Crit Filled]]+Buckets_2_24[[#This Row],[Scaled]]</f>
        <v>100</v>
      </c>
      <c r="FR7" s="31">
        <f>Buckets_2_24[[#This Row],[NC Filled]]</f>
        <v>100</v>
      </c>
      <c r="FS7" s="31">
        <f>Buckets_2_24[[#This Row],[Capacity]]-Buckets_2_24[[#This Row],[Final]]</f>
        <v>0</v>
      </c>
      <c r="FT7" s="33">
        <f>IF(Buckets_2_24[[#This Row],[Capacity]]=0, 1, Buckets_2_24[[#This Row],[Final]]/Buckets_2_24[[#This Row],[Capacity]])</f>
        <v>1</v>
      </c>
      <c r="FV7" s="40">
        <f>Buckets_2_24[[#This Row],[Final]]</f>
        <v>100</v>
      </c>
      <c r="FW7" s="40">
        <f>Buckets_2_24[[#This Row],[Capacity]]</f>
        <v>100</v>
      </c>
      <c r="FX7" s="41" t="b">
        <f t="shared" si="36"/>
        <v>1</v>
      </c>
      <c r="FY7" s="42"/>
      <c r="FZ7" s="42"/>
      <c r="GA7" s="42"/>
      <c r="GB7" s="42"/>
      <c r="GC7" s="43"/>
      <c r="GD7" s="40">
        <f t="shared" si="37"/>
        <v>100</v>
      </c>
      <c r="GE7" s="40">
        <f t="shared" si="38"/>
        <v>100</v>
      </c>
      <c r="GF7" s="41" t="b">
        <f t="shared" si="8"/>
        <v>1</v>
      </c>
      <c r="GH7" s="29">
        <f t="shared" si="39"/>
        <v>100</v>
      </c>
      <c r="GI7" s="29">
        <f>GetTransactionTotal(AggregateTable2024[], AggregateTable2024[Start], GH$1, AggregateTable2024[#Headers], $D7)</f>
        <v>0</v>
      </c>
      <c r="GJ7" s="29">
        <f>Buckets_3_24[[#This Row],[Start]]+Buckets_3_24[[#This Row],[Transactions]]</f>
        <v>100</v>
      </c>
      <c r="GK7" s="29">
        <f t="shared" si="40"/>
        <v>100</v>
      </c>
      <c r="GL7" s="29">
        <f>Buckets_3_24[[#This Row],[Capacity]]-Buckets_3_24[[#This Row],[After T]]</f>
        <v>0</v>
      </c>
      <c r="GM7" s="29">
        <f>MAX(-Buckets_3_24[[#This Row],[Cap Diff]], 0)</f>
        <v>0</v>
      </c>
      <c r="GN7" s="29">
        <f>Buckets_3_24[[#This Row],[After T]]-Buckets_3_24[[#This Row],[Slush]]</f>
        <v>100</v>
      </c>
      <c r="GO7" s="29">
        <f>Buckets_3_24[[#This Row],[Capacity]]-Buckets_3_24[[#This Row],[Before Fill]]</f>
        <v>0</v>
      </c>
      <c r="GP7" t="b">
        <f>OR(GF7, Buckets_3_24[[#This Row],[After T]]&lt;0)</f>
        <v>1</v>
      </c>
      <c r="GQ7" s="29">
        <f>IF(Buckets_3_24[[#This Row],[Is Crit]], Buckets_3_24[[#This Row],[S Cap Diff]], 0)</f>
        <v>0</v>
      </c>
      <c r="GR7" s="29">
        <f>Buckets_3_24[[#This Row],[Before Fill]]+Buckets_3_24[[#This Row],[Crit To Fill]]</f>
        <v>100</v>
      </c>
      <c r="GS7" s="29">
        <f>IF(NOT(Buckets_3_24[[#This Row],[Is Crit]]), Buckets_3_24[[#This Row],[S Cap Diff]], 0)</f>
        <v>0</v>
      </c>
      <c r="GT7" s="31">
        <f>GR$41/Buckets_3_24[[#Totals],[NC To Fill]]*Buckets_3_24[[#This Row],[NC To Fill]]</f>
        <v>0</v>
      </c>
      <c r="GU7" s="31">
        <f>Buckets_3_24[[#This Row],[Crit Filled]]+Buckets_3_24[[#This Row],[Scaled]]</f>
        <v>100</v>
      </c>
      <c r="GV7" s="31">
        <f>Buckets_3_24[[#This Row],[NC Filled]]</f>
        <v>100</v>
      </c>
      <c r="GW7" s="31">
        <f>Buckets_3_24[[#This Row],[Capacity]]-Buckets_3_24[[#This Row],[Final]]</f>
        <v>0</v>
      </c>
      <c r="GX7" s="33">
        <f>IF(Buckets_3_24[[#This Row],[Capacity]]=0, 1, Buckets_3_24[[#This Row],[Final]]/Buckets_3_24[[#This Row],[Capacity]])</f>
        <v>1</v>
      </c>
      <c r="GZ7" s="40">
        <f>Buckets_3_24[[#This Row],[Final]]</f>
        <v>100</v>
      </c>
      <c r="HA7" s="40">
        <f>Buckets_3_24[[#This Row],[Capacity]]</f>
        <v>100</v>
      </c>
      <c r="HB7" s="41" t="b">
        <f t="shared" si="41"/>
        <v>1</v>
      </c>
      <c r="HC7" s="42"/>
      <c r="HD7" s="42"/>
      <c r="HE7" s="42"/>
      <c r="HF7" s="42"/>
      <c r="HG7" s="43"/>
      <c r="HH7" s="40">
        <f t="shared" si="42"/>
        <v>100</v>
      </c>
      <c r="HI7" s="40">
        <f t="shared" si="43"/>
        <v>100</v>
      </c>
      <c r="HJ7" s="41" t="b">
        <f t="shared" si="9"/>
        <v>1</v>
      </c>
      <c r="HL7" s="29">
        <f t="shared" si="44"/>
        <v>100</v>
      </c>
      <c r="HM7" s="29">
        <f>GetTransactionTotal(AggregateTable2024[], AggregateTable2024[Start], HL$1, AggregateTable2024[#Headers], $D7)</f>
        <v>0</v>
      </c>
      <c r="HN7" s="29">
        <f>Buckets_4_24[[#This Row],[Start]]+Buckets_4_24[[#This Row],[Transactions]]</f>
        <v>100</v>
      </c>
      <c r="HO7" s="29">
        <f t="shared" si="45"/>
        <v>100</v>
      </c>
      <c r="HP7" s="29">
        <f>Buckets_4_24[[#This Row],[Capacity]]-Buckets_4_24[[#This Row],[After T]]</f>
        <v>0</v>
      </c>
      <c r="HQ7" s="29">
        <f>MAX(-Buckets_4_24[[#This Row],[Cap Diff]], 0)</f>
        <v>0</v>
      </c>
      <c r="HR7" s="29">
        <f>Buckets_4_24[[#This Row],[After T]]-Buckets_4_24[[#This Row],[Slush]]</f>
        <v>100</v>
      </c>
      <c r="HS7" s="29">
        <f>Buckets_4_24[[#This Row],[Capacity]]-Buckets_4_24[[#This Row],[Before Fill]]</f>
        <v>0</v>
      </c>
      <c r="HT7" t="b">
        <f>OR(HJ7, Buckets_4_24[[#This Row],[After T]]&lt;0)</f>
        <v>1</v>
      </c>
      <c r="HU7" s="29">
        <f>IF(Buckets_4_24[[#This Row],[Is Crit]], Buckets_4_24[[#This Row],[S Cap Diff]], 0)</f>
        <v>0</v>
      </c>
      <c r="HV7" s="29">
        <f>Buckets_4_24[[#This Row],[Before Fill]]+Buckets_4_24[[#This Row],[Crit To Fill]]</f>
        <v>100</v>
      </c>
      <c r="HW7" s="29">
        <f>IF(NOT(Buckets_4_24[[#This Row],[Is Crit]]), Buckets_4_24[[#This Row],[S Cap Diff]], 0)</f>
        <v>0</v>
      </c>
      <c r="HX7" s="31">
        <f>HV$41/Buckets_4_24[[#Totals],[NC To Fill]]*Buckets_4_24[[#This Row],[NC To Fill]]</f>
        <v>0</v>
      </c>
      <c r="HY7" s="31">
        <f>Buckets_4_24[[#This Row],[Crit Filled]]+Buckets_4_24[[#This Row],[Scaled]]</f>
        <v>100</v>
      </c>
      <c r="HZ7" s="31">
        <f>Buckets_4_24[[#This Row],[NC Filled]]</f>
        <v>100</v>
      </c>
      <c r="IA7" s="31">
        <f>Buckets_4_24[[#This Row],[Capacity]]-Buckets_4_24[[#This Row],[Final]]</f>
        <v>0</v>
      </c>
      <c r="IB7" s="33">
        <f>IF(Buckets_4_24[[#This Row],[Capacity]]=0, 1, Buckets_4_24[[#This Row],[Final]]/Buckets_4_24[[#This Row],[Capacity]])</f>
        <v>1</v>
      </c>
      <c r="ID7" s="40">
        <f>Buckets_4_24[[#This Row],[Final]]</f>
        <v>100</v>
      </c>
      <c r="IE7" s="40">
        <f>Buckets_4_24[[#This Row],[Capacity]]</f>
        <v>100</v>
      </c>
      <c r="IF7" s="41" t="b">
        <f t="shared" si="46"/>
        <v>1</v>
      </c>
      <c r="IG7" s="42"/>
      <c r="IH7" s="42"/>
      <c r="II7" s="42"/>
      <c r="IJ7" s="42"/>
      <c r="IK7" s="43"/>
      <c r="IL7" s="40">
        <f t="shared" si="47"/>
        <v>100</v>
      </c>
      <c r="IM7" s="40">
        <f t="shared" si="48"/>
        <v>100</v>
      </c>
      <c r="IN7" s="41" t="b">
        <f t="shared" si="10"/>
        <v>1</v>
      </c>
    </row>
    <row r="8" spans="1:248" x14ac:dyDescent="0.25">
      <c r="A8" s="49"/>
      <c r="B8" t="s">
        <v>322</v>
      </c>
      <c r="C8" t="s">
        <v>285</v>
      </c>
      <c r="D8" t="s">
        <v>285</v>
      </c>
      <c r="F8" s="30">
        <v>0</v>
      </c>
      <c r="G8" s="38">
        <v>500</v>
      </c>
      <c r="H8" t="b">
        <v>0</v>
      </c>
      <c r="J8" s="29">
        <f t="shared" si="11"/>
        <v>0</v>
      </c>
      <c r="K8" s="29">
        <f>GetTransactionTotal(AggregateTable2023[], AggregateTable2023[Start], J$1, AggregateTable2023[#Headers], $D8)</f>
        <v>0</v>
      </c>
      <c r="L8" s="29">
        <f>Buckets_9_23[[#This Row],[Start]]+Buckets_9_23[[#This Row],[Transactions]]</f>
        <v>0</v>
      </c>
      <c r="M8" s="29">
        <f t="shared" si="12"/>
        <v>500</v>
      </c>
      <c r="N8" s="29">
        <f>Buckets_9_23[[#This Row],[Capacity]]-Buckets_9_23[[#This Row],[After T]]</f>
        <v>500</v>
      </c>
      <c r="O8" s="29">
        <f>IF(Buckets_9_23[[#This Row],[After T]]&lt;0, Buckets_9_23[[#This Row],[After T]], IF(Buckets_9_23[[#This Row],[Cap Diff]]&lt;0, -Buckets_9_23[[#This Row],[Cap Diff]], 0))</f>
        <v>0</v>
      </c>
      <c r="P8" s="29">
        <f>Buckets_9_23[[#This Row],[After T]]-Buckets_9_23[[#This Row],[Slush]]</f>
        <v>0</v>
      </c>
      <c r="Q8" s="29">
        <f>Buckets_9_23[[#This Row],[Capacity]]-Buckets_9_23[[#This Row],[Before Fill]]</f>
        <v>500</v>
      </c>
      <c r="R8" t="b">
        <f t="shared" si="0"/>
        <v>0</v>
      </c>
      <c r="S8" s="29">
        <f>IF(Buckets_9_23[[#This Row],[Is Crit]], Buckets_9_23[[#This Row],[S Cap Diff]], 0)</f>
        <v>0</v>
      </c>
      <c r="T8" s="29">
        <f>Buckets_9_23[[#This Row],[Before Fill]]+Buckets_9_23[[#This Row],[Crit To Fill]]</f>
        <v>0</v>
      </c>
      <c r="U8" s="29">
        <f>IF(NOT(Buckets_9_23[[#This Row],[Is Crit]]), Buckets_9_23[[#This Row],[S Cap Diff]], 0)</f>
        <v>500</v>
      </c>
      <c r="V8" s="31">
        <f>T$41/Buckets_9_23[[#Totals],[NC To Fill]]*Buckets_9_23[[#This Row],[NC To Fill]]</f>
        <v>436.40879854831962</v>
      </c>
      <c r="W8" s="31">
        <f>Buckets_9_23[[#This Row],[Crit Filled]]+Buckets_9_23[[#This Row],[Scaled]]</f>
        <v>436.40879854831962</v>
      </c>
      <c r="X8" s="31">
        <f>Buckets_9_23[[#This Row],[NC Filled]]</f>
        <v>436.40879854831962</v>
      </c>
      <c r="Y8" s="31">
        <f>Buckets_9_23[[#This Row],[Capacity]]-Buckets_9_23[[#This Row],[Final]]</f>
        <v>63.591201451680377</v>
      </c>
      <c r="Z8" s="33">
        <f>IF(Buckets_9_23[[#This Row],[Capacity]]=0, 1, Buckets_9_23[[#This Row],[Final]]/Buckets_9_23[[#This Row],[Capacity]])</f>
        <v>0.8728175970966392</v>
      </c>
      <c r="AB8" s="31">
        <f>Buckets_9_23[[#This Row],[Final]]</f>
        <v>436.40879854831962</v>
      </c>
      <c r="AC8" s="31">
        <f>Buckets_9_23[[#This Row],[Capacity]]</f>
        <v>500</v>
      </c>
      <c r="AD8" t="b">
        <f t="shared" si="13"/>
        <v>0</v>
      </c>
      <c r="AE8" s="43" t="e">
        <f>NA()</f>
        <v>#N/A</v>
      </c>
      <c r="AF8" s="42"/>
      <c r="AG8" s="43" t="e">
        <f>NA()</f>
        <v>#N/A</v>
      </c>
      <c r="AH8" s="42"/>
      <c r="AI8" s="43"/>
      <c r="AJ8" s="31">
        <f t="shared" si="14"/>
        <v>436.40879854831962</v>
      </c>
      <c r="AK8" s="31">
        <f t="shared" si="15"/>
        <v>500</v>
      </c>
      <c r="AL8" t="b">
        <f t="shared" si="16"/>
        <v>0</v>
      </c>
      <c r="AN8" s="29">
        <f t="shared" si="17"/>
        <v>436.40879854831962</v>
      </c>
      <c r="AO8" s="29">
        <f>GetTransactionTotal(AggregateTable2023[], AggregateTable2023[Start], AN$1, AggregateTable2023[#Headers], $D8)</f>
        <v>0</v>
      </c>
      <c r="AP8" s="29">
        <f>Buckets_10_23[[#This Row],[Start]]+Buckets_10_23[[#This Row],[Transactions]]</f>
        <v>436.40879854831962</v>
      </c>
      <c r="AQ8" s="29">
        <f t="shared" si="18"/>
        <v>500</v>
      </c>
      <c r="AR8" s="29">
        <f>Buckets_10_23[[#This Row],[Capacity]]-Buckets_10_23[[#This Row],[After T]]</f>
        <v>63.591201451680377</v>
      </c>
      <c r="AS8" s="29">
        <f>MAX(-Buckets_10_23[[#This Row],[Cap Diff]], 0)</f>
        <v>0</v>
      </c>
      <c r="AT8" s="29">
        <f>Buckets_10_23[[#This Row],[After T]]-Buckets_10_23[[#This Row],[Slush]]</f>
        <v>436.40879854831962</v>
      </c>
      <c r="AU8" s="29">
        <f>Buckets_10_23[[#This Row],[Capacity]]-Buckets_10_23[[#This Row],[Before Fill]]</f>
        <v>63.591201451680377</v>
      </c>
      <c r="AV8" t="b">
        <f>OR(AL8, Buckets_10_23[[#This Row],[After T]]&lt;0)</f>
        <v>0</v>
      </c>
      <c r="AW8" s="29">
        <f>IF(Buckets_10_23[[#This Row],[Is Crit]], Buckets_10_23[[#This Row],[S Cap Diff]], 0)</f>
        <v>0</v>
      </c>
      <c r="AX8" s="29">
        <f>Buckets_10_23[[#This Row],[Before Fill]]+Buckets_10_23[[#This Row],[Crit To Fill]]</f>
        <v>436.40879854831962</v>
      </c>
      <c r="AY8" s="29">
        <f>IF(NOT(Buckets_10_23[[#This Row],[Is Crit]]), Buckets_10_23[[#This Row],[S Cap Diff]], 0)</f>
        <v>63.591201451680377</v>
      </c>
      <c r="AZ8" s="31">
        <f>AX$41/Buckets_10_23[[#Totals],[NC To Fill]]*Buckets_10_23[[#This Row],[NC To Fill]]</f>
        <v>37.77141460593247</v>
      </c>
      <c r="BA8" s="31">
        <f>Buckets_10_23[[#This Row],[Crit Filled]]+Buckets_10_23[[#This Row],[Scaled]]</f>
        <v>474.1802131542521</v>
      </c>
      <c r="BB8" s="31">
        <f>Buckets_10_23[[#This Row],[NC Filled]]</f>
        <v>474.1802131542521</v>
      </c>
      <c r="BC8" s="31">
        <f>Buckets_10_23[[#This Row],[Capacity]]-Buckets_10_23[[#This Row],[Final]]</f>
        <v>25.819786845747899</v>
      </c>
      <c r="BD8" s="33">
        <f>IF(Buckets_10_23[[#This Row],[Capacity]]=0, 1, Buckets_10_23[[#This Row],[Final]]/Buckets_10_23[[#This Row],[Capacity]])</f>
        <v>0.94836042630850426</v>
      </c>
      <c r="BF8" s="31">
        <f>Buckets_10_23[[#This Row],[Final]]</f>
        <v>474.1802131542521</v>
      </c>
      <c r="BG8" s="31">
        <f>Buckets_10_23[[#This Row],[Capacity]]</f>
        <v>500</v>
      </c>
      <c r="BH8" t="b">
        <f t="shared" si="19"/>
        <v>0</v>
      </c>
      <c r="BI8" s="43" t="e">
        <f>NA()</f>
        <v>#N/A</v>
      </c>
      <c r="BJ8" s="42"/>
      <c r="BK8" s="43" t="e">
        <f>NA()</f>
        <v>#N/A</v>
      </c>
      <c r="BL8" s="42"/>
      <c r="BM8" s="43"/>
      <c r="BN8" s="31">
        <f t="shared" si="20"/>
        <v>474.1802131542521</v>
      </c>
      <c r="BO8" s="31">
        <f t="shared" si="1"/>
        <v>500</v>
      </c>
      <c r="BP8" t="b">
        <f t="shared" si="2"/>
        <v>0</v>
      </c>
      <c r="BR8" s="29">
        <f t="shared" si="21"/>
        <v>474.1802131542521</v>
      </c>
      <c r="BS8" s="29">
        <f>GetTransactionTotal(AggregateTable2023[], AggregateTable2023[Start], BR$1, AggregateTable2023[#Headers], $D8)</f>
        <v>-1489.58</v>
      </c>
      <c r="BT8" s="29">
        <f>Buckets_11_23[[#This Row],[Start]]+Buckets_11_23[[#This Row],[Transactions]]</f>
        <v>-1015.3997868457478</v>
      </c>
      <c r="BU8" s="29">
        <f t="shared" si="22"/>
        <v>500</v>
      </c>
      <c r="BV8" s="29">
        <f>Buckets_11_23[[#This Row],[Capacity]]-Buckets_11_23[[#This Row],[After T]]</f>
        <v>1515.3997868457477</v>
      </c>
      <c r="BW8" s="29">
        <f>MAX(-Buckets_11_23[[#This Row],[Cap Diff]], 0)</f>
        <v>0</v>
      </c>
      <c r="BX8" s="29">
        <f>Buckets_11_23[[#This Row],[After T]]-Buckets_11_23[[#This Row],[Slush]]</f>
        <v>-1015.3997868457478</v>
      </c>
      <c r="BY8" s="29">
        <f>Buckets_11_23[[#This Row],[Capacity]]-Buckets_11_23[[#This Row],[Before Fill]]</f>
        <v>1515.3997868457477</v>
      </c>
      <c r="BZ8" t="b">
        <f>OR(BP8, Buckets_11_23[[#This Row],[After T]]&lt;0)</f>
        <v>1</v>
      </c>
      <c r="CA8" s="29">
        <f>IF(Buckets_11_23[[#This Row],[Is Crit]], Buckets_11_23[[#This Row],[S Cap Diff]], 0)</f>
        <v>1515.3997868457477</v>
      </c>
      <c r="CB8" s="29">
        <f>Buckets_11_23[[#This Row],[Before Fill]]+Buckets_11_23[[#This Row],[Crit To Fill]]</f>
        <v>499.99999999999989</v>
      </c>
      <c r="CC8" s="29">
        <f>IF(NOT(Buckets_11_23[[#This Row],[Is Crit]]), Buckets_11_23[[#This Row],[S Cap Diff]], 0)</f>
        <v>0</v>
      </c>
      <c r="CD8" s="31">
        <f>CB$41/Buckets_11_23[[#Totals],[NC To Fill]]*Buckets_11_23[[#This Row],[NC To Fill]]</f>
        <v>0</v>
      </c>
      <c r="CE8" s="31">
        <f>Buckets_11_23[[#This Row],[Crit Filled]]+Buckets_11_23[[#This Row],[Scaled]]</f>
        <v>499.99999999999989</v>
      </c>
      <c r="CF8" s="31">
        <f>Buckets_11_23[[#This Row],[NC Filled]]</f>
        <v>499.99999999999989</v>
      </c>
      <c r="CG8" s="31">
        <f>Buckets_11_23[[#This Row],[Capacity]]-Buckets_11_23[[#This Row],[Final]]</f>
        <v>0</v>
      </c>
      <c r="CH8" s="33">
        <f>IF(Buckets_11_23[[#This Row],[Capacity]]=0, 1, Buckets_11_23[[#This Row],[Final]]/Buckets_11_23[[#This Row],[Capacity]])</f>
        <v>0.99999999999999978</v>
      </c>
      <c r="CJ8" s="40">
        <f>Buckets_11_23[[#This Row],[Final]]</f>
        <v>499.99999999999989</v>
      </c>
      <c r="CK8" s="40">
        <f>Buckets_11_23[[#This Row],[Capacity]]</f>
        <v>500</v>
      </c>
      <c r="CL8" s="41" t="b">
        <f t="shared" si="23"/>
        <v>0</v>
      </c>
      <c r="CM8" s="42">
        <v>1790</v>
      </c>
      <c r="CN8" s="42"/>
      <c r="CO8" s="42" t="e">
        <f>NA()</f>
        <v>#N/A</v>
      </c>
      <c r="CP8" s="42"/>
      <c r="CQ8" s="43"/>
      <c r="CR8" s="40">
        <f t="shared" si="24"/>
        <v>2290</v>
      </c>
      <c r="CS8" s="40">
        <f t="shared" si="3"/>
        <v>500</v>
      </c>
      <c r="CT8" s="41" t="b">
        <f t="shared" si="4"/>
        <v>0</v>
      </c>
      <c r="CV8" s="29">
        <f t="shared" si="25"/>
        <v>2290</v>
      </c>
      <c r="CW8" s="29">
        <f>GetTransactionTotal(AggregateTable2023[], AggregateTable2023[Start], CV$1, AggregateTable2023[#Headers], $D8)</f>
        <v>-2218</v>
      </c>
      <c r="CX8" s="29">
        <f>Buckets_12_23[[#This Row],[Start]]+Buckets_12_23[[#This Row],[Transactions]]</f>
        <v>72</v>
      </c>
      <c r="CY8" s="29">
        <f t="shared" si="26"/>
        <v>500</v>
      </c>
      <c r="CZ8" s="29">
        <f>Buckets_12_23[[#This Row],[Capacity]]-Buckets_12_23[[#This Row],[After T]]</f>
        <v>428</v>
      </c>
      <c r="DA8" s="29">
        <f>MAX(-Buckets_12_23[[#This Row],[Cap Diff]], 0)</f>
        <v>0</v>
      </c>
      <c r="DB8" s="29">
        <f>Buckets_12_23[[#This Row],[After T]]-Buckets_12_23[[#This Row],[Slush]]</f>
        <v>72</v>
      </c>
      <c r="DC8" s="29">
        <f>Buckets_12_23[[#This Row],[Capacity]]-Buckets_12_23[[#This Row],[Before Fill]]</f>
        <v>428</v>
      </c>
      <c r="DD8" t="b">
        <f>OR(CT8, Buckets_12_23[[#This Row],[After T]]&lt;0)</f>
        <v>0</v>
      </c>
      <c r="DE8" s="29">
        <f>IF(Buckets_12_23[[#This Row],[Is Crit]], Buckets_12_23[[#This Row],[S Cap Diff]], 0)</f>
        <v>0</v>
      </c>
      <c r="DF8" s="29">
        <f>Buckets_12_23[[#This Row],[Before Fill]]+Buckets_12_23[[#This Row],[Crit To Fill]]</f>
        <v>72</v>
      </c>
      <c r="DG8" s="29">
        <f>IF(NOT(Buckets_12_23[[#This Row],[Is Crit]]), Buckets_12_23[[#This Row],[S Cap Diff]], 0)</f>
        <v>428</v>
      </c>
      <c r="DH8" s="31">
        <f>DF$41/Buckets_12_23[[#Totals],[NC To Fill]]*Buckets_12_23[[#This Row],[NC To Fill]]</f>
        <v>195.69018718617301</v>
      </c>
      <c r="DI8" s="31">
        <f>Buckets_12_23[[#This Row],[Crit Filled]]+Buckets_12_23[[#This Row],[Scaled]]</f>
        <v>267.69018718617303</v>
      </c>
      <c r="DJ8" s="31">
        <f>Buckets_12_23[[#This Row],[NC Filled]]</f>
        <v>267.69018718617303</v>
      </c>
      <c r="DK8" s="31">
        <f>Buckets_12_23[[#This Row],[Capacity]]-Buckets_12_23[[#This Row],[Final]]</f>
        <v>232.30981281382697</v>
      </c>
      <c r="DL8" s="33">
        <f>IF(Buckets_12_23[[#This Row],[Capacity]]=0, 1, Buckets_12_23[[#This Row],[Final]]/Buckets_12_23[[#This Row],[Capacity]])</f>
        <v>0.53538037437234609</v>
      </c>
      <c r="DN8" s="40">
        <f>Buckets_12_23[[#This Row],[Final]]</f>
        <v>267.69018718617303</v>
      </c>
      <c r="DO8" s="40">
        <f>Buckets_12_23[[#This Row],[Capacity]]</f>
        <v>500</v>
      </c>
      <c r="DP8" s="41" t="b">
        <f t="shared" si="27"/>
        <v>0</v>
      </c>
      <c r="DQ8" s="42"/>
      <c r="DR8" s="42"/>
      <c r="DS8" s="42" t="e">
        <f>NA()</f>
        <v>#N/A</v>
      </c>
      <c r="DT8" s="42"/>
      <c r="DU8" s="43"/>
      <c r="DV8" s="40">
        <f t="shared" si="28"/>
        <v>267.69018718617303</v>
      </c>
      <c r="DW8" s="40">
        <f t="shared" si="5"/>
        <v>500</v>
      </c>
      <c r="DX8" s="41" t="b">
        <f t="shared" si="6"/>
        <v>0</v>
      </c>
      <c r="DZ8" s="29">
        <f t="shared" si="29"/>
        <v>267.69018718617303</v>
      </c>
      <c r="EA8" s="29">
        <f>GetTransactionTotal(AggregateTable2024[], AggregateTable2024[Start], DZ$1, AggregateTable2024[#Headers], $D8)</f>
        <v>-500</v>
      </c>
      <c r="EB8" s="29">
        <f>Buckets_1_24[[#This Row],[Start]]+Buckets_1_24[[#This Row],[Transactions]]</f>
        <v>-232.30981281382697</v>
      </c>
      <c r="EC8" s="29">
        <f t="shared" si="30"/>
        <v>500</v>
      </c>
      <c r="ED8" s="29">
        <f>Buckets_1_24[[#This Row],[Capacity]]-Buckets_1_24[[#This Row],[After T]]</f>
        <v>732.30981281382697</v>
      </c>
      <c r="EE8" s="29">
        <f>MAX(-Buckets_1_24[[#This Row],[Cap Diff]], 0)</f>
        <v>0</v>
      </c>
      <c r="EF8" s="29">
        <f>Buckets_1_24[[#This Row],[After T]]-Buckets_1_24[[#This Row],[Slush]]</f>
        <v>-232.30981281382697</v>
      </c>
      <c r="EG8" s="29">
        <f>Buckets_1_24[[#This Row],[Capacity]]-Buckets_1_24[[#This Row],[Before Fill]]</f>
        <v>732.30981281382697</v>
      </c>
      <c r="EH8" t="b">
        <f>OR(DX8, Buckets_1_24[[#This Row],[After T]]&lt;0)</f>
        <v>1</v>
      </c>
      <c r="EI8" s="29">
        <f>IF(Buckets_1_24[[#This Row],[Is Crit]], Buckets_1_24[[#This Row],[S Cap Diff]], 0)</f>
        <v>732.30981281382697</v>
      </c>
      <c r="EJ8" s="29">
        <f>Buckets_1_24[[#This Row],[Before Fill]]+Buckets_1_24[[#This Row],[Crit To Fill]]</f>
        <v>500</v>
      </c>
      <c r="EK8" s="29">
        <f>IF(NOT(Buckets_1_24[[#This Row],[Is Crit]]), Buckets_1_24[[#This Row],[S Cap Diff]], 0)</f>
        <v>0</v>
      </c>
      <c r="EL8" s="31">
        <f>EJ$41/Buckets_1_24[[#Totals],[NC To Fill]]*Buckets_1_24[[#This Row],[NC To Fill]]</f>
        <v>0</v>
      </c>
      <c r="EM8" s="31">
        <f>Buckets_1_24[[#This Row],[Crit Filled]]+Buckets_1_24[[#This Row],[Scaled]]</f>
        <v>500</v>
      </c>
      <c r="EN8" s="31">
        <f>Buckets_1_24[[#This Row],[NC Filled]]</f>
        <v>500</v>
      </c>
      <c r="EO8" s="31">
        <f>Buckets_1_24[[#This Row],[Capacity]]-Buckets_1_24[[#This Row],[Final]]</f>
        <v>0</v>
      </c>
      <c r="EP8" s="33">
        <f>IF(Buckets_1_24[[#This Row],[Capacity]]=0, 1, Buckets_1_24[[#This Row],[Final]]/Buckets_1_24[[#This Row],[Capacity]])</f>
        <v>1</v>
      </c>
      <c r="ER8" s="40">
        <f>Buckets_1_24[[#This Row],[Final]]</f>
        <v>500</v>
      </c>
      <c r="ES8" s="40">
        <f>Buckets_1_24[[#This Row],[Capacity]]</f>
        <v>500</v>
      </c>
      <c r="ET8" s="41" t="b">
        <f t="shared" si="31"/>
        <v>0</v>
      </c>
      <c r="EU8" s="42"/>
      <c r="EV8" s="42"/>
      <c r="EW8" s="42"/>
      <c r="EX8" s="42"/>
      <c r="EY8" s="43"/>
      <c r="EZ8" s="40">
        <f t="shared" si="32"/>
        <v>500</v>
      </c>
      <c r="FA8" s="40">
        <f t="shared" si="33"/>
        <v>500</v>
      </c>
      <c r="FB8" s="41" t="b">
        <f t="shared" si="7"/>
        <v>0</v>
      </c>
      <c r="FD8" s="29">
        <f t="shared" si="34"/>
        <v>500</v>
      </c>
      <c r="FE8" s="29">
        <f>GetTransactionTotal(AggregateTable2024[], AggregateTable2024[Start], FD$1, AggregateTable2024[#Headers], $D8)</f>
        <v>-500</v>
      </c>
      <c r="FF8" s="29">
        <f>Buckets_2_24[[#This Row],[Start]]+Buckets_2_24[[#This Row],[Transactions]]</f>
        <v>0</v>
      </c>
      <c r="FG8" s="29">
        <f t="shared" si="35"/>
        <v>500</v>
      </c>
      <c r="FH8" s="29">
        <f>Buckets_2_24[[#This Row],[Capacity]]-Buckets_2_24[[#This Row],[After T]]</f>
        <v>500</v>
      </c>
      <c r="FI8" s="29">
        <f>MAX(-Buckets_2_24[[#This Row],[Cap Diff]], 0)</f>
        <v>0</v>
      </c>
      <c r="FJ8" s="29">
        <f>Buckets_2_24[[#This Row],[After T]]-Buckets_2_24[[#This Row],[Slush]]</f>
        <v>0</v>
      </c>
      <c r="FK8" s="29">
        <f>Buckets_2_24[[#This Row],[Capacity]]-Buckets_2_24[[#This Row],[Before Fill]]</f>
        <v>500</v>
      </c>
      <c r="FL8" t="b">
        <f>OR(FB8, Buckets_2_24[[#This Row],[After T]]&lt;0)</f>
        <v>0</v>
      </c>
      <c r="FM8" s="29">
        <f>IF(Buckets_2_24[[#This Row],[Is Crit]], Buckets_2_24[[#This Row],[S Cap Diff]], 0)</f>
        <v>0</v>
      </c>
      <c r="FN8" s="29">
        <f>Buckets_2_24[[#This Row],[Before Fill]]+Buckets_2_24[[#This Row],[Crit To Fill]]</f>
        <v>0</v>
      </c>
      <c r="FO8" s="29">
        <f>IF(NOT(Buckets_2_24[[#This Row],[Is Crit]]), Buckets_2_24[[#This Row],[S Cap Diff]], 0)</f>
        <v>500</v>
      </c>
      <c r="FP8" s="31">
        <f>FN$41/Buckets_2_24[[#Totals],[NC To Fill]]*Buckets_2_24[[#This Row],[NC To Fill]]</f>
        <v>481.6728664884011</v>
      </c>
      <c r="FQ8" s="31">
        <f>Buckets_2_24[[#This Row],[Crit Filled]]+Buckets_2_24[[#This Row],[Scaled]]</f>
        <v>481.6728664884011</v>
      </c>
      <c r="FR8" s="31">
        <f>Buckets_2_24[[#This Row],[NC Filled]]</f>
        <v>481.6728664884011</v>
      </c>
      <c r="FS8" s="31">
        <f>Buckets_2_24[[#This Row],[Capacity]]-Buckets_2_24[[#This Row],[Final]]</f>
        <v>18.327133511598902</v>
      </c>
      <c r="FT8" s="33">
        <f>IF(Buckets_2_24[[#This Row],[Capacity]]=0, 1, Buckets_2_24[[#This Row],[Final]]/Buckets_2_24[[#This Row],[Capacity]])</f>
        <v>0.96334573297680215</v>
      </c>
      <c r="FV8" s="40">
        <f>Buckets_2_24[[#This Row],[Final]]</f>
        <v>481.6728664884011</v>
      </c>
      <c r="FW8" s="40">
        <f>Buckets_2_24[[#This Row],[Capacity]]</f>
        <v>500</v>
      </c>
      <c r="FX8" s="41" t="b">
        <f t="shared" si="36"/>
        <v>0</v>
      </c>
      <c r="FY8" s="42"/>
      <c r="FZ8" s="42"/>
      <c r="GA8" s="42"/>
      <c r="GB8" s="42"/>
      <c r="GC8" s="43"/>
      <c r="GD8" s="40">
        <f t="shared" si="37"/>
        <v>481.6728664884011</v>
      </c>
      <c r="GE8" s="40">
        <f t="shared" si="38"/>
        <v>500</v>
      </c>
      <c r="GF8" s="41" t="b">
        <f t="shared" si="8"/>
        <v>0</v>
      </c>
      <c r="GH8" s="29">
        <f t="shared" si="39"/>
        <v>481.6728664884011</v>
      </c>
      <c r="GI8" s="29">
        <f>GetTransactionTotal(AggregateTable2024[], AggregateTable2024[Start], GH$1, AggregateTable2024[#Headers], $D8)</f>
        <v>-500</v>
      </c>
      <c r="GJ8" s="29">
        <f>Buckets_3_24[[#This Row],[Start]]+Buckets_3_24[[#This Row],[Transactions]]</f>
        <v>-18.327133511598902</v>
      </c>
      <c r="GK8" s="29">
        <f t="shared" si="40"/>
        <v>500</v>
      </c>
      <c r="GL8" s="29">
        <f>Buckets_3_24[[#This Row],[Capacity]]-Buckets_3_24[[#This Row],[After T]]</f>
        <v>518.32713351159896</v>
      </c>
      <c r="GM8" s="29">
        <f>MAX(-Buckets_3_24[[#This Row],[Cap Diff]], 0)</f>
        <v>0</v>
      </c>
      <c r="GN8" s="29">
        <f>Buckets_3_24[[#This Row],[After T]]-Buckets_3_24[[#This Row],[Slush]]</f>
        <v>-18.327133511598902</v>
      </c>
      <c r="GO8" s="29">
        <f>Buckets_3_24[[#This Row],[Capacity]]-Buckets_3_24[[#This Row],[Before Fill]]</f>
        <v>518.32713351159896</v>
      </c>
      <c r="GP8" t="b">
        <f>OR(GF8, Buckets_3_24[[#This Row],[After T]]&lt;0)</f>
        <v>1</v>
      </c>
      <c r="GQ8" s="29">
        <f>IF(Buckets_3_24[[#This Row],[Is Crit]], Buckets_3_24[[#This Row],[S Cap Diff]], 0)</f>
        <v>518.32713351159896</v>
      </c>
      <c r="GR8" s="29">
        <f>Buckets_3_24[[#This Row],[Before Fill]]+Buckets_3_24[[#This Row],[Crit To Fill]]</f>
        <v>500.00000000000006</v>
      </c>
      <c r="GS8" s="29">
        <f>IF(NOT(Buckets_3_24[[#This Row],[Is Crit]]), Buckets_3_24[[#This Row],[S Cap Diff]], 0)</f>
        <v>0</v>
      </c>
      <c r="GT8" s="31">
        <f>GR$41/Buckets_3_24[[#Totals],[NC To Fill]]*Buckets_3_24[[#This Row],[NC To Fill]]</f>
        <v>0</v>
      </c>
      <c r="GU8" s="31">
        <f>Buckets_3_24[[#This Row],[Crit Filled]]+Buckets_3_24[[#This Row],[Scaled]]</f>
        <v>500.00000000000006</v>
      </c>
      <c r="GV8" s="31">
        <f>Buckets_3_24[[#This Row],[NC Filled]]</f>
        <v>500.00000000000006</v>
      </c>
      <c r="GW8" s="31">
        <f>Buckets_3_24[[#This Row],[Capacity]]-Buckets_3_24[[#This Row],[Final]]</f>
        <v>0</v>
      </c>
      <c r="GX8" s="33">
        <f>IF(Buckets_3_24[[#This Row],[Capacity]]=0, 1, Buckets_3_24[[#This Row],[Final]]/Buckets_3_24[[#This Row],[Capacity]])</f>
        <v>1.0000000000000002</v>
      </c>
      <c r="GZ8" s="40">
        <f>Buckets_3_24[[#This Row],[Final]]</f>
        <v>500.00000000000006</v>
      </c>
      <c r="HA8" s="40">
        <f>Buckets_3_24[[#This Row],[Capacity]]</f>
        <v>500</v>
      </c>
      <c r="HB8" s="41" t="b">
        <f t="shared" si="41"/>
        <v>0</v>
      </c>
      <c r="HC8" s="42"/>
      <c r="HD8" s="42"/>
      <c r="HE8" s="42"/>
      <c r="HF8" s="42">
        <v>1500</v>
      </c>
      <c r="HG8" s="43"/>
      <c r="HH8" s="40">
        <f t="shared" si="42"/>
        <v>500.00000000000006</v>
      </c>
      <c r="HI8" s="40">
        <f t="shared" si="43"/>
        <v>1500</v>
      </c>
      <c r="HJ8" s="41" t="b">
        <f t="shared" si="9"/>
        <v>0</v>
      </c>
      <c r="HL8" s="29">
        <f t="shared" si="44"/>
        <v>500.00000000000006</v>
      </c>
      <c r="HM8" s="29">
        <f>GetTransactionTotal(AggregateTable2024[], AggregateTable2024[Start], HL$1, AggregateTable2024[#Headers], $D8)</f>
        <v>-500</v>
      </c>
      <c r="HN8" s="29">
        <f>Buckets_4_24[[#This Row],[Start]]+Buckets_4_24[[#This Row],[Transactions]]</f>
        <v>0</v>
      </c>
      <c r="HO8" s="29">
        <f t="shared" si="45"/>
        <v>1500</v>
      </c>
      <c r="HP8" s="29">
        <f>Buckets_4_24[[#This Row],[Capacity]]-Buckets_4_24[[#This Row],[After T]]</f>
        <v>1500</v>
      </c>
      <c r="HQ8" s="29">
        <f>MAX(-Buckets_4_24[[#This Row],[Cap Diff]], 0)</f>
        <v>0</v>
      </c>
      <c r="HR8" s="29">
        <f>Buckets_4_24[[#This Row],[After T]]-Buckets_4_24[[#This Row],[Slush]]</f>
        <v>0</v>
      </c>
      <c r="HS8" s="29">
        <f>Buckets_4_24[[#This Row],[Capacity]]-Buckets_4_24[[#This Row],[Before Fill]]</f>
        <v>1500</v>
      </c>
      <c r="HT8" t="b">
        <f>OR(HJ8, Buckets_4_24[[#This Row],[After T]]&lt;0)</f>
        <v>0</v>
      </c>
      <c r="HU8" s="29">
        <f>IF(Buckets_4_24[[#This Row],[Is Crit]], Buckets_4_24[[#This Row],[S Cap Diff]], 0)</f>
        <v>0</v>
      </c>
      <c r="HV8" s="29">
        <f>Buckets_4_24[[#This Row],[Before Fill]]+Buckets_4_24[[#This Row],[Crit To Fill]]</f>
        <v>0</v>
      </c>
      <c r="HW8" s="29">
        <f>IF(NOT(Buckets_4_24[[#This Row],[Is Crit]]), Buckets_4_24[[#This Row],[S Cap Diff]], 0)</f>
        <v>1500</v>
      </c>
      <c r="HX8" s="31">
        <f>HV$41/Buckets_4_24[[#Totals],[NC To Fill]]*Buckets_4_24[[#This Row],[NC To Fill]]</f>
        <v>978.8694094933245</v>
      </c>
      <c r="HY8" s="31">
        <f>Buckets_4_24[[#This Row],[Crit Filled]]+Buckets_4_24[[#This Row],[Scaled]]</f>
        <v>978.8694094933245</v>
      </c>
      <c r="HZ8" s="31">
        <f>Buckets_4_24[[#This Row],[NC Filled]]</f>
        <v>978.8694094933245</v>
      </c>
      <c r="IA8" s="31">
        <f>Buckets_4_24[[#This Row],[Capacity]]-Buckets_4_24[[#This Row],[Final]]</f>
        <v>521.1305905066755</v>
      </c>
      <c r="IB8" s="33">
        <f>IF(Buckets_4_24[[#This Row],[Capacity]]=0, 1, Buckets_4_24[[#This Row],[Final]]/Buckets_4_24[[#This Row],[Capacity]])</f>
        <v>0.65257960632888301</v>
      </c>
      <c r="ID8" s="40">
        <f>Buckets_4_24[[#This Row],[Final]]</f>
        <v>978.8694094933245</v>
      </c>
      <c r="IE8" s="40">
        <f>Buckets_4_24[[#This Row],[Capacity]]</f>
        <v>1500</v>
      </c>
      <c r="IF8" s="41" t="b">
        <f t="shared" si="46"/>
        <v>0</v>
      </c>
      <c r="IG8" s="42"/>
      <c r="IH8" s="42"/>
      <c r="II8" s="42"/>
      <c r="IJ8" s="42"/>
      <c r="IK8" s="43"/>
      <c r="IL8" s="40">
        <f t="shared" si="47"/>
        <v>978.8694094933245</v>
      </c>
      <c r="IM8" s="40">
        <f t="shared" si="48"/>
        <v>1500</v>
      </c>
      <c r="IN8" s="41" t="b">
        <f t="shared" si="10"/>
        <v>0</v>
      </c>
    </row>
    <row r="9" spans="1:248" x14ac:dyDescent="0.25">
      <c r="A9" s="49"/>
      <c r="B9" t="s">
        <v>32</v>
      </c>
      <c r="C9" t="s">
        <v>287</v>
      </c>
      <c r="D9" t="s">
        <v>287</v>
      </c>
      <c r="F9" s="30">
        <v>100</v>
      </c>
      <c r="G9" s="38">
        <v>300</v>
      </c>
      <c r="H9" t="b">
        <v>0</v>
      </c>
      <c r="J9" s="29">
        <f t="shared" si="11"/>
        <v>100</v>
      </c>
      <c r="K9" s="29">
        <f>GetTransactionTotal(AggregateTable2023[], AggregateTable2023[Start], J$1, AggregateTable2023[#Headers], $D9)</f>
        <v>0</v>
      </c>
      <c r="L9" s="29">
        <f>Buckets_9_23[[#This Row],[Start]]+Buckets_9_23[[#This Row],[Transactions]]</f>
        <v>100</v>
      </c>
      <c r="M9" s="29">
        <f t="shared" si="12"/>
        <v>300</v>
      </c>
      <c r="N9" s="29">
        <f>Buckets_9_23[[#This Row],[Capacity]]-Buckets_9_23[[#This Row],[After T]]</f>
        <v>200</v>
      </c>
      <c r="O9" s="29">
        <f>IF(Buckets_9_23[[#This Row],[After T]]&lt;0, Buckets_9_23[[#This Row],[After T]], IF(Buckets_9_23[[#This Row],[Cap Diff]]&lt;0, -Buckets_9_23[[#This Row],[Cap Diff]], 0))</f>
        <v>0</v>
      </c>
      <c r="P9" s="29">
        <f>Buckets_9_23[[#This Row],[After T]]-Buckets_9_23[[#This Row],[Slush]]</f>
        <v>100</v>
      </c>
      <c r="Q9" s="29">
        <f>Buckets_9_23[[#This Row],[Capacity]]-Buckets_9_23[[#This Row],[Before Fill]]</f>
        <v>200</v>
      </c>
      <c r="R9" t="b">
        <f t="shared" si="0"/>
        <v>0</v>
      </c>
      <c r="S9" s="29">
        <f>IF(Buckets_9_23[[#This Row],[Is Crit]], Buckets_9_23[[#This Row],[S Cap Diff]], 0)</f>
        <v>0</v>
      </c>
      <c r="T9" s="29">
        <f>Buckets_9_23[[#This Row],[Before Fill]]+Buckets_9_23[[#This Row],[Crit To Fill]]</f>
        <v>100</v>
      </c>
      <c r="U9" s="29">
        <f>IF(NOT(Buckets_9_23[[#This Row],[Is Crit]]), Buckets_9_23[[#This Row],[S Cap Diff]], 0)</f>
        <v>200</v>
      </c>
      <c r="V9" s="31">
        <f>T$41/Buckets_9_23[[#Totals],[NC To Fill]]*Buckets_9_23[[#This Row],[NC To Fill]]</f>
        <v>174.56351941932783</v>
      </c>
      <c r="W9" s="31">
        <f>Buckets_9_23[[#This Row],[Crit Filled]]+Buckets_9_23[[#This Row],[Scaled]]</f>
        <v>274.5635194193278</v>
      </c>
      <c r="X9" s="31">
        <f>Buckets_9_23[[#This Row],[NC Filled]]</f>
        <v>274.5635194193278</v>
      </c>
      <c r="Y9" s="31">
        <f>Buckets_9_23[[#This Row],[Capacity]]-Buckets_9_23[[#This Row],[Final]]</f>
        <v>25.436480580672196</v>
      </c>
      <c r="Z9" s="33">
        <f>IF(Buckets_9_23[[#This Row],[Capacity]]=0, 1, Buckets_9_23[[#This Row],[Final]]/Buckets_9_23[[#This Row],[Capacity]])</f>
        <v>0.91521173139775935</v>
      </c>
      <c r="AB9" s="31">
        <f>Buckets_9_23[[#This Row],[Final]]</f>
        <v>274.5635194193278</v>
      </c>
      <c r="AC9" s="31">
        <f>Buckets_9_23[[#This Row],[Capacity]]</f>
        <v>300</v>
      </c>
      <c r="AD9" t="b">
        <f t="shared" si="13"/>
        <v>0</v>
      </c>
      <c r="AE9" s="43" t="e">
        <f>NA()</f>
        <v>#N/A</v>
      </c>
      <c r="AF9" s="42"/>
      <c r="AG9" s="43" t="e">
        <f>NA()</f>
        <v>#N/A</v>
      </c>
      <c r="AH9" s="42"/>
      <c r="AI9" s="43"/>
      <c r="AJ9" s="31">
        <f t="shared" si="14"/>
        <v>274.5635194193278</v>
      </c>
      <c r="AK9" s="31">
        <f t="shared" si="15"/>
        <v>300</v>
      </c>
      <c r="AL9" t="b">
        <f t="shared" si="16"/>
        <v>0</v>
      </c>
      <c r="AN9" s="29">
        <f t="shared" si="17"/>
        <v>274.5635194193278</v>
      </c>
      <c r="AO9" s="29">
        <f>GetTransactionTotal(AggregateTable2023[], AggregateTable2023[Start], AN$1, AggregateTable2023[#Headers], $D9)</f>
        <v>-25</v>
      </c>
      <c r="AP9" s="29">
        <f>Buckets_10_23[[#This Row],[Start]]+Buckets_10_23[[#This Row],[Transactions]]</f>
        <v>249.5635194193278</v>
      </c>
      <c r="AQ9" s="29">
        <f t="shared" si="18"/>
        <v>300</v>
      </c>
      <c r="AR9" s="29">
        <f>Buckets_10_23[[#This Row],[Capacity]]-Buckets_10_23[[#This Row],[After T]]</f>
        <v>50.436480580672196</v>
      </c>
      <c r="AS9" s="29">
        <f>MAX(-Buckets_10_23[[#This Row],[Cap Diff]], 0)</f>
        <v>0</v>
      </c>
      <c r="AT9" s="29">
        <f>Buckets_10_23[[#This Row],[After T]]-Buckets_10_23[[#This Row],[Slush]]</f>
        <v>249.5635194193278</v>
      </c>
      <c r="AU9" s="29">
        <f>Buckets_10_23[[#This Row],[Capacity]]-Buckets_10_23[[#This Row],[Before Fill]]</f>
        <v>50.436480580672196</v>
      </c>
      <c r="AV9" t="b">
        <f>OR(AL9, Buckets_10_23[[#This Row],[After T]]&lt;0)</f>
        <v>0</v>
      </c>
      <c r="AW9" s="29">
        <f>IF(Buckets_10_23[[#This Row],[Is Crit]], Buckets_10_23[[#This Row],[S Cap Diff]], 0)</f>
        <v>0</v>
      </c>
      <c r="AX9" s="29">
        <f>Buckets_10_23[[#This Row],[Before Fill]]+Buckets_10_23[[#This Row],[Crit To Fill]]</f>
        <v>249.5635194193278</v>
      </c>
      <c r="AY9" s="29">
        <f>IF(NOT(Buckets_10_23[[#This Row],[Is Crit]]), Buckets_10_23[[#This Row],[S Cap Diff]], 0)</f>
        <v>50.436480580672196</v>
      </c>
      <c r="AZ9" s="31">
        <f>AX$41/Buckets_10_23[[#Totals],[NC To Fill]]*Buckets_10_23[[#This Row],[NC To Fill]]</f>
        <v>29.957874293728896</v>
      </c>
      <c r="BA9" s="31">
        <f>Buckets_10_23[[#This Row],[Crit Filled]]+Buckets_10_23[[#This Row],[Scaled]]</f>
        <v>279.52139371305668</v>
      </c>
      <c r="BB9" s="31">
        <f>Buckets_10_23[[#This Row],[NC Filled]]</f>
        <v>279.52139371305668</v>
      </c>
      <c r="BC9" s="31">
        <f>Buckets_10_23[[#This Row],[Capacity]]-Buckets_10_23[[#This Row],[Final]]</f>
        <v>20.478606286943318</v>
      </c>
      <c r="BD9" s="33">
        <f>IF(Buckets_10_23[[#This Row],[Capacity]]=0, 1, Buckets_10_23[[#This Row],[Final]]/Buckets_10_23[[#This Row],[Capacity]])</f>
        <v>0.93173797904352229</v>
      </c>
      <c r="BF9" s="31">
        <f>Buckets_10_23[[#This Row],[Final]]</f>
        <v>279.52139371305668</v>
      </c>
      <c r="BG9" s="31">
        <f>Buckets_10_23[[#This Row],[Capacity]]</f>
        <v>300</v>
      </c>
      <c r="BH9" t="b">
        <f t="shared" si="19"/>
        <v>0</v>
      </c>
      <c r="BI9" s="43" t="e">
        <f>NA()</f>
        <v>#N/A</v>
      </c>
      <c r="BJ9" s="42"/>
      <c r="BK9" s="43" t="e">
        <f>NA()</f>
        <v>#N/A</v>
      </c>
      <c r="BL9" s="42"/>
      <c r="BM9" s="43"/>
      <c r="BN9" s="31">
        <f t="shared" si="20"/>
        <v>279.52139371305668</v>
      </c>
      <c r="BO9" s="31">
        <f t="shared" si="1"/>
        <v>300</v>
      </c>
      <c r="BP9" t="b">
        <f t="shared" si="2"/>
        <v>0</v>
      </c>
      <c r="BR9" s="29">
        <f t="shared" si="21"/>
        <v>279.52139371305668</v>
      </c>
      <c r="BS9" s="29">
        <f>GetTransactionTotal(AggregateTable2023[], AggregateTable2023[Start], BR$1, AggregateTable2023[#Headers], $D9)</f>
        <v>-76.709999999999994</v>
      </c>
      <c r="BT9" s="29">
        <f>Buckets_11_23[[#This Row],[Start]]+Buckets_11_23[[#This Row],[Transactions]]</f>
        <v>202.8113937130567</v>
      </c>
      <c r="BU9" s="29">
        <f t="shared" si="22"/>
        <v>300</v>
      </c>
      <c r="BV9" s="29">
        <f>Buckets_11_23[[#This Row],[Capacity]]-Buckets_11_23[[#This Row],[After T]]</f>
        <v>97.188606286943298</v>
      </c>
      <c r="BW9" s="29">
        <f>MAX(-Buckets_11_23[[#This Row],[Cap Diff]], 0)</f>
        <v>0</v>
      </c>
      <c r="BX9" s="29">
        <f>Buckets_11_23[[#This Row],[After T]]-Buckets_11_23[[#This Row],[Slush]]</f>
        <v>202.8113937130567</v>
      </c>
      <c r="BY9" s="29">
        <f>Buckets_11_23[[#This Row],[Capacity]]-Buckets_11_23[[#This Row],[Before Fill]]</f>
        <v>97.188606286943298</v>
      </c>
      <c r="BZ9" t="b">
        <f>OR(BP9, Buckets_11_23[[#This Row],[After T]]&lt;0)</f>
        <v>0</v>
      </c>
      <c r="CA9" s="29">
        <f>IF(Buckets_11_23[[#This Row],[Is Crit]], Buckets_11_23[[#This Row],[S Cap Diff]], 0)</f>
        <v>0</v>
      </c>
      <c r="CB9" s="29">
        <f>Buckets_11_23[[#This Row],[Before Fill]]+Buckets_11_23[[#This Row],[Crit To Fill]]</f>
        <v>202.8113937130567</v>
      </c>
      <c r="CC9" s="29">
        <f>IF(NOT(Buckets_11_23[[#This Row],[Is Crit]]), Buckets_11_23[[#This Row],[S Cap Diff]], 0)</f>
        <v>97.188606286943298</v>
      </c>
      <c r="CD9" s="31">
        <f>CB$41/Buckets_11_23[[#Totals],[NC To Fill]]*Buckets_11_23[[#This Row],[NC To Fill]]</f>
        <v>95.847699088397277</v>
      </c>
      <c r="CE9" s="31">
        <f>Buckets_11_23[[#This Row],[Crit Filled]]+Buckets_11_23[[#This Row],[Scaled]]</f>
        <v>298.65909280145399</v>
      </c>
      <c r="CF9" s="31">
        <f>Buckets_11_23[[#This Row],[NC Filled]]</f>
        <v>298.65909280145399</v>
      </c>
      <c r="CG9" s="31">
        <f>Buckets_11_23[[#This Row],[Capacity]]-Buckets_11_23[[#This Row],[Final]]</f>
        <v>1.3409071985460059</v>
      </c>
      <c r="CH9" s="33">
        <f>IF(Buckets_11_23[[#This Row],[Capacity]]=0, 1, Buckets_11_23[[#This Row],[Final]]/Buckets_11_23[[#This Row],[Capacity]])</f>
        <v>0.99553030933817999</v>
      </c>
      <c r="CJ9" s="40">
        <f>Buckets_11_23[[#This Row],[Final]]</f>
        <v>298.65909280145399</v>
      </c>
      <c r="CK9" s="40">
        <f>Buckets_11_23[[#This Row],[Capacity]]</f>
        <v>300</v>
      </c>
      <c r="CL9" s="41" t="b">
        <f t="shared" si="23"/>
        <v>0</v>
      </c>
      <c r="CM9" s="42"/>
      <c r="CN9" s="42"/>
      <c r="CO9" s="42" t="e">
        <f>NA()</f>
        <v>#N/A</v>
      </c>
      <c r="CP9" s="42">
        <v>500</v>
      </c>
      <c r="CQ9" s="43"/>
      <c r="CR9" s="40">
        <f t="shared" si="24"/>
        <v>298.65909280145399</v>
      </c>
      <c r="CS9" s="40">
        <f t="shared" si="3"/>
        <v>500</v>
      </c>
      <c r="CT9" s="41" t="b">
        <f t="shared" si="4"/>
        <v>0</v>
      </c>
      <c r="CV9" s="29">
        <f t="shared" si="25"/>
        <v>298.65909280145399</v>
      </c>
      <c r="CW9" s="29">
        <f>GetTransactionTotal(AggregateTable2023[], AggregateTable2023[Start], CV$1, AggregateTable2023[#Headers], $D9)</f>
        <v>-90.759999999999991</v>
      </c>
      <c r="CX9" s="29">
        <f>Buckets_12_23[[#This Row],[Start]]+Buckets_12_23[[#This Row],[Transactions]]</f>
        <v>207.899092801454</v>
      </c>
      <c r="CY9" s="29">
        <f t="shared" si="26"/>
        <v>500</v>
      </c>
      <c r="CZ9" s="29">
        <f>Buckets_12_23[[#This Row],[Capacity]]-Buckets_12_23[[#This Row],[After T]]</f>
        <v>292.100907198546</v>
      </c>
      <c r="DA9" s="29">
        <f>MAX(-Buckets_12_23[[#This Row],[Cap Diff]], 0)</f>
        <v>0</v>
      </c>
      <c r="DB9" s="29">
        <f>Buckets_12_23[[#This Row],[After T]]-Buckets_12_23[[#This Row],[Slush]]</f>
        <v>207.899092801454</v>
      </c>
      <c r="DC9" s="29">
        <f>Buckets_12_23[[#This Row],[Capacity]]-Buckets_12_23[[#This Row],[Before Fill]]</f>
        <v>292.100907198546</v>
      </c>
      <c r="DD9" t="b">
        <f>OR(CT9, Buckets_12_23[[#This Row],[After T]]&lt;0)</f>
        <v>0</v>
      </c>
      <c r="DE9" s="29">
        <f>IF(Buckets_12_23[[#This Row],[Is Crit]], Buckets_12_23[[#This Row],[S Cap Diff]], 0)</f>
        <v>0</v>
      </c>
      <c r="DF9" s="29">
        <f>Buckets_12_23[[#This Row],[Before Fill]]+Buckets_12_23[[#This Row],[Crit To Fill]]</f>
        <v>207.899092801454</v>
      </c>
      <c r="DG9" s="29">
        <f>IF(NOT(Buckets_12_23[[#This Row],[Is Crit]]), Buckets_12_23[[#This Row],[S Cap Diff]], 0)</f>
        <v>292.100907198546</v>
      </c>
      <c r="DH9" s="31">
        <f>DF$41/Buckets_12_23[[#Totals],[NC To Fill]]*Buckets_12_23[[#This Row],[NC To Fill]]</f>
        <v>133.55439534330472</v>
      </c>
      <c r="DI9" s="31">
        <f>Buckets_12_23[[#This Row],[Crit Filled]]+Buckets_12_23[[#This Row],[Scaled]]</f>
        <v>341.45348814475869</v>
      </c>
      <c r="DJ9" s="31">
        <f>Buckets_12_23[[#This Row],[NC Filled]]</f>
        <v>341.45348814475869</v>
      </c>
      <c r="DK9" s="31">
        <f>Buckets_12_23[[#This Row],[Capacity]]-Buckets_12_23[[#This Row],[Final]]</f>
        <v>158.54651185524131</v>
      </c>
      <c r="DL9" s="33">
        <f>IF(Buckets_12_23[[#This Row],[Capacity]]=0, 1, Buckets_12_23[[#This Row],[Final]]/Buckets_12_23[[#This Row],[Capacity]])</f>
        <v>0.68290697628951735</v>
      </c>
      <c r="DN9" s="40">
        <f>Buckets_12_23[[#This Row],[Final]]</f>
        <v>341.45348814475869</v>
      </c>
      <c r="DO9" s="40">
        <f>Buckets_12_23[[#This Row],[Capacity]]</f>
        <v>500</v>
      </c>
      <c r="DP9" s="41" t="b">
        <f t="shared" si="27"/>
        <v>0</v>
      </c>
      <c r="DQ9" s="42"/>
      <c r="DR9" s="42"/>
      <c r="DS9" s="42" t="e">
        <f>NA()</f>
        <v>#N/A</v>
      </c>
      <c r="DT9" s="42"/>
      <c r="DU9" s="43"/>
      <c r="DV9" s="40">
        <f t="shared" si="28"/>
        <v>341.45348814475869</v>
      </c>
      <c r="DW9" s="40">
        <f t="shared" si="5"/>
        <v>500</v>
      </c>
      <c r="DX9" s="41" t="b">
        <f t="shared" si="6"/>
        <v>0</v>
      </c>
      <c r="DZ9" s="29">
        <f t="shared" si="29"/>
        <v>341.45348814475869</v>
      </c>
      <c r="EA9" s="29">
        <f>GetTransactionTotal(AggregateTable2024[], AggregateTable2024[Start], DZ$1, AggregateTable2024[#Headers], $D9)</f>
        <v>-51.9</v>
      </c>
      <c r="EB9" s="29">
        <f>Buckets_1_24[[#This Row],[Start]]+Buckets_1_24[[#This Row],[Transactions]]</f>
        <v>289.55348814475872</v>
      </c>
      <c r="EC9" s="29">
        <f t="shared" si="30"/>
        <v>500</v>
      </c>
      <c r="ED9" s="29">
        <f>Buckets_1_24[[#This Row],[Capacity]]-Buckets_1_24[[#This Row],[After T]]</f>
        <v>210.44651185524128</v>
      </c>
      <c r="EE9" s="29">
        <f>MAX(-Buckets_1_24[[#This Row],[Cap Diff]], 0)</f>
        <v>0</v>
      </c>
      <c r="EF9" s="29">
        <f>Buckets_1_24[[#This Row],[After T]]-Buckets_1_24[[#This Row],[Slush]]</f>
        <v>289.55348814475872</v>
      </c>
      <c r="EG9" s="29">
        <f>Buckets_1_24[[#This Row],[Capacity]]-Buckets_1_24[[#This Row],[Before Fill]]</f>
        <v>210.44651185524128</v>
      </c>
      <c r="EH9" t="b">
        <f>OR(DX9, Buckets_1_24[[#This Row],[After T]]&lt;0)</f>
        <v>0</v>
      </c>
      <c r="EI9" s="29">
        <f>IF(Buckets_1_24[[#This Row],[Is Crit]], Buckets_1_24[[#This Row],[S Cap Diff]], 0)</f>
        <v>0</v>
      </c>
      <c r="EJ9" s="29">
        <f>Buckets_1_24[[#This Row],[Before Fill]]+Buckets_1_24[[#This Row],[Crit To Fill]]</f>
        <v>289.55348814475872</v>
      </c>
      <c r="EK9" s="29">
        <f>IF(NOT(Buckets_1_24[[#This Row],[Is Crit]]), Buckets_1_24[[#This Row],[S Cap Diff]], 0)</f>
        <v>210.44651185524128</v>
      </c>
      <c r="EL9" s="31">
        <f>EJ$41/Buckets_1_24[[#Totals],[NC To Fill]]*Buckets_1_24[[#This Row],[NC To Fill]]</f>
        <v>129.21256315031209</v>
      </c>
      <c r="EM9" s="31">
        <f>Buckets_1_24[[#This Row],[Crit Filled]]+Buckets_1_24[[#This Row],[Scaled]]</f>
        <v>418.76605129507084</v>
      </c>
      <c r="EN9" s="31">
        <f>Buckets_1_24[[#This Row],[NC Filled]]</f>
        <v>418.76605129507084</v>
      </c>
      <c r="EO9" s="31">
        <f>Buckets_1_24[[#This Row],[Capacity]]-Buckets_1_24[[#This Row],[Final]]</f>
        <v>81.233948704929162</v>
      </c>
      <c r="EP9" s="33">
        <f>IF(Buckets_1_24[[#This Row],[Capacity]]=0, 1, Buckets_1_24[[#This Row],[Final]]/Buckets_1_24[[#This Row],[Capacity]])</f>
        <v>0.83753210259014166</v>
      </c>
      <c r="ER9" s="40">
        <f>Buckets_1_24[[#This Row],[Final]]</f>
        <v>418.76605129507084</v>
      </c>
      <c r="ES9" s="40">
        <f>Buckets_1_24[[#This Row],[Capacity]]</f>
        <v>500</v>
      </c>
      <c r="ET9" s="41" t="b">
        <f t="shared" si="31"/>
        <v>0</v>
      </c>
      <c r="EU9" s="42"/>
      <c r="EV9" s="42"/>
      <c r="EW9" s="42"/>
      <c r="EX9" s="42"/>
      <c r="EY9" s="43"/>
      <c r="EZ9" s="40">
        <f t="shared" si="32"/>
        <v>418.76605129507084</v>
      </c>
      <c r="FA9" s="40">
        <f t="shared" si="33"/>
        <v>500</v>
      </c>
      <c r="FB9" s="41" t="b">
        <f t="shared" si="7"/>
        <v>0</v>
      </c>
      <c r="FD9" s="29">
        <f t="shared" si="34"/>
        <v>418.76605129507084</v>
      </c>
      <c r="FE9" s="29">
        <f>GetTransactionTotal(AggregateTable2024[], AggregateTable2024[Start], FD$1, AggregateTable2024[#Headers], $D9)</f>
        <v>0</v>
      </c>
      <c r="FF9" s="29">
        <f>Buckets_2_24[[#This Row],[Start]]+Buckets_2_24[[#This Row],[Transactions]]</f>
        <v>418.76605129507084</v>
      </c>
      <c r="FG9" s="29">
        <f t="shared" si="35"/>
        <v>500</v>
      </c>
      <c r="FH9" s="29">
        <f>Buckets_2_24[[#This Row],[Capacity]]-Buckets_2_24[[#This Row],[After T]]</f>
        <v>81.233948704929162</v>
      </c>
      <c r="FI9" s="29">
        <f>MAX(-Buckets_2_24[[#This Row],[Cap Diff]], 0)</f>
        <v>0</v>
      </c>
      <c r="FJ9" s="29">
        <f>Buckets_2_24[[#This Row],[After T]]-Buckets_2_24[[#This Row],[Slush]]</f>
        <v>418.76605129507084</v>
      </c>
      <c r="FK9" s="29">
        <f>Buckets_2_24[[#This Row],[Capacity]]-Buckets_2_24[[#This Row],[Before Fill]]</f>
        <v>81.233948704929162</v>
      </c>
      <c r="FL9" t="b">
        <f>OR(FB9, Buckets_2_24[[#This Row],[After T]]&lt;0)</f>
        <v>0</v>
      </c>
      <c r="FM9" s="29">
        <f>IF(Buckets_2_24[[#This Row],[Is Crit]], Buckets_2_24[[#This Row],[S Cap Diff]], 0)</f>
        <v>0</v>
      </c>
      <c r="FN9" s="29">
        <f>Buckets_2_24[[#This Row],[Before Fill]]+Buckets_2_24[[#This Row],[Crit To Fill]]</f>
        <v>418.76605129507084</v>
      </c>
      <c r="FO9" s="29">
        <f>IF(NOT(Buckets_2_24[[#This Row],[Is Crit]]), Buckets_2_24[[#This Row],[S Cap Diff]], 0)</f>
        <v>81.233948704929162</v>
      </c>
      <c r="FP9" s="31">
        <f>FN$41/Buckets_2_24[[#Totals],[NC To Fill]]*Buckets_2_24[[#This Row],[NC To Fill]]</f>
        <v>78.256377857749925</v>
      </c>
      <c r="FQ9" s="31">
        <f>Buckets_2_24[[#This Row],[Crit Filled]]+Buckets_2_24[[#This Row],[Scaled]]</f>
        <v>497.02242915282079</v>
      </c>
      <c r="FR9" s="31">
        <f>Buckets_2_24[[#This Row],[NC Filled]]</f>
        <v>497.02242915282079</v>
      </c>
      <c r="FS9" s="31">
        <f>Buckets_2_24[[#This Row],[Capacity]]-Buckets_2_24[[#This Row],[Final]]</f>
        <v>2.9775708471792086</v>
      </c>
      <c r="FT9" s="33">
        <f>IF(Buckets_2_24[[#This Row],[Capacity]]=0, 1, Buckets_2_24[[#This Row],[Final]]/Buckets_2_24[[#This Row],[Capacity]])</f>
        <v>0.9940448583056416</v>
      </c>
      <c r="FV9" s="40">
        <f>Buckets_2_24[[#This Row],[Final]]</f>
        <v>497.02242915282079</v>
      </c>
      <c r="FW9" s="40">
        <f>Buckets_2_24[[#This Row],[Capacity]]</f>
        <v>500</v>
      </c>
      <c r="FX9" s="41" t="b">
        <f t="shared" si="36"/>
        <v>0</v>
      </c>
      <c r="FY9" s="42"/>
      <c r="FZ9" s="42"/>
      <c r="GA9" s="42"/>
      <c r="GB9" s="42"/>
      <c r="GC9" s="43"/>
      <c r="GD9" s="40">
        <f t="shared" si="37"/>
        <v>497.02242915282079</v>
      </c>
      <c r="GE9" s="40">
        <f t="shared" si="38"/>
        <v>500</v>
      </c>
      <c r="GF9" s="41" t="b">
        <f t="shared" si="8"/>
        <v>0</v>
      </c>
      <c r="GH9" s="29">
        <f t="shared" si="39"/>
        <v>497.02242915282079</v>
      </c>
      <c r="GI9" s="29">
        <f>GetTransactionTotal(AggregateTable2024[], AggregateTable2024[Start], GH$1, AggregateTable2024[#Headers], $D9)</f>
        <v>0</v>
      </c>
      <c r="GJ9" s="29">
        <f>Buckets_3_24[[#This Row],[Start]]+Buckets_3_24[[#This Row],[Transactions]]</f>
        <v>497.02242915282079</v>
      </c>
      <c r="GK9" s="29">
        <f t="shared" si="40"/>
        <v>500</v>
      </c>
      <c r="GL9" s="29">
        <f>Buckets_3_24[[#This Row],[Capacity]]-Buckets_3_24[[#This Row],[After T]]</f>
        <v>2.9775708471792086</v>
      </c>
      <c r="GM9" s="29">
        <f>MAX(-Buckets_3_24[[#This Row],[Cap Diff]], 0)</f>
        <v>0</v>
      </c>
      <c r="GN9" s="29">
        <f>Buckets_3_24[[#This Row],[After T]]-Buckets_3_24[[#This Row],[Slush]]</f>
        <v>497.02242915282079</v>
      </c>
      <c r="GO9" s="29">
        <f>Buckets_3_24[[#This Row],[Capacity]]-Buckets_3_24[[#This Row],[Before Fill]]</f>
        <v>2.9775708471792086</v>
      </c>
      <c r="GP9" t="b">
        <f>OR(GF9, Buckets_3_24[[#This Row],[After T]]&lt;0)</f>
        <v>0</v>
      </c>
      <c r="GQ9" s="29">
        <f>IF(Buckets_3_24[[#This Row],[Is Crit]], Buckets_3_24[[#This Row],[S Cap Diff]], 0)</f>
        <v>0</v>
      </c>
      <c r="GR9" s="29">
        <f>Buckets_3_24[[#This Row],[Before Fill]]+Buckets_3_24[[#This Row],[Crit To Fill]]</f>
        <v>497.02242915282079</v>
      </c>
      <c r="GS9" s="29">
        <f>IF(NOT(Buckets_3_24[[#This Row],[Is Crit]]), Buckets_3_24[[#This Row],[S Cap Diff]], 0)</f>
        <v>2.9775708471792086</v>
      </c>
      <c r="GT9" s="31">
        <f>GR$41/Buckets_3_24[[#Totals],[NC To Fill]]*Buckets_3_24[[#This Row],[NC To Fill]]</f>
        <v>2.891932301359601</v>
      </c>
      <c r="GU9" s="31">
        <f>Buckets_3_24[[#This Row],[Crit Filled]]+Buckets_3_24[[#This Row],[Scaled]]</f>
        <v>499.91436145418038</v>
      </c>
      <c r="GV9" s="31">
        <f>Buckets_3_24[[#This Row],[NC Filled]]</f>
        <v>499.91436145418038</v>
      </c>
      <c r="GW9" s="31">
        <f>Buckets_3_24[[#This Row],[Capacity]]-Buckets_3_24[[#This Row],[Final]]</f>
        <v>8.5638545819620049E-2</v>
      </c>
      <c r="GX9" s="33">
        <f>IF(Buckets_3_24[[#This Row],[Capacity]]=0, 1, Buckets_3_24[[#This Row],[Final]]/Buckets_3_24[[#This Row],[Capacity]])</f>
        <v>0.99982872290836078</v>
      </c>
      <c r="GZ9" s="40">
        <f>Buckets_3_24[[#This Row],[Final]]</f>
        <v>499.91436145418038</v>
      </c>
      <c r="HA9" s="40">
        <f>Buckets_3_24[[#This Row],[Capacity]]</f>
        <v>500</v>
      </c>
      <c r="HB9" s="41" t="b">
        <f t="shared" si="41"/>
        <v>0</v>
      </c>
      <c r="HC9" s="42"/>
      <c r="HD9" s="42"/>
      <c r="HE9" s="42"/>
      <c r="HF9" s="42"/>
      <c r="HG9" s="43"/>
      <c r="HH9" s="40">
        <f t="shared" si="42"/>
        <v>499.91436145418038</v>
      </c>
      <c r="HI9" s="40">
        <f t="shared" si="43"/>
        <v>500</v>
      </c>
      <c r="HJ9" s="41" t="b">
        <f t="shared" si="9"/>
        <v>0</v>
      </c>
      <c r="HL9" s="29">
        <f t="shared" si="44"/>
        <v>499.91436145418038</v>
      </c>
      <c r="HM9" s="29">
        <f>GetTransactionTotal(AggregateTable2024[], AggregateTable2024[Start], HL$1, AggregateTable2024[#Headers], $D9)</f>
        <v>0</v>
      </c>
      <c r="HN9" s="29">
        <f>Buckets_4_24[[#This Row],[Start]]+Buckets_4_24[[#This Row],[Transactions]]</f>
        <v>499.91436145418038</v>
      </c>
      <c r="HO9" s="29">
        <f t="shared" si="45"/>
        <v>500</v>
      </c>
      <c r="HP9" s="29">
        <f>Buckets_4_24[[#This Row],[Capacity]]-Buckets_4_24[[#This Row],[After T]]</f>
        <v>8.5638545819620049E-2</v>
      </c>
      <c r="HQ9" s="29">
        <f>MAX(-Buckets_4_24[[#This Row],[Cap Diff]], 0)</f>
        <v>0</v>
      </c>
      <c r="HR9" s="29">
        <f>Buckets_4_24[[#This Row],[After T]]-Buckets_4_24[[#This Row],[Slush]]</f>
        <v>499.91436145418038</v>
      </c>
      <c r="HS9" s="29">
        <f>Buckets_4_24[[#This Row],[Capacity]]-Buckets_4_24[[#This Row],[Before Fill]]</f>
        <v>8.5638545819620049E-2</v>
      </c>
      <c r="HT9" t="b">
        <f>OR(HJ9, Buckets_4_24[[#This Row],[After T]]&lt;0)</f>
        <v>0</v>
      </c>
      <c r="HU9" s="29">
        <f>IF(Buckets_4_24[[#This Row],[Is Crit]], Buckets_4_24[[#This Row],[S Cap Diff]], 0)</f>
        <v>0</v>
      </c>
      <c r="HV9" s="29">
        <f>Buckets_4_24[[#This Row],[Before Fill]]+Buckets_4_24[[#This Row],[Crit To Fill]]</f>
        <v>499.91436145418038</v>
      </c>
      <c r="HW9" s="29">
        <f>IF(NOT(Buckets_4_24[[#This Row],[Is Crit]]), Buckets_4_24[[#This Row],[S Cap Diff]], 0)</f>
        <v>8.5638545819620049E-2</v>
      </c>
      <c r="HX9" s="31">
        <f>HV$41/Buckets_4_24[[#Totals],[NC To Fill]]*Buckets_4_24[[#This Row],[NC To Fill]]</f>
        <v>5.588596851754566E-2</v>
      </c>
      <c r="HY9" s="31">
        <f>Buckets_4_24[[#This Row],[Crit Filled]]+Buckets_4_24[[#This Row],[Scaled]]</f>
        <v>499.97024742269792</v>
      </c>
      <c r="HZ9" s="31">
        <f>Buckets_4_24[[#This Row],[NC Filled]]</f>
        <v>499.97024742269792</v>
      </c>
      <c r="IA9" s="31">
        <f>Buckets_4_24[[#This Row],[Capacity]]-Buckets_4_24[[#This Row],[Final]]</f>
        <v>2.9752577302076588E-2</v>
      </c>
      <c r="IB9" s="33">
        <f>IF(Buckets_4_24[[#This Row],[Capacity]]=0, 1, Buckets_4_24[[#This Row],[Final]]/Buckets_4_24[[#This Row],[Capacity]])</f>
        <v>0.99994049484539582</v>
      </c>
      <c r="ID9" s="40">
        <f>Buckets_4_24[[#This Row],[Final]]</f>
        <v>499.97024742269792</v>
      </c>
      <c r="IE9" s="40">
        <f>Buckets_4_24[[#This Row],[Capacity]]</f>
        <v>500</v>
      </c>
      <c r="IF9" s="41" t="b">
        <f t="shared" si="46"/>
        <v>0</v>
      </c>
      <c r="IG9" s="42"/>
      <c r="IH9" s="42"/>
      <c r="II9" s="42"/>
      <c r="IJ9" s="42"/>
      <c r="IK9" s="43"/>
      <c r="IL9" s="40">
        <f t="shared" si="47"/>
        <v>499.97024742269792</v>
      </c>
      <c r="IM9" s="40">
        <f t="shared" si="48"/>
        <v>500</v>
      </c>
      <c r="IN9" s="41" t="b">
        <f t="shared" si="10"/>
        <v>0</v>
      </c>
    </row>
    <row r="10" spans="1:248" x14ac:dyDescent="0.25">
      <c r="A10" s="49"/>
      <c r="B10" t="s">
        <v>32</v>
      </c>
      <c r="C10" t="s">
        <v>321</v>
      </c>
      <c r="D10" t="s">
        <v>288</v>
      </c>
      <c r="F10" s="30">
        <v>50</v>
      </c>
      <c r="G10" s="38">
        <v>200</v>
      </c>
      <c r="H10" t="b">
        <v>0</v>
      </c>
      <c r="J10" s="29">
        <f t="shared" si="11"/>
        <v>50</v>
      </c>
      <c r="K10" s="29">
        <f>GetTransactionTotal(AggregateTable2023[], AggregateTable2023[Start], J$1, AggregateTable2023[#Headers], $D10)</f>
        <v>-13.9</v>
      </c>
      <c r="L10" s="29">
        <f>Buckets_9_23[[#This Row],[Start]]+Buckets_9_23[[#This Row],[Transactions]]</f>
        <v>36.1</v>
      </c>
      <c r="M10" s="29">
        <f t="shared" si="12"/>
        <v>200</v>
      </c>
      <c r="N10" s="29">
        <f>Buckets_9_23[[#This Row],[Capacity]]-Buckets_9_23[[#This Row],[After T]]</f>
        <v>163.9</v>
      </c>
      <c r="O10" s="29">
        <f>IF(Buckets_9_23[[#This Row],[After T]]&lt;0, Buckets_9_23[[#This Row],[After T]], IF(Buckets_9_23[[#This Row],[Cap Diff]]&lt;0, -Buckets_9_23[[#This Row],[Cap Diff]], 0))</f>
        <v>0</v>
      </c>
      <c r="P10" s="29">
        <f>Buckets_9_23[[#This Row],[After T]]-Buckets_9_23[[#This Row],[Slush]]</f>
        <v>36.1</v>
      </c>
      <c r="Q10" s="29">
        <f>Buckets_9_23[[#This Row],[Capacity]]-Buckets_9_23[[#This Row],[Before Fill]]</f>
        <v>163.9</v>
      </c>
      <c r="R10" t="b">
        <f t="shared" si="0"/>
        <v>0</v>
      </c>
      <c r="S10" s="29">
        <f>IF(Buckets_9_23[[#This Row],[Is Crit]], Buckets_9_23[[#This Row],[S Cap Diff]], 0)</f>
        <v>0</v>
      </c>
      <c r="T10" s="29">
        <f>Buckets_9_23[[#This Row],[Before Fill]]+Buckets_9_23[[#This Row],[Crit To Fill]]</f>
        <v>36.1</v>
      </c>
      <c r="U10" s="29">
        <f>IF(NOT(Buckets_9_23[[#This Row],[Is Crit]]), Buckets_9_23[[#This Row],[S Cap Diff]], 0)</f>
        <v>163.9</v>
      </c>
      <c r="V10" s="31">
        <f>T$41/Buckets_9_23[[#Totals],[NC To Fill]]*Buckets_9_23[[#This Row],[NC To Fill]]</f>
        <v>143.05480416413917</v>
      </c>
      <c r="W10" s="31">
        <f>Buckets_9_23[[#This Row],[Crit Filled]]+Buckets_9_23[[#This Row],[Scaled]]</f>
        <v>179.15480416413916</v>
      </c>
      <c r="X10" s="31">
        <f>Buckets_9_23[[#This Row],[NC Filled]]</f>
        <v>179.15480416413916</v>
      </c>
      <c r="Y10" s="31">
        <f>Buckets_9_23[[#This Row],[Capacity]]-Buckets_9_23[[#This Row],[Final]]</f>
        <v>20.845195835860835</v>
      </c>
      <c r="Z10" s="33">
        <f>IF(Buckets_9_23[[#This Row],[Capacity]]=0, 1, Buckets_9_23[[#This Row],[Final]]/Buckets_9_23[[#This Row],[Capacity]])</f>
        <v>0.89577402082069579</v>
      </c>
      <c r="AB10" s="31">
        <f>Buckets_9_23[[#This Row],[Final]]</f>
        <v>179.15480416413916</v>
      </c>
      <c r="AC10" s="31">
        <f>Buckets_9_23[[#This Row],[Capacity]]</f>
        <v>200</v>
      </c>
      <c r="AD10" t="b">
        <f t="shared" si="13"/>
        <v>0</v>
      </c>
      <c r="AE10" s="43" t="e">
        <f>NA()</f>
        <v>#N/A</v>
      </c>
      <c r="AF10" s="42"/>
      <c r="AG10" s="43" t="e">
        <f>NA()</f>
        <v>#N/A</v>
      </c>
      <c r="AH10" s="42"/>
      <c r="AI10" s="43"/>
      <c r="AJ10" s="31">
        <f t="shared" si="14"/>
        <v>179.15480416413916</v>
      </c>
      <c r="AK10" s="31">
        <f t="shared" si="15"/>
        <v>200</v>
      </c>
      <c r="AL10" t="b">
        <f t="shared" si="16"/>
        <v>0</v>
      </c>
      <c r="AN10" s="29">
        <f t="shared" si="17"/>
        <v>179.15480416413916</v>
      </c>
      <c r="AO10" s="29">
        <f>GetTransactionTotal(AggregateTable2023[], AggregateTable2023[Start], AN$1, AggregateTable2023[#Headers], $D10)</f>
        <v>-13.9</v>
      </c>
      <c r="AP10" s="29">
        <f>Buckets_10_23[[#This Row],[Start]]+Buckets_10_23[[#This Row],[Transactions]]</f>
        <v>165.25480416413916</v>
      </c>
      <c r="AQ10" s="29">
        <f t="shared" si="18"/>
        <v>200</v>
      </c>
      <c r="AR10" s="29">
        <f>Buckets_10_23[[#This Row],[Capacity]]-Buckets_10_23[[#This Row],[After T]]</f>
        <v>34.745195835860841</v>
      </c>
      <c r="AS10" s="29">
        <f>MAX(-Buckets_10_23[[#This Row],[Cap Diff]], 0)</f>
        <v>0</v>
      </c>
      <c r="AT10" s="29">
        <f>Buckets_10_23[[#This Row],[After T]]-Buckets_10_23[[#This Row],[Slush]]</f>
        <v>165.25480416413916</v>
      </c>
      <c r="AU10" s="29">
        <f>Buckets_10_23[[#This Row],[Capacity]]-Buckets_10_23[[#This Row],[Before Fill]]</f>
        <v>34.745195835860841</v>
      </c>
      <c r="AV10" t="b">
        <f>OR(AL10, Buckets_10_23[[#This Row],[After T]]&lt;0)</f>
        <v>0</v>
      </c>
      <c r="AW10" s="29">
        <f>IF(Buckets_10_23[[#This Row],[Is Crit]], Buckets_10_23[[#This Row],[S Cap Diff]], 0)</f>
        <v>0</v>
      </c>
      <c r="AX10" s="29">
        <f>Buckets_10_23[[#This Row],[Before Fill]]+Buckets_10_23[[#This Row],[Crit To Fill]]</f>
        <v>165.25480416413916</v>
      </c>
      <c r="AY10" s="29">
        <f>IF(NOT(Buckets_10_23[[#This Row],[Is Crit]]), Buckets_10_23[[#This Row],[S Cap Diff]], 0)</f>
        <v>34.745195835860841</v>
      </c>
      <c r="AZ10" s="31">
        <f>AX$41/Buckets_10_23[[#Totals],[NC To Fill]]*Buckets_10_23[[#This Row],[NC To Fill]]</f>
        <v>20.637685206778542</v>
      </c>
      <c r="BA10" s="31">
        <f>Buckets_10_23[[#This Row],[Crit Filled]]+Buckets_10_23[[#This Row],[Scaled]]</f>
        <v>185.8924893709177</v>
      </c>
      <c r="BB10" s="31">
        <f>Buckets_10_23[[#This Row],[NC Filled]]</f>
        <v>185.8924893709177</v>
      </c>
      <c r="BC10" s="31">
        <f>Buckets_10_23[[#This Row],[Capacity]]-Buckets_10_23[[#This Row],[Final]]</f>
        <v>14.107510629082299</v>
      </c>
      <c r="BD10" s="33">
        <f>IF(Buckets_10_23[[#This Row],[Capacity]]=0, 1, Buckets_10_23[[#This Row],[Final]]/Buckets_10_23[[#This Row],[Capacity]])</f>
        <v>0.92946244685458845</v>
      </c>
      <c r="BF10" s="31">
        <f>Buckets_10_23[[#This Row],[Final]]</f>
        <v>185.8924893709177</v>
      </c>
      <c r="BG10" s="31">
        <f>Buckets_10_23[[#This Row],[Capacity]]</f>
        <v>200</v>
      </c>
      <c r="BH10" t="b">
        <f t="shared" si="19"/>
        <v>0</v>
      </c>
      <c r="BI10" s="43" t="e">
        <f>NA()</f>
        <v>#N/A</v>
      </c>
      <c r="BJ10" s="42"/>
      <c r="BK10" s="43" t="e">
        <f>NA()</f>
        <v>#N/A</v>
      </c>
      <c r="BL10" s="42"/>
      <c r="BM10" s="43"/>
      <c r="BN10" s="31">
        <f t="shared" si="20"/>
        <v>185.8924893709177</v>
      </c>
      <c r="BO10" s="31">
        <f t="shared" si="1"/>
        <v>200</v>
      </c>
      <c r="BP10" t="b">
        <f t="shared" si="2"/>
        <v>0</v>
      </c>
      <c r="BR10" s="29">
        <f t="shared" si="21"/>
        <v>185.8924893709177</v>
      </c>
      <c r="BS10" s="29">
        <f>GetTransactionTotal(AggregateTable2023[], AggregateTable2023[Start], BR$1, AggregateTable2023[#Headers], $D10)</f>
        <v>-13.9</v>
      </c>
      <c r="BT10" s="29">
        <f>Buckets_11_23[[#This Row],[Start]]+Buckets_11_23[[#This Row],[Transactions]]</f>
        <v>171.9924893709177</v>
      </c>
      <c r="BU10" s="29">
        <f t="shared" si="22"/>
        <v>200</v>
      </c>
      <c r="BV10" s="29">
        <f>Buckets_11_23[[#This Row],[Capacity]]-Buckets_11_23[[#This Row],[After T]]</f>
        <v>28.007510629082304</v>
      </c>
      <c r="BW10" s="29">
        <f>MAX(-Buckets_11_23[[#This Row],[Cap Diff]], 0)</f>
        <v>0</v>
      </c>
      <c r="BX10" s="29">
        <f>Buckets_11_23[[#This Row],[After T]]-Buckets_11_23[[#This Row],[Slush]]</f>
        <v>171.9924893709177</v>
      </c>
      <c r="BY10" s="29">
        <f>Buckets_11_23[[#This Row],[Capacity]]-Buckets_11_23[[#This Row],[Before Fill]]</f>
        <v>28.007510629082304</v>
      </c>
      <c r="BZ10" t="b">
        <f>OR(BP10, Buckets_11_23[[#This Row],[After T]]&lt;0)</f>
        <v>0</v>
      </c>
      <c r="CA10" s="29">
        <f>IF(Buckets_11_23[[#This Row],[Is Crit]], Buckets_11_23[[#This Row],[S Cap Diff]], 0)</f>
        <v>0</v>
      </c>
      <c r="CB10" s="29">
        <f>Buckets_11_23[[#This Row],[Before Fill]]+Buckets_11_23[[#This Row],[Crit To Fill]]</f>
        <v>171.9924893709177</v>
      </c>
      <c r="CC10" s="29">
        <f>IF(NOT(Buckets_11_23[[#This Row],[Is Crit]]), Buckets_11_23[[#This Row],[S Cap Diff]], 0)</f>
        <v>28.007510629082304</v>
      </c>
      <c r="CD10" s="31">
        <f>CB$41/Buckets_11_23[[#Totals],[NC To Fill]]*Buckets_11_23[[#This Row],[NC To Fill]]</f>
        <v>27.621092158330594</v>
      </c>
      <c r="CE10" s="31">
        <f>Buckets_11_23[[#This Row],[Crit Filled]]+Buckets_11_23[[#This Row],[Scaled]]</f>
        <v>199.61358152924828</v>
      </c>
      <c r="CF10" s="31">
        <f>Buckets_11_23[[#This Row],[NC Filled]]</f>
        <v>199.61358152924828</v>
      </c>
      <c r="CG10" s="31">
        <f>Buckets_11_23[[#This Row],[Capacity]]-Buckets_11_23[[#This Row],[Final]]</f>
        <v>0.38641847075172109</v>
      </c>
      <c r="CH10" s="33">
        <f>IF(Buckets_11_23[[#This Row],[Capacity]]=0, 1, Buckets_11_23[[#This Row],[Final]]/Buckets_11_23[[#This Row],[Capacity]])</f>
        <v>0.99806790764624143</v>
      </c>
      <c r="CJ10" s="40">
        <f>Buckets_11_23[[#This Row],[Final]]</f>
        <v>199.61358152924828</v>
      </c>
      <c r="CK10" s="40">
        <f>Buckets_11_23[[#This Row],[Capacity]]</f>
        <v>200</v>
      </c>
      <c r="CL10" s="41" t="b">
        <f t="shared" si="23"/>
        <v>0</v>
      </c>
      <c r="CM10" s="42"/>
      <c r="CN10" s="42"/>
      <c r="CO10" s="42" t="e">
        <f>NA()</f>
        <v>#N/A</v>
      </c>
      <c r="CP10" s="42">
        <v>500</v>
      </c>
      <c r="CQ10" s="43"/>
      <c r="CR10" s="40">
        <f t="shared" si="24"/>
        <v>199.61358152924828</v>
      </c>
      <c r="CS10" s="40">
        <f t="shared" si="3"/>
        <v>500</v>
      </c>
      <c r="CT10" s="41" t="b">
        <f t="shared" si="4"/>
        <v>0</v>
      </c>
      <c r="CV10" s="29">
        <f t="shared" si="25"/>
        <v>199.61358152924828</v>
      </c>
      <c r="CW10" s="29">
        <f>GetTransactionTotal(AggregateTable2023[], AggregateTable2023[Start], CV$1, AggregateTable2023[#Headers], $D10)</f>
        <v>-13.9</v>
      </c>
      <c r="CX10" s="29">
        <f>Buckets_12_23[[#This Row],[Start]]+Buckets_12_23[[#This Row],[Transactions]]</f>
        <v>185.71358152924827</v>
      </c>
      <c r="CY10" s="29">
        <f t="shared" si="26"/>
        <v>500</v>
      </c>
      <c r="CZ10" s="29">
        <f>Buckets_12_23[[#This Row],[Capacity]]-Buckets_12_23[[#This Row],[After T]]</f>
        <v>314.28641847075176</v>
      </c>
      <c r="DA10" s="29">
        <f>MAX(-Buckets_12_23[[#This Row],[Cap Diff]], 0)</f>
        <v>0</v>
      </c>
      <c r="DB10" s="29">
        <f>Buckets_12_23[[#This Row],[After T]]-Buckets_12_23[[#This Row],[Slush]]</f>
        <v>185.71358152924827</v>
      </c>
      <c r="DC10" s="29">
        <f>Buckets_12_23[[#This Row],[Capacity]]-Buckets_12_23[[#This Row],[Before Fill]]</f>
        <v>314.28641847075176</v>
      </c>
      <c r="DD10" t="b">
        <f>OR(CT10, Buckets_12_23[[#This Row],[After T]]&lt;0)</f>
        <v>0</v>
      </c>
      <c r="DE10" s="29">
        <f>IF(Buckets_12_23[[#This Row],[Is Crit]], Buckets_12_23[[#This Row],[S Cap Diff]], 0)</f>
        <v>0</v>
      </c>
      <c r="DF10" s="29">
        <f>Buckets_12_23[[#This Row],[Before Fill]]+Buckets_12_23[[#This Row],[Crit To Fill]]</f>
        <v>185.71358152924827</v>
      </c>
      <c r="DG10" s="29">
        <f>IF(NOT(Buckets_12_23[[#This Row],[Is Crit]]), Buckets_12_23[[#This Row],[S Cap Diff]], 0)</f>
        <v>314.28641847075176</v>
      </c>
      <c r="DH10" s="31">
        <f>DF$41/Buckets_12_23[[#Totals],[NC To Fill]]*Buckets_12_23[[#This Row],[NC To Fill]]</f>
        <v>143.69805621638625</v>
      </c>
      <c r="DI10" s="31">
        <f>Buckets_12_23[[#This Row],[Crit Filled]]+Buckets_12_23[[#This Row],[Scaled]]</f>
        <v>329.41163774563449</v>
      </c>
      <c r="DJ10" s="31">
        <f>Buckets_12_23[[#This Row],[NC Filled]]</f>
        <v>329.41163774563449</v>
      </c>
      <c r="DK10" s="31">
        <f>Buckets_12_23[[#This Row],[Capacity]]-Buckets_12_23[[#This Row],[Final]]</f>
        <v>170.58836225436551</v>
      </c>
      <c r="DL10" s="33">
        <f>IF(Buckets_12_23[[#This Row],[Capacity]]=0, 1, Buckets_12_23[[#This Row],[Final]]/Buckets_12_23[[#This Row],[Capacity]])</f>
        <v>0.65882327549126896</v>
      </c>
      <c r="DN10" s="40">
        <f>Buckets_12_23[[#This Row],[Final]]</f>
        <v>329.41163774563449</v>
      </c>
      <c r="DO10" s="40">
        <f>Buckets_12_23[[#This Row],[Capacity]]</f>
        <v>500</v>
      </c>
      <c r="DP10" s="41" t="b">
        <f t="shared" si="27"/>
        <v>0</v>
      </c>
      <c r="DQ10" s="42"/>
      <c r="DR10" s="42"/>
      <c r="DS10" s="42" t="e">
        <f>NA()</f>
        <v>#N/A</v>
      </c>
      <c r="DT10" s="42"/>
      <c r="DU10" s="43"/>
      <c r="DV10" s="40">
        <f t="shared" si="28"/>
        <v>329.41163774563449</v>
      </c>
      <c r="DW10" s="40">
        <f t="shared" si="5"/>
        <v>500</v>
      </c>
      <c r="DX10" s="41" t="b">
        <f t="shared" si="6"/>
        <v>0</v>
      </c>
      <c r="DZ10" s="29">
        <f t="shared" si="29"/>
        <v>329.41163774563449</v>
      </c>
      <c r="EA10" s="29">
        <f>GetTransactionTotal(AggregateTable2024[], AggregateTable2024[Start], DZ$1, AggregateTable2024[#Headers], $D10)</f>
        <v>-13.9</v>
      </c>
      <c r="EB10" s="29">
        <f>Buckets_1_24[[#This Row],[Start]]+Buckets_1_24[[#This Row],[Transactions]]</f>
        <v>315.51163774563452</v>
      </c>
      <c r="EC10" s="29">
        <f t="shared" si="30"/>
        <v>500</v>
      </c>
      <c r="ED10" s="29">
        <f>Buckets_1_24[[#This Row],[Capacity]]-Buckets_1_24[[#This Row],[After T]]</f>
        <v>184.48836225436548</v>
      </c>
      <c r="EE10" s="29">
        <f>MAX(-Buckets_1_24[[#This Row],[Cap Diff]], 0)</f>
        <v>0</v>
      </c>
      <c r="EF10" s="29">
        <f>Buckets_1_24[[#This Row],[After T]]-Buckets_1_24[[#This Row],[Slush]]</f>
        <v>315.51163774563452</v>
      </c>
      <c r="EG10" s="29">
        <f>Buckets_1_24[[#This Row],[Capacity]]-Buckets_1_24[[#This Row],[Before Fill]]</f>
        <v>184.48836225436548</v>
      </c>
      <c r="EH10" t="b">
        <f>OR(DX10, Buckets_1_24[[#This Row],[After T]]&lt;0)</f>
        <v>0</v>
      </c>
      <c r="EI10" s="29">
        <f>IF(Buckets_1_24[[#This Row],[Is Crit]], Buckets_1_24[[#This Row],[S Cap Diff]], 0)</f>
        <v>0</v>
      </c>
      <c r="EJ10" s="29">
        <f>Buckets_1_24[[#This Row],[Before Fill]]+Buckets_1_24[[#This Row],[Crit To Fill]]</f>
        <v>315.51163774563452</v>
      </c>
      <c r="EK10" s="29">
        <f>IF(NOT(Buckets_1_24[[#This Row],[Is Crit]]), Buckets_1_24[[#This Row],[S Cap Diff]], 0)</f>
        <v>184.48836225436548</v>
      </c>
      <c r="EL10" s="31">
        <f>EJ$41/Buckets_1_24[[#Totals],[NC To Fill]]*Buckets_1_24[[#This Row],[NC To Fill]]</f>
        <v>113.27445605127122</v>
      </c>
      <c r="EM10" s="31">
        <f>Buckets_1_24[[#This Row],[Crit Filled]]+Buckets_1_24[[#This Row],[Scaled]]</f>
        <v>428.78609379690573</v>
      </c>
      <c r="EN10" s="31">
        <f>Buckets_1_24[[#This Row],[NC Filled]]</f>
        <v>428.78609379690573</v>
      </c>
      <c r="EO10" s="31">
        <f>Buckets_1_24[[#This Row],[Capacity]]-Buckets_1_24[[#This Row],[Final]]</f>
        <v>71.213906203094268</v>
      </c>
      <c r="EP10" s="33">
        <f>IF(Buckets_1_24[[#This Row],[Capacity]]=0, 1, Buckets_1_24[[#This Row],[Final]]/Buckets_1_24[[#This Row],[Capacity]])</f>
        <v>0.85757218759381149</v>
      </c>
      <c r="ER10" s="40">
        <f>Buckets_1_24[[#This Row],[Final]]</f>
        <v>428.78609379690573</v>
      </c>
      <c r="ES10" s="40">
        <f>Buckets_1_24[[#This Row],[Capacity]]</f>
        <v>500</v>
      </c>
      <c r="ET10" s="41" t="b">
        <f t="shared" si="31"/>
        <v>0</v>
      </c>
      <c r="EU10" s="42"/>
      <c r="EV10" s="42"/>
      <c r="EW10" s="42"/>
      <c r="EX10" s="42"/>
      <c r="EY10" s="43"/>
      <c r="EZ10" s="40">
        <f t="shared" si="32"/>
        <v>428.78609379690573</v>
      </c>
      <c r="FA10" s="40">
        <f t="shared" si="33"/>
        <v>500</v>
      </c>
      <c r="FB10" s="41" t="b">
        <f t="shared" si="7"/>
        <v>0</v>
      </c>
      <c r="FD10" s="29">
        <f t="shared" si="34"/>
        <v>428.78609379690573</v>
      </c>
      <c r="FE10" s="29">
        <f>GetTransactionTotal(AggregateTable2024[], AggregateTable2024[Start], FD$1, AggregateTable2024[#Headers], $D10)</f>
        <v>-13.9</v>
      </c>
      <c r="FF10" s="29">
        <f>Buckets_2_24[[#This Row],[Start]]+Buckets_2_24[[#This Row],[Transactions]]</f>
        <v>414.88609379690575</v>
      </c>
      <c r="FG10" s="29">
        <f t="shared" si="35"/>
        <v>500</v>
      </c>
      <c r="FH10" s="29">
        <f>Buckets_2_24[[#This Row],[Capacity]]-Buckets_2_24[[#This Row],[After T]]</f>
        <v>85.113906203094245</v>
      </c>
      <c r="FI10" s="29">
        <f>MAX(-Buckets_2_24[[#This Row],[Cap Diff]], 0)</f>
        <v>0</v>
      </c>
      <c r="FJ10" s="29">
        <f>Buckets_2_24[[#This Row],[After T]]-Buckets_2_24[[#This Row],[Slush]]</f>
        <v>414.88609379690575</v>
      </c>
      <c r="FK10" s="29">
        <f>Buckets_2_24[[#This Row],[Capacity]]-Buckets_2_24[[#This Row],[Before Fill]]</f>
        <v>85.113906203094245</v>
      </c>
      <c r="FL10" t="b">
        <f>OR(FB10, Buckets_2_24[[#This Row],[After T]]&lt;0)</f>
        <v>0</v>
      </c>
      <c r="FM10" s="29">
        <f>IF(Buckets_2_24[[#This Row],[Is Crit]], Buckets_2_24[[#This Row],[S Cap Diff]], 0)</f>
        <v>0</v>
      </c>
      <c r="FN10" s="29">
        <f>Buckets_2_24[[#This Row],[Before Fill]]+Buckets_2_24[[#This Row],[Crit To Fill]]</f>
        <v>414.88609379690575</v>
      </c>
      <c r="FO10" s="29">
        <f>IF(NOT(Buckets_2_24[[#This Row],[Is Crit]]), Buckets_2_24[[#This Row],[S Cap Diff]], 0)</f>
        <v>85.113906203094245</v>
      </c>
      <c r="FP10" s="31">
        <f>FN$41/Buckets_2_24[[#Totals],[NC To Fill]]*Buckets_2_24[[#This Row],[NC To Fill]]</f>
        <v>81.994118357738614</v>
      </c>
      <c r="FQ10" s="31">
        <f>Buckets_2_24[[#This Row],[Crit Filled]]+Buckets_2_24[[#This Row],[Scaled]]</f>
        <v>496.88021215464437</v>
      </c>
      <c r="FR10" s="31">
        <f>Buckets_2_24[[#This Row],[NC Filled]]</f>
        <v>496.88021215464437</v>
      </c>
      <c r="FS10" s="31">
        <f>Buckets_2_24[[#This Row],[Capacity]]-Buckets_2_24[[#This Row],[Final]]</f>
        <v>3.1197878453556314</v>
      </c>
      <c r="FT10" s="33">
        <f>IF(Buckets_2_24[[#This Row],[Capacity]]=0, 1, Buckets_2_24[[#This Row],[Final]]/Buckets_2_24[[#This Row],[Capacity]])</f>
        <v>0.99376042430928879</v>
      </c>
      <c r="FV10" s="40">
        <f>Buckets_2_24[[#This Row],[Final]]</f>
        <v>496.88021215464437</v>
      </c>
      <c r="FW10" s="40">
        <f>Buckets_2_24[[#This Row],[Capacity]]</f>
        <v>500</v>
      </c>
      <c r="FX10" s="41" t="b">
        <f t="shared" si="36"/>
        <v>0</v>
      </c>
      <c r="FY10" s="42"/>
      <c r="FZ10" s="42"/>
      <c r="GA10" s="42"/>
      <c r="GB10" s="42"/>
      <c r="GC10" s="43"/>
      <c r="GD10" s="40">
        <f t="shared" si="37"/>
        <v>496.88021215464437</v>
      </c>
      <c r="GE10" s="40">
        <f t="shared" si="38"/>
        <v>500</v>
      </c>
      <c r="GF10" s="41" t="b">
        <f t="shared" si="8"/>
        <v>0</v>
      </c>
      <c r="GH10" s="29">
        <f t="shared" si="39"/>
        <v>496.88021215464437</v>
      </c>
      <c r="GI10" s="29">
        <f>GetTransactionTotal(AggregateTable2024[], AggregateTable2024[Start], GH$1, AggregateTable2024[#Headers], $D10)</f>
        <v>-13.9</v>
      </c>
      <c r="GJ10" s="29">
        <f>Buckets_3_24[[#This Row],[Start]]+Buckets_3_24[[#This Row],[Transactions]]</f>
        <v>482.98021215464439</v>
      </c>
      <c r="GK10" s="29">
        <f t="shared" si="40"/>
        <v>500</v>
      </c>
      <c r="GL10" s="29">
        <f>Buckets_3_24[[#This Row],[Capacity]]-Buckets_3_24[[#This Row],[After T]]</f>
        <v>17.019787845355609</v>
      </c>
      <c r="GM10" s="29">
        <f>MAX(-Buckets_3_24[[#This Row],[Cap Diff]], 0)</f>
        <v>0</v>
      </c>
      <c r="GN10" s="29">
        <f>Buckets_3_24[[#This Row],[After T]]-Buckets_3_24[[#This Row],[Slush]]</f>
        <v>482.98021215464439</v>
      </c>
      <c r="GO10" s="29">
        <f>Buckets_3_24[[#This Row],[Capacity]]-Buckets_3_24[[#This Row],[Before Fill]]</f>
        <v>17.019787845355609</v>
      </c>
      <c r="GP10" t="b">
        <f>OR(GF10, Buckets_3_24[[#This Row],[After T]]&lt;0)</f>
        <v>0</v>
      </c>
      <c r="GQ10" s="29">
        <f>IF(Buckets_3_24[[#This Row],[Is Crit]], Buckets_3_24[[#This Row],[S Cap Diff]], 0)</f>
        <v>0</v>
      </c>
      <c r="GR10" s="29">
        <f>Buckets_3_24[[#This Row],[Before Fill]]+Buckets_3_24[[#This Row],[Crit To Fill]]</f>
        <v>482.98021215464439</v>
      </c>
      <c r="GS10" s="29">
        <f>IF(NOT(Buckets_3_24[[#This Row],[Is Crit]]), Buckets_3_24[[#This Row],[S Cap Diff]], 0)</f>
        <v>17.019787845355609</v>
      </c>
      <c r="GT10" s="31">
        <f>GR$41/Buckets_3_24[[#Totals],[NC To Fill]]*Buckets_3_24[[#This Row],[NC To Fill]]</f>
        <v>16.530278122147749</v>
      </c>
      <c r="GU10" s="31">
        <f>Buckets_3_24[[#This Row],[Crit Filled]]+Buckets_3_24[[#This Row],[Scaled]]</f>
        <v>499.51049027679215</v>
      </c>
      <c r="GV10" s="31">
        <f>Buckets_3_24[[#This Row],[NC Filled]]</f>
        <v>499.51049027679215</v>
      </c>
      <c r="GW10" s="31">
        <f>Buckets_3_24[[#This Row],[Capacity]]-Buckets_3_24[[#This Row],[Final]]</f>
        <v>0.48950972320784558</v>
      </c>
      <c r="GX10" s="33">
        <f>IF(Buckets_3_24[[#This Row],[Capacity]]=0, 1, Buckets_3_24[[#This Row],[Final]]/Buckets_3_24[[#This Row],[Capacity]])</f>
        <v>0.99902098055358435</v>
      </c>
      <c r="GZ10" s="40">
        <f>Buckets_3_24[[#This Row],[Final]]</f>
        <v>499.51049027679215</v>
      </c>
      <c r="HA10" s="40">
        <f>Buckets_3_24[[#This Row],[Capacity]]</f>
        <v>500</v>
      </c>
      <c r="HB10" s="41" t="b">
        <f t="shared" si="41"/>
        <v>0</v>
      </c>
      <c r="HC10" s="42"/>
      <c r="HD10" s="42"/>
      <c r="HE10" s="42"/>
      <c r="HF10" s="42"/>
      <c r="HG10" s="43"/>
      <c r="HH10" s="40">
        <f t="shared" si="42"/>
        <v>499.51049027679215</v>
      </c>
      <c r="HI10" s="40">
        <f t="shared" si="43"/>
        <v>500</v>
      </c>
      <c r="HJ10" s="41" t="b">
        <f t="shared" si="9"/>
        <v>0</v>
      </c>
      <c r="HL10" s="29">
        <f t="shared" si="44"/>
        <v>499.51049027679215</v>
      </c>
      <c r="HM10" s="29">
        <f>GetTransactionTotal(AggregateTable2024[], AggregateTable2024[Start], HL$1, AggregateTable2024[#Headers], $D10)</f>
        <v>-13.9</v>
      </c>
      <c r="HN10" s="29">
        <f>Buckets_4_24[[#This Row],[Start]]+Buckets_4_24[[#This Row],[Transactions]]</f>
        <v>485.61049027679218</v>
      </c>
      <c r="HO10" s="29">
        <f t="shared" si="45"/>
        <v>500</v>
      </c>
      <c r="HP10" s="29">
        <f>Buckets_4_24[[#This Row],[Capacity]]-Buckets_4_24[[#This Row],[After T]]</f>
        <v>14.389509723207823</v>
      </c>
      <c r="HQ10" s="29">
        <f>MAX(-Buckets_4_24[[#This Row],[Cap Diff]], 0)</f>
        <v>0</v>
      </c>
      <c r="HR10" s="29">
        <f>Buckets_4_24[[#This Row],[After T]]-Buckets_4_24[[#This Row],[Slush]]</f>
        <v>485.61049027679218</v>
      </c>
      <c r="HS10" s="29">
        <f>Buckets_4_24[[#This Row],[Capacity]]-Buckets_4_24[[#This Row],[Before Fill]]</f>
        <v>14.389509723207823</v>
      </c>
      <c r="HT10" t="b">
        <f>OR(HJ10, Buckets_4_24[[#This Row],[After T]]&lt;0)</f>
        <v>0</v>
      </c>
      <c r="HU10" s="29">
        <f>IF(Buckets_4_24[[#This Row],[Is Crit]], Buckets_4_24[[#This Row],[S Cap Diff]], 0)</f>
        <v>0</v>
      </c>
      <c r="HV10" s="29">
        <f>Buckets_4_24[[#This Row],[Before Fill]]+Buckets_4_24[[#This Row],[Crit To Fill]]</f>
        <v>485.61049027679218</v>
      </c>
      <c r="HW10" s="29">
        <f>IF(NOT(Buckets_4_24[[#This Row],[Is Crit]]), Buckets_4_24[[#This Row],[S Cap Diff]], 0)</f>
        <v>14.389509723207823</v>
      </c>
      <c r="HX10" s="31">
        <f>HV$41/Buckets_4_24[[#Totals],[NC To Fill]]*Buckets_4_24[[#This Row],[NC To Fill]]</f>
        <v>9.3903005904365955</v>
      </c>
      <c r="HY10" s="31">
        <f>Buckets_4_24[[#This Row],[Crit Filled]]+Buckets_4_24[[#This Row],[Scaled]]</f>
        <v>495.00079086722877</v>
      </c>
      <c r="HZ10" s="31">
        <f>Buckets_4_24[[#This Row],[NC Filled]]</f>
        <v>495.00079086722877</v>
      </c>
      <c r="IA10" s="31">
        <f>Buckets_4_24[[#This Row],[Capacity]]-Buckets_4_24[[#This Row],[Final]]</f>
        <v>4.9992091327712274</v>
      </c>
      <c r="IB10" s="33">
        <f>IF(Buckets_4_24[[#This Row],[Capacity]]=0, 1, Buckets_4_24[[#This Row],[Final]]/Buckets_4_24[[#This Row],[Capacity]])</f>
        <v>0.99000158173445751</v>
      </c>
      <c r="ID10" s="40">
        <f>Buckets_4_24[[#This Row],[Final]]</f>
        <v>495.00079086722877</v>
      </c>
      <c r="IE10" s="40">
        <f>Buckets_4_24[[#This Row],[Capacity]]</f>
        <v>500</v>
      </c>
      <c r="IF10" s="41" t="b">
        <f t="shared" si="46"/>
        <v>0</v>
      </c>
      <c r="IG10" s="42"/>
      <c r="IH10" s="42"/>
      <c r="II10" s="42"/>
      <c r="IJ10" s="42"/>
      <c r="IK10" s="43"/>
      <c r="IL10" s="40">
        <f t="shared" si="47"/>
        <v>495.00079086722877</v>
      </c>
      <c r="IM10" s="40">
        <f t="shared" si="48"/>
        <v>500</v>
      </c>
      <c r="IN10" s="41" t="b">
        <f t="shared" si="10"/>
        <v>0</v>
      </c>
    </row>
    <row r="11" spans="1:248" x14ac:dyDescent="0.25">
      <c r="A11" s="49"/>
      <c r="B11" t="s">
        <v>32</v>
      </c>
      <c r="C11" t="s">
        <v>289</v>
      </c>
      <c r="D11" t="s">
        <v>289</v>
      </c>
      <c r="F11" s="30">
        <v>50</v>
      </c>
      <c r="G11" s="38">
        <v>200</v>
      </c>
      <c r="H11" t="b">
        <v>0</v>
      </c>
      <c r="J11" s="29">
        <f t="shared" si="11"/>
        <v>50</v>
      </c>
      <c r="K11" s="29">
        <f>GetTransactionTotal(AggregateTable2023[], AggregateTable2023[Start], J$1, AggregateTable2023[#Headers], $D11)</f>
        <v>-10.81</v>
      </c>
      <c r="L11" s="29">
        <f>Buckets_9_23[[#This Row],[Start]]+Buckets_9_23[[#This Row],[Transactions]]</f>
        <v>39.19</v>
      </c>
      <c r="M11" s="29">
        <f t="shared" si="12"/>
        <v>200</v>
      </c>
      <c r="N11" s="29">
        <f>Buckets_9_23[[#This Row],[Capacity]]-Buckets_9_23[[#This Row],[After T]]</f>
        <v>160.81</v>
      </c>
      <c r="O11" s="29">
        <f>IF(Buckets_9_23[[#This Row],[After T]]&lt;0, Buckets_9_23[[#This Row],[After T]], IF(Buckets_9_23[[#This Row],[Cap Diff]]&lt;0, -Buckets_9_23[[#This Row],[Cap Diff]], 0))</f>
        <v>0</v>
      </c>
      <c r="P11" s="29">
        <f>Buckets_9_23[[#This Row],[After T]]-Buckets_9_23[[#This Row],[Slush]]</f>
        <v>39.19</v>
      </c>
      <c r="Q11" s="29">
        <f>Buckets_9_23[[#This Row],[Capacity]]-Buckets_9_23[[#This Row],[Before Fill]]</f>
        <v>160.81</v>
      </c>
      <c r="R11" t="b">
        <f t="shared" si="0"/>
        <v>0</v>
      </c>
      <c r="S11" s="29">
        <f>IF(Buckets_9_23[[#This Row],[Is Crit]], Buckets_9_23[[#This Row],[S Cap Diff]], 0)</f>
        <v>0</v>
      </c>
      <c r="T11" s="29">
        <f>Buckets_9_23[[#This Row],[Before Fill]]+Buckets_9_23[[#This Row],[Crit To Fill]]</f>
        <v>39.19</v>
      </c>
      <c r="U11" s="29">
        <f>IF(NOT(Buckets_9_23[[#This Row],[Is Crit]]), Buckets_9_23[[#This Row],[S Cap Diff]], 0)</f>
        <v>160.81</v>
      </c>
      <c r="V11" s="31">
        <f>T$41/Buckets_9_23[[#Totals],[NC To Fill]]*Buckets_9_23[[#This Row],[NC To Fill]]</f>
        <v>140.35779778911055</v>
      </c>
      <c r="W11" s="31">
        <f>Buckets_9_23[[#This Row],[Crit Filled]]+Buckets_9_23[[#This Row],[Scaled]]</f>
        <v>179.54779778911055</v>
      </c>
      <c r="X11" s="31">
        <f>Buckets_9_23[[#This Row],[NC Filled]]</f>
        <v>179.54779778911055</v>
      </c>
      <c r="Y11" s="31">
        <f>Buckets_9_23[[#This Row],[Capacity]]-Buckets_9_23[[#This Row],[Final]]</f>
        <v>20.452202210889453</v>
      </c>
      <c r="Z11" s="33">
        <f>IF(Buckets_9_23[[#This Row],[Capacity]]=0, 1, Buckets_9_23[[#This Row],[Final]]/Buckets_9_23[[#This Row],[Capacity]])</f>
        <v>0.89773898894555271</v>
      </c>
      <c r="AB11" s="31">
        <f>Buckets_9_23[[#This Row],[Final]]</f>
        <v>179.54779778911055</v>
      </c>
      <c r="AC11" s="31">
        <f>Buckets_9_23[[#This Row],[Capacity]]</f>
        <v>200</v>
      </c>
      <c r="AD11" t="b">
        <f t="shared" si="13"/>
        <v>0</v>
      </c>
      <c r="AE11" s="43" t="e">
        <f>NA()</f>
        <v>#N/A</v>
      </c>
      <c r="AF11" s="42"/>
      <c r="AG11" s="43" t="e">
        <f>NA()</f>
        <v>#N/A</v>
      </c>
      <c r="AH11" s="42"/>
      <c r="AI11" s="43"/>
      <c r="AJ11" s="31">
        <f t="shared" si="14"/>
        <v>179.54779778911055</v>
      </c>
      <c r="AK11" s="31">
        <f t="shared" si="15"/>
        <v>200</v>
      </c>
      <c r="AL11" t="b">
        <f t="shared" si="16"/>
        <v>0</v>
      </c>
      <c r="AN11" s="29">
        <f t="shared" si="17"/>
        <v>179.54779778911055</v>
      </c>
      <c r="AO11" s="29">
        <f>GetTransactionTotal(AggregateTable2023[], AggregateTable2023[Start], AN$1, AggregateTable2023[#Headers], $D11)</f>
        <v>-16.23</v>
      </c>
      <c r="AP11" s="29">
        <f>Buckets_10_23[[#This Row],[Start]]+Buckets_10_23[[#This Row],[Transactions]]</f>
        <v>163.31779778911056</v>
      </c>
      <c r="AQ11" s="29">
        <f t="shared" si="18"/>
        <v>200</v>
      </c>
      <c r="AR11" s="29">
        <f>Buckets_10_23[[#This Row],[Capacity]]-Buckets_10_23[[#This Row],[After T]]</f>
        <v>36.682202210889443</v>
      </c>
      <c r="AS11" s="29">
        <f>MAX(-Buckets_10_23[[#This Row],[Cap Diff]], 0)</f>
        <v>0</v>
      </c>
      <c r="AT11" s="29">
        <f>Buckets_10_23[[#This Row],[After T]]-Buckets_10_23[[#This Row],[Slush]]</f>
        <v>163.31779778911056</v>
      </c>
      <c r="AU11" s="29">
        <f>Buckets_10_23[[#This Row],[Capacity]]-Buckets_10_23[[#This Row],[Before Fill]]</f>
        <v>36.682202210889443</v>
      </c>
      <c r="AV11" t="b">
        <f>OR(AL11, Buckets_10_23[[#This Row],[After T]]&lt;0)</f>
        <v>0</v>
      </c>
      <c r="AW11" s="29">
        <f>IF(Buckets_10_23[[#This Row],[Is Crit]], Buckets_10_23[[#This Row],[S Cap Diff]], 0)</f>
        <v>0</v>
      </c>
      <c r="AX11" s="29">
        <f>Buckets_10_23[[#This Row],[Before Fill]]+Buckets_10_23[[#This Row],[Crit To Fill]]</f>
        <v>163.31779778911056</v>
      </c>
      <c r="AY11" s="29">
        <f>IF(NOT(Buckets_10_23[[#This Row],[Is Crit]]), Buckets_10_23[[#This Row],[S Cap Diff]], 0)</f>
        <v>36.682202210889443</v>
      </c>
      <c r="AZ11" s="31">
        <f>AX$41/Buckets_10_23[[#Totals],[NC To Fill]]*Buckets_10_23[[#This Row],[NC To Fill]]</f>
        <v>21.788213412180237</v>
      </c>
      <c r="BA11" s="31">
        <f>Buckets_10_23[[#This Row],[Crit Filled]]+Buckets_10_23[[#This Row],[Scaled]]</f>
        <v>185.10601120129078</v>
      </c>
      <c r="BB11" s="31">
        <f>Buckets_10_23[[#This Row],[NC Filled]]</f>
        <v>185.10601120129078</v>
      </c>
      <c r="BC11" s="31">
        <f>Buckets_10_23[[#This Row],[Capacity]]-Buckets_10_23[[#This Row],[Final]]</f>
        <v>14.893988798709216</v>
      </c>
      <c r="BD11" s="33">
        <f>IF(Buckets_10_23[[#This Row],[Capacity]]=0, 1, Buckets_10_23[[#This Row],[Final]]/Buckets_10_23[[#This Row],[Capacity]])</f>
        <v>0.92553005600645388</v>
      </c>
      <c r="BF11" s="31">
        <f>Buckets_10_23[[#This Row],[Final]]</f>
        <v>185.10601120129078</v>
      </c>
      <c r="BG11" s="31">
        <f>Buckets_10_23[[#This Row],[Capacity]]</f>
        <v>200</v>
      </c>
      <c r="BH11" t="b">
        <f t="shared" si="19"/>
        <v>0</v>
      </c>
      <c r="BI11" s="43" t="e">
        <f>NA()</f>
        <v>#N/A</v>
      </c>
      <c r="BJ11" s="42"/>
      <c r="BK11" s="43" t="e">
        <f>NA()</f>
        <v>#N/A</v>
      </c>
      <c r="BL11" s="42"/>
      <c r="BM11" s="43"/>
      <c r="BN11" s="31">
        <f t="shared" si="20"/>
        <v>185.10601120129078</v>
      </c>
      <c r="BO11" s="31">
        <f t="shared" si="1"/>
        <v>200</v>
      </c>
      <c r="BP11" t="b">
        <f t="shared" si="2"/>
        <v>0</v>
      </c>
      <c r="BR11" s="29">
        <f t="shared" si="21"/>
        <v>185.10601120129078</v>
      </c>
      <c r="BS11" s="29">
        <f>GetTransactionTotal(AggregateTable2023[], AggregateTable2023[Start], BR$1, AggregateTable2023[#Headers], $D11)</f>
        <v>0</v>
      </c>
      <c r="BT11" s="29">
        <f>Buckets_11_23[[#This Row],[Start]]+Buckets_11_23[[#This Row],[Transactions]]</f>
        <v>185.10601120129078</v>
      </c>
      <c r="BU11" s="29">
        <f t="shared" si="22"/>
        <v>200</v>
      </c>
      <c r="BV11" s="29">
        <f>Buckets_11_23[[#This Row],[Capacity]]-Buckets_11_23[[#This Row],[After T]]</f>
        <v>14.893988798709216</v>
      </c>
      <c r="BW11" s="29">
        <f>MAX(-Buckets_11_23[[#This Row],[Cap Diff]], 0)</f>
        <v>0</v>
      </c>
      <c r="BX11" s="29">
        <f>Buckets_11_23[[#This Row],[After T]]-Buckets_11_23[[#This Row],[Slush]]</f>
        <v>185.10601120129078</v>
      </c>
      <c r="BY11" s="29">
        <f>Buckets_11_23[[#This Row],[Capacity]]-Buckets_11_23[[#This Row],[Before Fill]]</f>
        <v>14.893988798709216</v>
      </c>
      <c r="BZ11" t="b">
        <f>OR(BP11, Buckets_11_23[[#This Row],[After T]]&lt;0)</f>
        <v>0</v>
      </c>
      <c r="CA11" s="29">
        <f>IF(Buckets_11_23[[#This Row],[Is Crit]], Buckets_11_23[[#This Row],[S Cap Diff]], 0)</f>
        <v>0</v>
      </c>
      <c r="CB11" s="29">
        <f>Buckets_11_23[[#This Row],[Before Fill]]+Buckets_11_23[[#This Row],[Crit To Fill]]</f>
        <v>185.10601120129078</v>
      </c>
      <c r="CC11" s="29">
        <f>IF(NOT(Buckets_11_23[[#This Row],[Is Crit]]), Buckets_11_23[[#This Row],[S Cap Diff]], 0)</f>
        <v>14.893988798709216</v>
      </c>
      <c r="CD11" s="31">
        <f>CB$41/Buckets_11_23[[#Totals],[NC To Fill]]*Buckets_11_23[[#This Row],[NC To Fill]]</f>
        <v>14.68849704861365</v>
      </c>
      <c r="CE11" s="31">
        <f>Buckets_11_23[[#This Row],[Crit Filled]]+Buckets_11_23[[#This Row],[Scaled]]</f>
        <v>199.79450824990442</v>
      </c>
      <c r="CF11" s="31">
        <f>Buckets_11_23[[#This Row],[NC Filled]]</f>
        <v>199.79450824990442</v>
      </c>
      <c r="CG11" s="31">
        <f>Buckets_11_23[[#This Row],[Capacity]]-Buckets_11_23[[#This Row],[Final]]</f>
        <v>0.2054917500955753</v>
      </c>
      <c r="CH11" s="33">
        <f>IF(Buckets_11_23[[#This Row],[Capacity]]=0, 1, Buckets_11_23[[#This Row],[Final]]/Buckets_11_23[[#This Row],[Capacity]])</f>
        <v>0.99897254124952217</v>
      </c>
      <c r="CJ11" s="40">
        <f>Buckets_11_23[[#This Row],[Final]]</f>
        <v>199.79450824990442</v>
      </c>
      <c r="CK11" s="40">
        <f>Buckets_11_23[[#This Row],[Capacity]]</f>
        <v>200</v>
      </c>
      <c r="CL11" s="41" t="b">
        <f t="shared" si="23"/>
        <v>0</v>
      </c>
      <c r="CM11" s="42">
        <v>-70</v>
      </c>
      <c r="CN11" s="42"/>
      <c r="CO11" s="42" t="e">
        <f>NA()</f>
        <v>#N/A</v>
      </c>
      <c r="CP11" s="42">
        <v>500</v>
      </c>
      <c r="CQ11" s="43"/>
      <c r="CR11" s="40">
        <f t="shared" si="24"/>
        <v>129.79450824990442</v>
      </c>
      <c r="CS11" s="40">
        <f t="shared" si="3"/>
        <v>500</v>
      </c>
      <c r="CT11" s="41" t="b">
        <f t="shared" si="4"/>
        <v>0</v>
      </c>
      <c r="CV11" s="29">
        <f t="shared" si="25"/>
        <v>129.79450824990442</v>
      </c>
      <c r="CW11" s="29">
        <f>GetTransactionTotal(AggregateTable2023[], AggregateTable2023[Start], CV$1, AggregateTable2023[#Headers], $D11)</f>
        <v>-21.65</v>
      </c>
      <c r="CX11" s="29">
        <f>Buckets_12_23[[#This Row],[Start]]+Buckets_12_23[[#This Row],[Transactions]]</f>
        <v>108.14450824990442</v>
      </c>
      <c r="CY11" s="29">
        <f t="shared" si="26"/>
        <v>500</v>
      </c>
      <c r="CZ11" s="29">
        <f>Buckets_12_23[[#This Row],[Capacity]]-Buckets_12_23[[#This Row],[After T]]</f>
        <v>391.85549175009555</v>
      </c>
      <c r="DA11" s="29">
        <f>MAX(-Buckets_12_23[[#This Row],[Cap Diff]], 0)</f>
        <v>0</v>
      </c>
      <c r="DB11" s="29">
        <f>Buckets_12_23[[#This Row],[After T]]-Buckets_12_23[[#This Row],[Slush]]</f>
        <v>108.14450824990442</v>
      </c>
      <c r="DC11" s="29">
        <f>Buckets_12_23[[#This Row],[Capacity]]-Buckets_12_23[[#This Row],[Before Fill]]</f>
        <v>391.85549175009555</v>
      </c>
      <c r="DD11" t="b">
        <f>OR(CT11, Buckets_12_23[[#This Row],[After T]]&lt;0)</f>
        <v>0</v>
      </c>
      <c r="DE11" s="29">
        <f>IF(Buckets_12_23[[#This Row],[Is Crit]], Buckets_12_23[[#This Row],[S Cap Diff]], 0)</f>
        <v>0</v>
      </c>
      <c r="DF11" s="29">
        <f>Buckets_12_23[[#This Row],[Before Fill]]+Buckets_12_23[[#This Row],[Crit To Fill]]</f>
        <v>108.14450824990442</v>
      </c>
      <c r="DG11" s="29">
        <f>IF(NOT(Buckets_12_23[[#This Row],[Is Crit]]), Buckets_12_23[[#This Row],[S Cap Diff]], 0)</f>
        <v>391.85549175009555</v>
      </c>
      <c r="DH11" s="31">
        <f>DF$41/Buckets_12_23[[#Totals],[NC To Fill]]*Buckets_12_23[[#This Row],[NC To Fill]]</f>
        <v>179.16419282828522</v>
      </c>
      <c r="DI11" s="31">
        <f>Buckets_12_23[[#This Row],[Crit Filled]]+Buckets_12_23[[#This Row],[Scaled]]</f>
        <v>287.30870107818964</v>
      </c>
      <c r="DJ11" s="31">
        <f>Buckets_12_23[[#This Row],[NC Filled]]</f>
        <v>287.30870107818964</v>
      </c>
      <c r="DK11" s="31">
        <f>Buckets_12_23[[#This Row],[Capacity]]-Buckets_12_23[[#This Row],[Final]]</f>
        <v>212.69129892181036</v>
      </c>
      <c r="DL11" s="33">
        <f>IF(Buckets_12_23[[#This Row],[Capacity]]=0, 1, Buckets_12_23[[#This Row],[Final]]/Buckets_12_23[[#This Row],[Capacity]])</f>
        <v>0.57461740215637924</v>
      </c>
      <c r="DN11" s="40">
        <f>Buckets_12_23[[#This Row],[Final]]</f>
        <v>287.30870107818964</v>
      </c>
      <c r="DO11" s="40">
        <f>Buckets_12_23[[#This Row],[Capacity]]</f>
        <v>500</v>
      </c>
      <c r="DP11" s="41" t="b">
        <f t="shared" si="27"/>
        <v>0</v>
      </c>
      <c r="DQ11" s="42"/>
      <c r="DR11" s="42"/>
      <c r="DS11" s="42" t="e">
        <f>NA()</f>
        <v>#N/A</v>
      </c>
      <c r="DT11" s="42"/>
      <c r="DU11" s="43"/>
      <c r="DV11" s="40">
        <f t="shared" si="28"/>
        <v>287.30870107818964</v>
      </c>
      <c r="DW11" s="40">
        <f t="shared" si="5"/>
        <v>500</v>
      </c>
      <c r="DX11" s="41" t="b">
        <f t="shared" si="6"/>
        <v>0</v>
      </c>
      <c r="DZ11" s="29">
        <f t="shared" si="29"/>
        <v>287.30870107818964</v>
      </c>
      <c r="EA11" s="29">
        <f>GetTransactionTotal(AggregateTable2024[], AggregateTable2024[Start], DZ$1, AggregateTable2024[#Headers], $D11)</f>
        <v>0</v>
      </c>
      <c r="EB11" s="29">
        <f>Buckets_1_24[[#This Row],[Start]]+Buckets_1_24[[#This Row],[Transactions]]</f>
        <v>287.30870107818964</v>
      </c>
      <c r="EC11" s="29">
        <f t="shared" si="30"/>
        <v>500</v>
      </c>
      <c r="ED11" s="29">
        <f>Buckets_1_24[[#This Row],[Capacity]]-Buckets_1_24[[#This Row],[After T]]</f>
        <v>212.69129892181036</v>
      </c>
      <c r="EE11" s="29">
        <f>MAX(-Buckets_1_24[[#This Row],[Cap Diff]], 0)</f>
        <v>0</v>
      </c>
      <c r="EF11" s="29">
        <f>Buckets_1_24[[#This Row],[After T]]-Buckets_1_24[[#This Row],[Slush]]</f>
        <v>287.30870107818964</v>
      </c>
      <c r="EG11" s="29">
        <f>Buckets_1_24[[#This Row],[Capacity]]-Buckets_1_24[[#This Row],[Before Fill]]</f>
        <v>212.69129892181036</v>
      </c>
      <c r="EH11" t="b">
        <f>OR(DX11, Buckets_1_24[[#This Row],[After T]]&lt;0)</f>
        <v>0</v>
      </c>
      <c r="EI11" s="29">
        <f>IF(Buckets_1_24[[#This Row],[Is Crit]], Buckets_1_24[[#This Row],[S Cap Diff]], 0)</f>
        <v>0</v>
      </c>
      <c r="EJ11" s="29">
        <f>Buckets_1_24[[#This Row],[Before Fill]]+Buckets_1_24[[#This Row],[Crit To Fill]]</f>
        <v>287.30870107818964</v>
      </c>
      <c r="EK11" s="29">
        <f>IF(NOT(Buckets_1_24[[#This Row],[Is Crit]]), Buckets_1_24[[#This Row],[S Cap Diff]], 0)</f>
        <v>212.69129892181036</v>
      </c>
      <c r="EL11" s="31">
        <f>EJ$41/Buckets_1_24[[#Totals],[NC To Fill]]*Buckets_1_24[[#This Row],[NC To Fill]]</f>
        <v>130.59084539429426</v>
      </c>
      <c r="EM11" s="31">
        <f>Buckets_1_24[[#This Row],[Crit Filled]]+Buckets_1_24[[#This Row],[Scaled]]</f>
        <v>417.89954647248391</v>
      </c>
      <c r="EN11" s="31">
        <f>Buckets_1_24[[#This Row],[NC Filled]]</f>
        <v>417.89954647248391</v>
      </c>
      <c r="EO11" s="31">
        <f>Buckets_1_24[[#This Row],[Capacity]]-Buckets_1_24[[#This Row],[Final]]</f>
        <v>82.100453527516095</v>
      </c>
      <c r="EP11" s="33">
        <f>IF(Buckets_1_24[[#This Row],[Capacity]]=0, 1, Buckets_1_24[[#This Row],[Final]]/Buckets_1_24[[#This Row],[Capacity]])</f>
        <v>0.83579909294496779</v>
      </c>
      <c r="ER11" s="40">
        <f>Buckets_1_24[[#This Row],[Final]]</f>
        <v>417.89954647248391</v>
      </c>
      <c r="ES11" s="40">
        <f>Buckets_1_24[[#This Row],[Capacity]]</f>
        <v>500</v>
      </c>
      <c r="ET11" s="41" t="b">
        <f t="shared" si="31"/>
        <v>0</v>
      </c>
      <c r="EU11" s="42"/>
      <c r="EV11" s="42"/>
      <c r="EW11" s="42"/>
      <c r="EX11" s="42"/>
      <c r="EY11" s="43"/>
      <c r="EZ11" s="40">
        <f t="shared" si="32"/>
        <v>417.89954647248391</v>
      </c>
      <c r="FA11" s="40">
        <f t="shared" si="33"/>
        <v>500</v>
      </c>
      <c r="FB11" s="41" t="b">
        <f t="shared" si="7"/>
        <v>0</v>
      </c>
      <c r="FD11" s="29">
        <f t="shared" si="34"/>
        <v>417.89954647248391</v>
      </c>
      <c r="FE11" s="29">
        <f>GetTransactionTotal(AggregateTable2024[], AggregateTable2024[Start], FD$1, AggregateTable2024[#Headers], $D11)</f>
        <v>-43.29</v>
      </c>
      <c r="FF11" s="29">
        <f>Buckets_2_24[[#This Row],[Start]]+Buckets_2_24[[#This Row],[Transactions]]</f>
        <v>374.60954647248388</v>
      </c>
      <c r="FG11" s="29">
        <f t="shared" si="35"/>
        <v>500</v>
      </c>
      <c r="FH11" s="29">
        <f>Buckets_2_24[[#This Row],[Capacity]]-Buckets_2_24[[#This Row],[After T]]</f>
        <v>125.39045352751612</v>
      </c>
      <c r="FI11" s="29">
        <f>MAX(-Buckets_2_24[[#This Row],[Cap Diff]], 0)</f>
        <v>0</v>
      </c>
      <c r="FJ11" s="29">
        <f>Buckets_2_24[[#This Row],[After T]]-Buckets_2_24[[#This Row],[Slush]]</f>
        <v>374.60954647248388</v>
      </c>
      <c r="FK11" s="29">
        <f>Buckets_2_24[[#This Row],[Capacity]]-Buckets_2_24[[#This Row],[Before Fill]]</f>
        <v>125.39045352751612</v>
      </c>
      <c r="FL11" t="b">
        <f>OR(FB11, Buckets_2_24[[#This Row],[After T]]&lt;0)</f>
        <v>0</v>
      </c>
      <c r="FM11" s="29">
        <f>IF(Buckets_2_24[[#This Row],[Is Crit]], Buckets_2_24[[#This Row],[S Cap Diff]], 0)</f>
        <v>0</v>
      </c>
      <c r="FN11" s="29">
        <f>Buckets_2_24[[#This Row],[Before Fill]]+Buckets_2_24[[#This Row],[Crit To Fill]]</f>
        <v>374.60954647248388</v>
      </c>
      <c r="FO11" s="29">
        <f>IF(NOT(Buckets_2_24[[#This Row],[Is Crit]]), Buckets_2_24[[#This Row],[S Cap Diff]], 0)</f>
        <v>125.39045352751612</v>
      </c>
      <c r="FP11" s="31">
        <f>FN$41/Buckets_2_24[[#Totals],[NC To Fill]]*Buckets_2_24[[#This Row],[NC To Fill]]</f>
        <v>120.79435836175865</v>
      </c>
      <c r="FQ11" s="31">
        <f>Buckets_2_24[[#This Row],[Crit Filled]]+Buckets_2_24[[#This Row],[Scaled]]</f>
        <v>495.40390483424255</v>
      </c>
      <c r="FR11" s="31">
        <f>Buckets_2_24[[#This Row],[NC Filled]]</f>
        <v>495.40390483424255</v>
      </c>
      <c r="FS11" s="31">
        <f>Buckets_2_24[[#This Row],[Capacity]]-Buckets_2_24[[#This Row],[Final]]</f>
        <v>4.5960951657574469</v>
      </c>
      <c r="FT11" s="33">
        <f>IF(Buckets_2_24[[#This Row],[Capacity]]=0, 1, Buckets_2_24[[#This Row],[Final]]/Buckets_2_24[[#This Row],[Capacity]])</f>
        <v>0.99080780966848514</v>
      </c>
      <c r="FV11" s="40">
        <f>Buckets_2_24[[#This Row],[Final]]</f>
        <v>495.40390483424255</v>
      </c>
      <c r="FW11" s="40">
        <f>Buckets_2_24[[#This Row],[Capacity]]</f>
        <v>500</v>
      </c>
      <c r="FX11" s="41" t="b">
        <f t="shared" si="36"/>
        <v>0</v>
      </c>
      <c r="FY11" s="42"/>
      <c r="FZ11" s="42"/>
      <c r="GA11" s="42"/>
      <c r="GB11" s="42"/>
      <c r="GC11" s="43"/>
      <c r="GD11" s="40">
        <f t="shared" si="37"/>
        <v>495.40390483424255</v>
      </c>
      <c r="GE11" s="40">
        <f t="shared" si="38"/>
        <v>500</v>
      </c>
      <c r="GF11" s="41" t="b">
        <f t="shared" si="8"/>
        <v>0</v>
      </c>
      <c r="GH11" s="29">
        <f t="shared" si="39"/>
        <v>495.40390483424255</v>
      </c>
      <c r="GI11" s="29">
        <f>GetTransactionTotal(AggregateTable2024[], AggregateTable2024[Start], GH$1, AggregateTable2024[#Headers], $D11)</f>
        <v>-47.870000000000005</v>
      </c>
      <c r="GJ11" s="29">
        <f>Buckets_3_24[[#This Row],[Start]]+Buckets_3_24[[#This Row],[Transactions]]</f>
        <v>447.53390483424255</v>
      </c>
      <c r="GK11" s="29">
        <f t="shared" si="40"/>
        <v>500</v>
      </c>
      <c r="GL11" s="29">
        <f>Buckets_3_24[[#This Row],[Capacity]]-Buckets_3_24[[#This Row],[After T]]</f>
        <v>52.466095165757451</v>
      </c>
      <c r="GM11" s="29">
        <f>MAX(-Buckets_3_24[[#This Row],[Cap Diff]], 0)</f>
        <v>0</v>
      </c>
      <c r="GN11" s="29">
        <f>Buckets_3_24[[#This Row],[After T]]-Buckets_3_24[[#This Row],[Slush]]</f>
        <v>447.53390483424255</v>
      </c>
      <c r="GO11" s="29">
        <f>Buckets_3_24[[#This Row],[Capacity]]-Buckets_3_24[[#This Row],[Before Fill]]</f>
        <v>52.466095165757451</v>
      </c>
      <c r="GP11" t="b">
        <f>OR(GF11, Buckets_3_24[[#This Row],[After T]]&lt;0)</f>
        <v>0</v>
      </c>
      <c r="GQ11" s="29">
        <f>IF(Buckets_3_24[[#This Row],[Is Crit]], Buckets_3_24[[#This Row],[S Cap Diff]], 0)</f>
        <v>0</v>
      </c>
      <c r="GR11" s="29">
        <f>Buckets_3_24[[#This Row],[Before Fill]]+Buckets_3_24[[#This Row],[Crit To Fill]]</f>
        <v>447.53390483424255</v>
      </c>
      <c r="GS11" s="29">
        <f>IF(NOT(Buckets_3_24[[#This Row],[Is Crit]]), Buckets_3_24[[#This Row],[S Cap Diff]], 0)</f>
        <v>52.466095165757451</v>
      </c>
      <c r="GT11" s="31">
        <f>GR$41/Buckets_3_24[[#Totals],[NC To Fill]]*Buckets_3_24[[#This Row],[NC To Fill]]</f>
        <v>50.957106689770335</v>
      </c>
      <c r="GU11" s="31">
        <f>Buckets_3_24[[#This Row],[Crit Filled]]+Buckets_3_24[[#This Row],[Scaled]]</f>
        <v>498.49101152401289</v>
      </c>
      <c r="GV11" s="31">
        <f>Buckets_3_24[[#This Row],[NC Filled]]</f>
        <v>498.49101152401289</v>
      </c>
      <c r="GW11" s="31">
        <f>Buckets_3_24[[#This Row],[Capacity]]-Buckets_3_24[[#This Row],[Final]]</f>
        <v>1.5089884759871097</v>
      </c>
      <c r="GX11" s="33">
        <f>IF(Buckets_3_24[[#This Row],[Capacity]]=0, 1, Buckets_3_24[[#This Row],[Final]]/Buckets_3_24[[#This Row],[Capacity]])</f>
        <v>0.99698202304802575</v>
      </c>
      <c r="GZ11" s="40">
        <f>Buckets_3_24[[#This Row],[Final]]</f>
        <v>498.49101152401289</v>
      </c>
      <c r="HA11" s="40">
        <f>Buckets_3_24[[#This Row],[Capacity]]</f>
        <v>500</v>
      </c>
      <c r="HB11" s="41" t="b">
        <f t="shared" si="41"/>
        <v>0</v>
      </c>
      <c r="HC11" s="42"/>
      <c r="HD11" s="42"/>
      <c r="HE11" s="42"/>
      <c r="HF11" s="42"/>
      <c r="HG11" s="43"/>
      <c r="HH11" s="40">
        <f t="shared" si="42"/>
        <v>498.49101152401289</v>
      </c>
      <c r="HI11" s="40">
        <f t="shared" si="43"/>
        <v>500</v>
      </c>
      <c r="HJ11" s="41" t="b">
        <f t="shared" si="9"/>
        <v>0</v>
      </c>
      <c r="HL11" s="29">
        <f t="shared" si="44"/>
        <v>498.49101152401289</v>
      </c>
      <c r="HM11" s="29">
        <f>GetTransactionTotal(AggregateTable2024[], AggregateTable2024[Start], HL$1, AggregateTable2024[#Headers], $D11)</f>
        <v>-18.18</v>
      </c>
      <c r="HN11" s="29">
        <f>Buckets_4_24[[#This Row],[Start]]+Buckets_4_24[[#This Row],[Transactions]]</f>
        <v>480.31101152401288</v>
      </c>
      <c r="HO11" s="29">
        <f t="shared" si="45"/>
        <v>500</v>
      </c>
      <c r="HP11" s="29">
        <f>Buckets_4_24[[#This Row],[Capacity]]-Buckets_4_24[[#This Row],[After T]]</f>
        <v>19.688988475987117</v>
      </c>
      <c r="HQ11" s="29">
        <f>MAX(-Buckets_4_24[[#This Row],[Cap Diff]], 0)</f>
        <v>0</v>
      </c>
      <c r="HR11" s="29">
        <f>Buckets_4_24[[#This Row],[After T]]-Buckets_4_24[[#This Row],[Slush]]</f>
        <v>480.31101152401288</v>
      </c>
      <c r="HS11" s="29">
        <f>Buckets_4_24[[#This Row],[Capacity]]-Buckets_4_24[[#This Row],[Before Fill]]</f>
        <v>19.688988475987117</v>
      </c>
      <c r="HT11" t="b">
        <f>OR(HJ11, Buckets_4_24[[#This Row],[After T]]&lt;0)</f>
        <v>0</v>
      </c>
      <c r="HU11" s="29">
        <f>IF(Buckets_4_24[[#This Row],[Is Crit]], Buckets_4_24[[#This Row],[S Cap Diff]], 0)</f>
        <v>0</v>
      </c>
      <c r="HV11" s="29">
        <f>Buckets_4_24[[#This Row],[Before Fill]]+Buckets_4_24[[#This Row],[Crit To Fill]]</f>
        <v>480.31101152401288</v>
      </c>
      <c r="HW11" s="29">
        <f>IF(NOT(Buckets_4_24[[#This Row],[Is Crit]]), Buckets_4_24[[#This Row],[S Cap Diff]], 0)</f>
        <v>19.688988475987117</v>
      </c>
      <c r="HX11" s="31">
        <f>HV$41/Buckets_4_24[[#Totals],[NC To Fill]]*Buckets_4_24[[#This Row],[NC To Fill]]</f>
        <v>12.848632348673586</v>
      </c>
      <c r="HY11" s="31">
        <f>Buckets_4_24[[#This Row],[Crit Filled]]+Buckets_4_24[[#This Row],[Scaled]]</f>
        <v>493.15964387268644</v>
      </c>
      <c r="HZ11" s="31">
        <f>Buckets_4_24[[#This Row],[NC Filled]]</f>
        <v>493.15964387268644</v>
      </c>
      <c r="IA11" s="31">
        <f>Buckets_4_24[[#This Row],[Capacity]]-Buckets_4_24[[#This Row],[Final]]</f>
        <v>6.8403561273135551</v>
      </c>
      <c r="IB11" s="33">
        <f>IF(Buckets_4_24[[#This Row],[Capacity]]=0, 1, Buckets_4_24[[#This Row],[Final]]/Buckets_4_24[[#This Row],[Capacity]])</f>
        <v>0.98631928774537292</v>
      </c>
      <c r="ID11" s="40">
        <f>Buckets_4_24[[#This Row],[Final]]</f>
        <v>493.15964387268644</v>
      </c>
      <c r="IE11" s="40">
        <f>Buckets_4_24[[#This Row],[Capacity]]</f>
        <v>500</v>
      </c>
      <c r="IF11" s="41" t="b">
        <f t="shared" si="46"/>
        <v>0</v>
      </c>
      <c r="IG11" s="42"/>
      <c r="IH11" s="42"/>
      <c r="II11" s="42"/>
      <c r="IJ11" s="42"/>
      <c r="IK11" s="43"/>
      <c r="IL11" s="40">
        <f t="shared" si="47"/>
        <v>493.15964387268644</v>
      </c>
      <c r="IM11" s="40">
        <f t="shared" si="48"/>
        <v>500</v>
      </c>
      <c r="IN11" s="41" t="b">
        <f t="shared" si="10"/>
        <v>0</v>
      </c>
    </row>
    <row r="12" spans="1:248" x14ac:dyDescent="0.25">
      <c r="A12" s="49"/>
      <c r="B12" t="s">
        <v>32</v>
      </c>
      <c r="C12" t="s">
        <v>290</v>
      </c>
      <c r="D12" t="s">
        <v>290</v>
      </c>
      <c r="F12" s="30">
        <v>0</v>
      </c>
      <c r="G12" s="38">
        <v>300</v>
      </c>
      <c r="H12" t="b">
        <v>0</v>
      </c>
      <c r="J12" s="29">
        <f t="shared" si="11"/>
        <v>0</v>
      </c>
      <c r="K12" s="29">
        <f>GetTransactionTotal(AggregateTable2023[], AggregateTable2023[Start], J$1, AggregateTable2023[#Headers], $D12)</f>
        <v>0</v>
      </c>
      <c r="L12" s="29">
        <f>Buckets_9_23[[#This Row],[Start]]+Buckets_9_23[[#This Row],[Transactions]]</f>
        <v>0</v>
      </c>
      <c r="M12" s="29">
        <f t="shared" si="12"/>
        <v>300</v>
      </c>
      <c r="N12" s="29">
        <f>Buckets_9_23[[#This Row],[Capacity]]-Buckets_9_23[[#This Row],[After T]]</f>
        <v>300</v>
      </c>
      <c r="O12" s="29">
        <f>IF(Buckets_9_23[[#This Row],[After T]]&lt;0, Buckets_9_23[[#This Row],[After T]], IF(Buckets_9_23[[#This Row],[Cap Diff]]&lt;0, -Buckets_9_23[[#This Row],[Cap Diff]], 0))</f>
        <v>0</v>
      </c>
      <c r="P12" s="29">
        <f>Buckets_9_23[[#This Row],[After T]]-Buckets_9_23[[#This Row],[Slush]]</f>
        <v>0</v>
      </c>
      <c r="Q12" s="29">
        <f>Buckets_9_23[[#This Row],[Capacity]]-Buckets_9_23[[#This Row],[Before Fill]]</f>
        <v>300</v>
      </c>
      <c r="R12" t="b">
        <f t="shared" si="0"/>
        <v>0</v>
      </c>
      <c r="S12" s="29">
        <f>IF(Buckets_9_23[[#This Row],[Is Crit]], Buckets_9_23[[#This Row],[S Cap Diff]], 0)</f>
        <v>0</v>
      </c>
      <c r="T12" s="29">
        <f>Buckets_9_23[[#This Row],[Before Fill]]+Buckets_9_23[[#This Row],[Crit To Fill]]</f>
        <v>0</v>
      </c>
      <c r="U12" s="29">
        <f>IF(NOT(Buckets_9_23[[#This Row],[Is Crit]]), Buckets_9_23[[#This Row],[S Cap Diff]], 0)</f>
        <v>300</v>
      </c>
      <c r="V12" s="31">
        <f>T$41/Buckets_9_23[[#Totals],[NC To Fill]]*Buckets_9_23[[#This Row],[NC To Fill]]</f>
        <v>261.84527912899176</v>
      </c>
      <c r="W12" s="31">
        <f>Buckets_9_23[[#This Row],[Crit Filled]]+Buckets_9_23[[#This Row],[Scaled]]</f>
        <v>261.84527912899176</v>
      </c>
      <c r="X12" s="31">
        <f>Buckets_9_23[[#This Row],[NC Filled]]</f>
        <v>261.84527912899176</v>
      </c>
      <c r="Y12" s="31">
        <f>Buckets_9_23[[#This Row],[Capacity]]-Buckets_9_23[[#This Row],[Final]]</f>
        <v>38.154720871008237</v>
      </c>
      <c r="Z12" s="33">
        <f>IF(Buckets_9_23[[#This Row],[Capacity]]=0, 1, Buckets_9_23[[#This Row],[Final]]/Buckets_9_23[[#This Row],[Capacity]])</f>
        <v>0.8728175970966392</v>
      </c>
      <c r="AB12" s="31">
        <f>Buckets_9_23[[#This Row],[Final]]</f>
        <v>261.84527912899176</v>
      </c>
      <c r="AC12" s="31">
        <f>Buckets_9_23[[#This Row],[Capacity]]</f>
        <v>300</v>
      </c>
      <c r="AD12" t="b">
        <f t="shared" si="13"/>
        <v>0</v>
      </c>
      <c r="AE12" s="43" t="e">
        <f>NA()</f>
        <v>#N/A</v>
      </c>
      <c r="AF12" s="42"/>
      <c r="AG12" s="43" t="e">
        <f>NA()</f>
        <v>#N/A</v>
      </c>
      <c r="AH12" s="42"/>
      <c r="AI12" s="43"/>
      <c r="AJ12" s="31">
        <f t="shared" si="14"/>
        <v>261.84527912899176</v>
      </c>
      <c r="AK12" s="31">
        <f t="shared" si="15"/>
        <v>300</v>
      </c>
      <c r="AL12" t="b">
        <f t="shared" si="16"/>
        <v>0</v>
      </c>
      <c r="AN12" s="29">
        <f t="shared" si="17"/>
        <v>261.84527912899176</v>
      </c>
      <c r="AO12" s="29">
        <f>GetTransactionTotal(AggregateTable2023[], AggregateTable2023[Start], AN$1, AggregateTable2023[#Headers], $D12)</f>
        <v>-81.89</v>
      </c>
      <c r="AP12" s="29">
        <f>Buckets_10_23[[#This Row],[Start]]+Buckets_10_23[[#This Row],[Transactions]]</f>
        <v>179.95527912899178</v>
      </c>
      <c r="AQ12" s="29">
        <f t="shared" si="18"/>
        <v>300</v>
      </c>
      <c r="AR12" s="29">
        <f>Buckets_10_23[[#This Row],[Capacity]]-Buckets_10_23[[#This Row],[After T]]</f>
        <v>120.04472087100822</v>
      </c>
      <c r="AS12" s="29">
        <f>MAX(-Buckets_10_23[[#This Row],[Cap Diff]], 0)</f>
        <v>0</v>
      </c>
      <c r="AT12" s="29">
        <f>Buckets_10_23[[#This Row],[After T]]-Buckets_10_23[[#This Row],[Slush]]</f>
        <v>179.95527912899178</v>
      </c>
      <c r="AU12" s="29">
        <f>Buckets_10_23[[#This Row],[Capacity]]-Buckets_10_23[[#This Row],[Before Fill]]</f>
        <v>120.04472087100822</v>
      </c>
      <c r="AV12" t="b">
        <f>OR(AL12, Buckets_10_23[[#This Row],[After T]]&lt;0)</f>
        <v>0</v>
      </c>
      <c r="AW12" s="29">
        <f>IF(Buckets_10_23[[#This Row],[Is Crit]], Buckets_10_23[[#This Row],[S Cap Diff]], 0)</f>
        <v>0</v>
      </c>
      <c r="AX12" s="29">
        <f>Buckets_10_23[[#This Row],[Before Fill]]+Buckets_10_23[[#This Row],[Crit To Fill]]</f>
        <v>179.95527912899178</v>
      </c>
      <c r="AY12" s="29">
        <f>IF(NOT(Buckets_10_23[[#This Row],[Is Crit]]), Buckets_10_23[[#This Row],[S Cap Diff]], 0)</f>
        <v>120.04472087100822</v>
      </c>
      <c r="AZ12" s="31">
        <f>AX$41/Buckets_10_23[[#Totals],[NC To Fill]]*Buckets_10_23[[#This Row],[NC To Fill]]</f>
        <v>71.303243526820808</v>
      </c>
      <c r="BA12" s="31">
        <f>Buckets_10_23[[#This Row],[Crit Filled]]+Buckets_10_23[[#This Row],[Scaled]]</f>
        <v>251.25852265581258</v>
      </c>
      <c r="BB12" s="31">
        <f>Buckets_10_23[[#This Row],[NC Filled]]</f>
        <v>251.25852265581258</v>
      </c>
      <c r="BC12" s="31">
        <f>Buckets_10_23[[#This Row],[Capacity]]-Buckets_10_23[[#This Row],[Final]]</f>
        <v>48.741477344187416</v>
      </c>
      <c r="BD12" s="33">
        <f>IF(Buckets_10_23[[#This Row],[Capacity]]=0, 1, Buckets_10_23[[#This Row],[Final]]/Buckets_10_23[[#This Row],[Capacity]])</f>
        <v>0.83752840885270863</v>
      </c>
      <c r="BF12" s="31">
        <f>Buckets_10_23[[#This Row],[Final]]</f>
        <v>251.25852265581258</v>
      </c>
      <c r="BG12" s="31">
        <f>Buckets_10_23[[#This Row],[Capacity]]</f>
        <v>300</v>
      </c>
      <c r="BH12" t="b">
        <f t="shared" si="19"/>
        <v>0</v>
      </c>
      <c r="BI12" s="43" t="e">
        <f>NA()</f>
        <v>#N/A</v>
      </c>
      <c r="BJ12" s="42"/>
      <c r="BK12" s="43" t="e">
        <f>NA()</f>
        <v>#N/A</v>
      </c>
      <c r="BL12" s="42"/>
      <c r="BM12" s="43"/>
      <c r="BN12" s="31">
        <f t="shared" si="20"/>
        <v>251.25852265581258</v>
      </c>
      <c r="BO12" s="31">
        <f t="shared" si="1"/>
        <v>300</v>
      </c>
      <c r="BP12" t="b">
        <f t="shared" si="2"/>
        <v>0</v>
      </c>
      <c r="BR12" s="29">
        <f t="shared" si="21"/>
        <v>251.25852265581258</v>
      </c>
      <c r="BS12" s="29">
        <f>GetTransactionTotal(AggregateTable2023[], AggregateTable2023[Start], BR$1, AggregateTable2023[#Headers], $D12)</f>
        <v>0</v>
      </c>
      <c r="BT12" s="29">
        <f>Buckets_11_23[[#This Row],[Start]]+Buckets_11_23[[#This Row],[Transactions]]</f>
        <v>251.25852265581258</v>
      </c>
      <c r="BU12" s="29">
        <f t="shared" si="22"/>
        <v>300</v>
      </c>
      <c r="BV12" s="29">
        <f>Buckets_11_23[[#This Row],[Capacity]]-Buckets_11_23[[#This Row],[After T]]</f>
        <v>48.741477344187416</v>
      </c>
      <c r="BW12" s="29">
        <f>MAX(-Buckets_11_23[[#This Row],[Cap Diff]], 0)</f>
        <v>0</v>
      </c>
      <c r="BX12" s="29">
        <f>Buckets_11_23[[#This Row],[After T]]-Buckets_11_23[[#This Row],[Slush]]</f>
        <v>251.25852265581258</v>
      </c>
      <c r="BY12" s="29">
        <f>Buckets_11_23[[#This Row],[Capacity]]-Buckets_11_23[[#This Row],[Before Fill]]</f>
        <v>48.741477344187416</v>
      </c>
      <c r="BZ12" t="b">
        <f>OR(BP12, Buckets_11_23[[#This Row],[After T]]&lt;0)</f>
        <v>0</v>
      </c>
      <c r="CA12" s="29">
        <f>IF(Buckets_11_23[[#This Row],[Is Crit]], Buckets_11_23[[#This Row],[S Cap Diff]], 0)</f>
        <v>0</v>
      </c>
      <c r="CB12" s="29">
        <f>Buckets_11_23[[#This Row],[Before Fill]]+Buckets_11_23[[#This Row],[Crit To Fill]]</f>
        <v>251.25852265581258</v>
      </c>
      <c r="CC12" s="29">
        <f>IF(NOT(Buckets_11_23[[#This Row],[Is Crit]]), Buckets_11_23[[#This Row],[S Cap Diff]], 0)</f>
        <v>48.741477344187416</v>
      </c>
      <c r="CD12" s="31">
        <f>CB$41/Buckets_11_23[[#Totals],[NC To Fill]]*Buckets_11_23[[#This Row],[NC To Fill]]</f>
        <v>48.068993188528019</v>
      </c>
      <c r="CE12" s="31">
        <f>Buckets_11_23[[#This Row],[Crit Filled]]+Buckets_11_23[[#This Row],[Scaled]]</f>
        <v>299.32751584434061</v>
      </c>
      <c r="CF12" s="31">
        <f>Buckets_11_23[[#This Row],[NC Filled]]</f>
        <v>299.32751584434061</v>
      </c>
      <c r="CG12" s="31">
        <f>Buckets_11_23[[#This Row],[Capacity]]-Buckets_11_23[[#This Row],[Final]]</f>
        <v>0.67248415565939013</v>
      </c>
      <c r="CH12" s="33">
        <f>IF(Buckets_11_23[[#This Row],[Capacity]]=0, 1, Buckets_11_23[[#This Row],[Final]]/Buckets_11_23[[#This Row],[Capacity]])</f>
        <v>0.99775838614780199</v>
      </c>
      <c r="CJ12" s="40">
        <f>Buckets_11_23[[#This Row],[Final]]</f>
        <v>299.32751584434061</v>
      </c>
      <c r="CK12" s="40">
        <f>Buckets_11_23[[#This Row],[Capacity]]</f>
        <v>300</v>
      </c>
      <c r="CL12" s="41" t="b">
        <f t="shared" si="23"/>
        <v>0</v>
      </c>
      <c r="CM12" s="42">
        <v>-120</v>
      </c>
      <c r="CN12" s="42"/>
      <c r="CO12" s="42" t="e">
        <f>NA()</f>
        <v>#N/A</v>
      </c>
      <c r="CP12" s="42">
        <v>500</v>
      </c>
      <c r="CQ12" s="43"/>
      <c r="CR12" s="40">
        <f t="shared" si="24"/>
        <v>179.32751584434061</v>
      </c>
      <c r="CS12" s="40">
        <f t="shared" si="3"/>
        <v>500</v>
      </c>
      <c r="CT12" s="41" t="b">
        <f t="shared" si="4"/>
        <v>0</v>
      </c>
      <c r="CV12" s="29">
        <f t="shared" si="25"/>
        <v>179.32751584434061</v>
      </c>
      <c r="CW12" s="29">
        <f>GetTransactionTotal(AggregateTable2023[], AggregateTable2023[Start], CV$1, AggregateTable2023[#Headers], $D12)</f>
        <v>-10.65</v>
      </c>
      <c r="CX12" s="29">
        <f>Buckets_12_23[[#This Row],[Start]]+Buckets_12_23[[#This Row],[Transactions]]</f>
        <v>168.6775158443406</v>
      </c>
      <c r="CY12" s="29">
        <f t="shared" si="26"/>
        <v>500</v>
      </c>
      <c r="CZ12" s="29">
        <f>Buckets_12_23[[#This Row],[Capacity]]-Buckets_12_23[[#This Row],[After T]]</f>
        <v>331.32248415565937</v>
      </c>
      <c r="DA12" s="29">
        <f>MAX(-Buckets_12_23[[#This Row],[Cap Diff]], 0)</f>
        <v>0</v>
      </c>
      <c r="DB12" s="29">
        <f>Buckets_12_23[[#This Row],[After T]]-Buckets_12_23[[#This Row],[Slush]]</f>
        <v>168.6775158443406</v>
      </c>
      <c r="DC12" s="29">
        <f>Buckets_12_23[[#This Row],[Capacity]]-Buckets_12_23[[#This Row],[Before Fill]]</f>
        <v>331.32248415565937</v>
      </c>
      <c r="DD12" t="b">
        <f>OR(CT12, Buckets_12_23[[#This Row],[After T]]&lt;0)</f>
        <v>0</v>
      </c>
      <c r="DE12" s="29">
        <f>IF(Buckets_12_23[[#This Row],[Is Crit]], Buckets_12_23[[#This Row],[S Cap Diff]], 0)</f>
        <v>0</v>
      </c>
      <c r="DF12" s="29">
        <f>Buckets_12_23[[#This Row],[Before Fill]]+Buckets_12_23[[#This Row],[Crit To Fill]]</f>
        <v>168.6775158443406</v>
      </c>
      <c r="DG12" s="29">
        <f>IF(NOT(Buckets_12_23[[#This Row],[Is Crit]]), Buckets_12_23[[#This Row],[S Cap Diff]], 0)</f>
        <v>331.32248415565937</v>
      </c>
      <c r="DH12" s="31">
        <f>DF$41/Buckets_12_23[[#Totals],[NC To Fill]]*Buckets_12_23[[#This Row],[NC To Fill]]</f>
        <v>151.48728725095521</v>
      </c>
      <c r="DI12" s="31">
        <f>Buckets_12_23[[#This Row],[Crit Filled]]+Buckets_12_23[[#This Row],[Scaled]]</f>
        <v>320.16480309529584</v>
      </c>
      <c r="DJ12" s="31">
        <f>Buckets_12_23[[#This Row],[NC Filled]]</f>
        <v>320.16480309529584</v>
      </c>
      <c r="DK12" s="31">
        <f>Buckets_12_23[[#This Row],[Capacity]]-Buckets_12_23[[#This Row],[Final]]</f>
        <v>179.83519690470416</v>
      </c>
      <c r="DL12" s="33">
        <f>IF(Buckets_12_23[[#This Row],[Capacity]]=0, 1, Buckets_12_23[[#This Row],[Final]]/Buckets_12_23[[#This Row],[Capacity]])</f>
        <v>0.64032960619059165</v>
      </c>
      <c r="DN12" s="40">
        <f>Buckets_12_23[[#This Row],[Final]]</f>
        <v>320.16480309529584</v>
      </c>
      <c r="DO12" s="40">
        <f>Buckets_12_23[[#This Row],[Capacity]]</f>
        <v>500</v>
      </c>
      <c r="DP12" s="41" t="b">
        <f t="shared" si="27"/>
        <v>0</v>
      </c>
      <c r="DQ12" s="42"/>
      <c r="DR12" s="42"/>
      <c r="DS12" s="42" t="e">
        <f>NA()</f>
        <v>#N/A</v>
      </c>
      <c r="DT12" s="42"/>
      <c r="DU12" s="43"/>
      <c r="DV12" s="40">
        <f t="shared" si="28"/>
        <v>320.16480309529584</v>
      </c>
      <c r="DW12" s="40">
        <f t="shared" si="5"/>
        <v>500</v>
      </c>
      <c r="DX12" s="41" t="b">
        <f t="shared" si="6"/>
        <v>0</v>
      </c>
      <c r="DZ12" s="29">
        <f t="shared" si="29"/>
        <v>320.16480309529584</v>
      </c>
      <c r="EA12" s="29">
        <f>GetTransactionTotal(AggregateTable2024[], AggregateTable2024[Start], DZ$1, AggregateTable2024[#Headers], $D12)</f>
        <v>-21.3</v>
      </c>
      <c r="EB12" s="29">
        <f>Buckets_1_24[[#This Row],[Start]]+Buckets_1_24[[#This Row],[Transactions]]</f>
        <v>298.86480309529583</v>
      </c>
      <c r="EC12" s="29">
        <f t="shared" si="30"/>
        <v>500</v>
      </c>
      <c r="ED12" s="29">
        <f>Buckets_1_24[[#This Row],[Capacity]]-Buckets_1_24[[#This Row],[After T]]</f>
        <v>201.13519690470417</v>
      </c>
      <c r="EE12" s="29">
        <f>MAX(-Buckets_1_24[[#This Row],[Cap Diff]], 0)</f>
        <v>0</v>
      </c>
      <c r="EF12" s="29">
        <f>Buckets_1_24[[#This Row],[After T]]-Buckets_1_24[[#This Row],[Slush]]</f>
        <v>298.86480309529583</v>
      </c>
      <c r="EG12" s="29">
        <f>Buckets_1_24[[#This Row],[Capacity]]-Buckets_1_24[[#This Row],[Before Fill]]</f>
        <v>201.13519690470417</v>
      </c>
      <c r="EH12" t="b">
        <f>OR(DX12, Buckets_1_24[[#This Row],[After T]]&lt;0)</f>
        <v>0</v>
      </c>
      <c r="EI12" s="29">
        <f>IF(Buckets_1_24[[#This Row],[Is Crit]], Buckets_1_24[[#This Row],[S Cap Diff]], 0)</f>
        <v>0</v>
      </c>
      <c r="EJ12" s="29">
        <f>Buckets_1_24[[#This Row],[Before Fill]]+Buckets_1_24[[#This Row],[Crit To Fill]]</f>
        <v>298.86480309529583</v>
      </c>
      <c r="EK12" s="29">
        <f>IF(NOT(Buckets_1_24[[#This Row],[Is Crit]]), Buckets_1_24[[#This Row],[S Cap Diff]], 0)</f>
        <v>201.13519690470417</v>
      </c>
      <c r="EL12" s="31">
        <f>EJ$41/Buckets_1_24[[#Totals],[NC To Fill]]*Buckets_1_24[[#This Row],[NC To Fill]]</f>
        <v>123.49548634798279</v>
      </c>
      <c r="EM12" s="31">
        <f>Buckets_1_24[[#This Row],[Crit Filled]]+Buckets_1_24[[#This Row],[Scaled]]</f>
        <v>422.36028944327859</v>
      </c>
      <c r="EN12" s="31">
        <f>Buckets_1_24[[#This Row],[NC Filled]]</f>
        <v>422.36028944327859</v>
      </c>
      <c r="EO12" s="31">
        <f>Buckets_1_24[[#This Row],[Capacity]]-Buckets_1_24[[#This Row],[Final]]</f>
        <v>77.639710556721411</v>
      </c>
      <c r="EP12" s="33">
        <f>IF(Buckets_1_24[[#This Row],[Capacity]]=0, 1, Buckets_1_24[[#This Row],[Final]]/Buckets_1_24[[#This Row],[Capacity]])</f>
        <v>0.84472057888655716</v>
      </c>
      <c r="ER12" s="40">
        <f>Buckets_1_24[[#This Row],[Final]]</f>
        <v>422.36028944327859</v>
      </c>
      <c r="ES12" s="40">
        <f>Buckets_1_24[[#This Row],[Capacity]]</f>
        <v>500</v>
      </c>
      <c r="ET12" s="41" t="b">
        <f t="shared" si="31"/>
        <v>0</v>
      </c>
      <c r="EU12" s="42"/>
      <c r="EV12" s="42"/>
      <c r="EW12" s="42"/>
      <c r="EX12" s="42"/>
      <c r="EY12" s="43"/>
      <c r="EZ12" s="40">
        <f t="shared" si="32"/>
        <v>422.36028944327859</v>
      </c>
      <c r="FA12" s="40">
        <f t="shared" si="33"/>
        <v>500</v>
      </c>
      <c r="FB12" s="41" t="b">
        <f t="shared" si="7"/>
        <v>0</v>
      </c>
      <c r="FD12" s="29">
        <f t="shared" si="34"/>
        <v>422.36028944327859</v>
      </c>
      <c r="FE12" s="29">
        <f>GetTransactionTotal(AggregateTable2024[], AggregateTable2024[Start], FD$1, AggregateTable2024[#Headers], $D12)</f>
        <v>0</v>
      </c>
      <c r="FF12" s="29">
        <f>Buckets_2_24[[#This Row],[Start]]+Buckets_2_24[[#This Row],[Transactions]]</f>
        <v>422.36028944327859</v>
      </c>
      <c r="FG12" s="29">
        <f t="shared" si="35"/>
        <v>500</v>
      </c>
      <c r="FH12" s="29">
        <f>Buckets_2_24[[#This Row],[Capacity]]-Buckets_2_24[[#This Row],[After T]]</f>
        <v>77.639710556721411</v>
      </c>
      <c r="FI12" s="29">
        <f>MAX(-Buckets_2_24[[#This Row],[Cap Diff]], 0)</f>
        <v>0</v>
      </c>
      <c r="FJ12" s="29">
        <f>Buckets_2_24[[#This Row],[After T]]-Buckets_2_24[[#This Row],[Slush]]</f>
        <v>422.36028944327859</v>
      </c>
      <c r="FK12" s="29">
        <f>Buckets_2_24[[#This Row],[Capacity]]-Buckets_2_24[[#This Row],[Before Fill]]</f>
        <v>77.639710556721411</v>
      </c>
      <c r="FL12" t="b">
        <f>OR(FB12, Buckets_2_24[[#This Row],[After T]]&lt;0)</f>
        <v>0</v>
      </c>
      <c r="FM12" s="29">
        <f>IF(Buckets_2_24[[#This Row],[Is Crit]], Buckets_2_24[[#This Row],[S Cap Diff]], 0)</f>
        <v>0</v>
      </c>
      <c r="FN12" s="29">
        <f>Buckets_2_24[[#This Row],[Before Fill]]+Buckets_2_24[[#This Row],[Crit To Fill]]</f>
        <v>422.36028944327859</v>
      </c>
      <c r="FO12" s="29">
        <f>IF(NOT(Buckets_2_24[[#This Row],[Is Crit]]), Buckets_2_24[[#This Row],[S Cap Diff]], 0)</f>
        <v>77.639710556721411</v>
      </c>
      <c r="FP12" s="31">
        <f>FN$41/Buckets_2_24[[#Totals],[NC To Fill]]*Buckets_2_24[[#This Row],[NC To Fill]]</f>
        <v>74.793883874371545</v>
      </c>
      <c r="FQ12" s="31">
        <f>Buckets_2_24[[#This Row],[Crit Filled]]+Buckets_2_24[[#This Row],[Scaled]]</f>
        <v>497.15417331765013</v>
      </c>
      <c r="FR12" s="31">
        <f>Buckets_2_24[[#This Row],[NC Filled]]</f>
        <v>497.15417331765013</v>
      </c>
      <c r="FS12" s="31">
        <f>Buckets_2_24[[#This Row],[Capacity]]-Buckets_2_24[[#This Row],[Final]]</f>
        <v>2.8458266823498661</v>
      </c>
      <c r="FT12" s="33">
        <f>IF(Buckets_2_24[[#This Row],[Capacity]]=0, 1, Buckets_2_24[[#This Row],[Final]]/Buckets_2_24[[#This Row],[Capacity]])</f>
        <v>0.99430834663530032</v>
      </c>
      <c r="FV12" s="40">
        <f>Buckets_2_24[[#This Row],[Final]]</f>
        <v>497.15417331765013</v>
      </c>
      <c r="FW12" s="40">
        <f>Buckets_2_24[[#This Row],[Capacity]]</f>
        <v>500</v>
      </c>
      <c r="FX12" s="41" t="b">
        <f t="shared" si="36"/>
        <v>0</v>
      </c>
      <c r="FY12" s="42"/>
      <c r="FZ12" s="42"/>
      <c r="GA12" s="42"/>
      <c r="GB12" s="42"/>
      <c r="GC12" s="43"/>
      <c r="GD12" s="40">
        <f t="shared" si="37"/>
        <v>497.15417331765013</v>
      </c>
      <c r="GE12" s="40">
        <f t="shared" si="38"/>
        <v>500</v>
      </c>
      <c r="GF12" s="41" t="b">
        <f t="shared" si="8"/>
        <v>0</v>
      </c>
      <c r="GH12" s="29">
        <f t="shared" si="39"/>
        <v>497.15417331765013</v>
      </c>
      <c r="GI12" s="29">
        <f>GetTransactionTotal(AggregateTable2024[], AggregateTable2024[Start], GH$1, AggregateTable2024[#Headers], $D12)</f>
        <v>-11.65</v>
      </c>
      <c r="GJ12" s="29">
        <f>Buckets_3_24[[#This Row],[Start]]+Buckets_3_24[[#This Row],[Transactions]]</f>
        <v>485.50417331765016</v>
      </c>
      <c r="GK12" s="29">
        <f t="shared" si="40"/>
        <v>500</v>
      </c>
      <c r="GL12" s="29">
        <f>Buckets_3_24[[#This Row],[Capacity]]-Buckets_3_24[[#This Row],[After T]]</f>
        <v>14.495826682349843</v>
      </c>
      <c r="GM12" s="29">
        <f>MAX(-Buckets_3_24[[#This Row],[Cap Diff]], 0)</f>
        <v>0</v>
      </c>
      <c r="GN12" s="29">
        <f>Buckets_3_24[[#This Row],[After T]]-Buckets_3_24[[#This Row],[Slush]]</f>
        <v>485.50417331765016</v>
      </c>
      <c r="GO12" s="29">
        <f>Buckets_3_24[[#This Row],[Capacity]]-Buckets_3_24[[#This Row],[Before Fill]]</f>
        <v>14.495826682349843</v>
      </c>
      <c r="GP12" t="b">
        <f>OR(GF12, Buckets_3_24[[#This Row],[After T]]&lt;0)</f>
        <v>0</v>
      </c>
      <c r="GQ12" s="29">
        <f>IF(Buckets_3_24[[#This Row],[Is Crit]], Buckets_3_24[[#This Row],[S Cap Diff]], 0)</f>
        <v>0</v>
      </c>
      <c r="GR12" s="29">
        <f>Buckets_3_24[[#This Row],[Before Fill]]+Buckets_3_24[[#This Row],[Crit To Fill]]</f>
        <v>485.50417331765016</v>
      </c>
      <c r="GS12" s="29">
        <f>IF(NOT(Buckets_3_24[[#This Row],[Is Crit]]), Buckets_3_24[[#This Row],[S Cap Diff]], 0)</f>
        <v>14.495826682349843</v>
      </c>
      <c r="GT12" s="31">
        <f>GR$41/Buckets_3_24[[#Totals],[NC To Fill]]*Buckets_3_24[[#This Row],[NC To Fill]]</f>
        <v>14.078909140755309</v>
      </c>
      <c r="GU12" s="31">
        <f>Buckets_3_24[[#This Row],[Crit Filled]]+Buckets_3_24[[#This Row],[Scaled]]</f>
        <v>499.58308245840544</v>
      </c>
      <c r="GV12" s="31">
        <f>Buckets_3_24[[#This Row],[NC Filled]]</f>
        <v>499.58308245840544</v>
      </c>
      <c r="GW12" s="31">
        <f>Buckets_3_24[[#This Row],[Capacity]]-Buckets_3_24[[#This Row],[Final]]</f>
        <v>0.41691754159455741</v>
      </c>
      <c r="GX12" s="33">
        <f>IF(Buckets_3_24[[#This Row],[Capacity]]=0, 1, Buckets_3_24[[#This Row],[Final]]/Buckets_3_24[[#This Row],[Capacity]])</f>
        <v>0.99916616491681087</v>
      </c>
      <c r="GZ12" s="40">
        <f>Buckets_3_24[[#This Row],[Final]]</f>
        <v>499.58308245840544</v>
      </c>
      <c r="HA12" s="40">
        <f>Buckets_3_24[[#This Row],[Capacity]]</f>
        <v>500</v>
      </c>
      <c r="HB12" s="41" t="b">
        <f t="shared" si="41"/>
        <v>0</v>
      </c>
      <c r="HC12" s="42"/>
      <c r="HD12" s="42"/>
      <c r="HE12" s="42"/>
      <c r="HF12" s="42"/>
      <c r="HG12" s="43"/>
      <c r="HH12" s="40">
        <f t="shared" si="42"/>
        <v>499.58308245840544</v>
      </c>
      <c r="HI12" s="40">
        <f t="shared" si="43"/>
        <v>500</v>
      </c>
      <c r="HJ12" s="41" t="b">
        <f t="shared" si="9"/>
        <v>0</v>
      </c>
      <c r="HL12" s="29">
        <f t="shared" si="44"/>
        <v>499.58308245840544</v>
      </c>
      <c r="HM12" s="29">
        <f>GetTransactionTotal(AggregateTable2024[], AggregateTable2024[Start], HL$1, AggregateTable2024[#Headers], $D12)</f>
        <v>-31.2</v>
      </c>
      <c r="HN12" s="29">
        <f>Buckets_4_24[[#This Row],[Start]]+Buckets_4_24[[#This Row],[Transactions]]</f>
        <v>468.38308245840545</v>
      </c>
      <c r="HO12" s="29">
        <f t="shared" si="45"/>
        <v>500</v>
      </c>
      <c r="HP12" s="29">
        <f>Buckets_4_24[[#This Row],[Capacity]]-Buckets_4_24[[#This Row],[After T]]</f>
        <v>31.616917541594546</v>
      </c>
      <c r="HQ12" s="29">
        <f>MAX(-Buckets_4_24[[#This Row],[Cap Diff]], 0)</f>
        <v>0</v>
      </c>
      <c r="HR12" s="29">
        <f>Buckets_4_24[[#This Row],[After T]]-Buckets_4_24[[#This Row],[Slush]]</f>
        <v>468.38308245840545</v>
      </c>
      <c r="HS12" s="29">
        <f>Buckets_4_24[[#This Row],[Capacity]]-Buckets_4_24[[#This Row],[Before Fill]]</f>
        <v>31.616917541594546</v>
      </c>
      <c r="HT12" t="b">
        <f>OR(HJ12, Buckets_4_24[[#This Row],[After T]]&lt;0)</f>
        <v>0</v>
      </c>
      <c r="HU12" s="29">
        <f>IF(Buckets_4_24[[#This Row],[Is Crit]], Buckets_4_24[[#This Row],[S Cap Diff]], 0)</f>
        <v>0</v>
      </c>
      <c r="HV12" s="29">
        <f>Buckets_4_24[[#This Row],[Before Fill]]+Buckets_4_24[[#This Row],[Crit To Fill]]</f>
        <v>468.38308245840545</v>
      </c>
      <c r="HW12" s="29">
        <f>IF(NOT(Buckets_4_24[[#This Row],[Is Crit]]), Buckets_4_24[[#This Row],[S Cap Diff]], 0)</f>
        <v>31.616917541594546</v>
      </c>
      <c r="HX12" s="31">
        <f>HV$41/Buckets_4_24[[#Totals],[NC To Fill]]*Buckets_4_24[[#This Row],[NC To Fill]]</f>
        <v>20.632555602626525</v>
      </c>
      <c r="HY12" s="31">
        <f>Buckets_4_24[[#This Row],[Crit Filled]]+Buckets_4_24[[#This Row],[Scaled]]</f>
        <v>489.01563806103195</v>
      </c>
      <c r="HZ12" s="31">
        <f>Buckets_4_24[[#This Row],[NC Filled]]</f>
        <v>489.01563806103195</v>
      </c>
      <c r="IA12" s="31">
        <f>Buckets_4_24[[#This Row],[Capacity]]-Buckets_4_24[[#This Row],[Final]]</f>
        <v>10.98436193896805</v>
      </c>
      <c r="IB12" s="33">
        <f>IF(Buckets_4_24[[#This Row],[Capacity]]=0, 1, Buckets_4_24[[#This Row],[Final]]/Buckets_4_24[[#This Row],[Capacity]])</f>
        <v>0.97803127612206386</v>
      </c>
      <c r="ID12" s="40">
        <f>Buckets_4_24[[#This Row],[Final]]</f>
        <v>489.01563806103195</v>
      </c>
      <c r="IE12" s="40">
        <f>Buckets_4_24[[#This Row],[Capacity]]</f>
        <v>500</v>
      </c>
      <c r="IF12" s="41" t="b">
        <f t="shared" si="46"/>
        <v>0</v>
      </c>
      <c r="IG12" s="42"/>
      <c r="IH12" s="42"/>
      <c r="II12" s="42"/>
      <c r="IJ12" s="42"/>
      <c r="IK12" s="43"/>
      <c r="IL12" s="40">
        <f t="shared" si="47"/>
        <v>489.01563806103195</v>
      </c>
      <c r="IM12" s="40">
        <f t="shared" si="48"/>
        <v>500</v>
      </c>
      <c r="IN12" s="41" t="b">
        <f t="shared" si="10"/>
        <v>0</v>
      </c>
    </row>
    <row r="13" spans="1:248" x14ac:dyDescent="0.25">
      <c r="A13" s="49"/>
      <c r="B13" t="s">
        <v>32</v>
      </c>
      <c r="C13" t="s">
        <v>125</v>
      </c>
      <c r="D13" t="s">
        <v>125</v>
      </c>
      <c r="F13" s="30">
        <v>0</v>
      </c>
      <c r="G13" s="38">
        <v>200</v>
      </c>
      <c r="H13" t="b">
        <v>0</v>
      </c>
      <c r="J13" s="29">
        <f t="shared" si="11"/>
        <v>0</v>
      </c>
      <c r="K13" s="29">
        <f>GetTransactionTotal(AggregateTable2023[], AggregateTable2023[Start], J$1, AggregateTable2023[#Headers], $D13)</f>
        <v>0</v>
      </c>
      <c r="L13" s="29">
        <f>Buckets_9_23[[#This Row],[Start]]+Buckets_9_23[[#This Row],[Transactions]]</f>
        <v>0</v>
      </c>
      <c r="M13" s="29">
        <f t="shared" si="12"/>
        <v>200</v>
      </c>
      <c r="N13" s="29">
        <f>Buckets_9_23[[#This Row],[Capacity]]-Buckets_9_23[[#This Row],[After T]]</f>
        <v>200</v>
      </c>
      <c r="O13" s="29">
        <f>IF(Buckets_9_23[[#This Row],[After T]]&lt;0, Buckets_9_23[[#This Row],[After T]], IF(Buckets_9_23[[#This Row],[Cap Diff]]&lt;0, -Buckets_9_23[[#This Row],[Cap Diff]], 0))</f>
        <v>0</v>
      </c>
      <c r="P13" s="29">
        <f>Buckets_9_23[[#This Row],[After T]]-Buckets_9_23[[#This Row],[Slush]]</f>
        <v>0</v>
      </c>
      <c r="Q13" s="29">
        <f>Buckets_9_23[[#This Row],[Capacity]]-Buckets_9_23[[#This Row],[Before Fill]]</f>
        <v>200</v>
      </c>
      <c r="R13" t="b">
        <f t="shared" si="0"/>
        <v>0</v>
      </c>
      <c r="S13" s="29">
        <f>IF(Buckets_9_23[[#This Row],[Is Crit]], Buckets_9_23[[#This Row],[S Cap Diff]], 0)</f>
        <v>0</v>
      </c>
      <c r="T13" s="29">
        <f>Buckets_9_23[[#This Row],[Before Fill]]+Buckets_9_23[[#This Row],[Crit To Fill]]</f>
        <v>0</v>
      </c>
      <c r="U13" s="29">
        <f>IF(NOT(Buckets_9_23[[#This Row],[Is Crit]]), Buckets_9_23[[#This Row],[S Cap Diff]], 0)</f>
        <v>200</v>
      </c>
      <c r="V13" s="31">
        <f>T$41/Buckets_9_23[[#Totals],[NC To Fill]]*Buckets_9_23[[#This Row],[NC To Fill]]</f>
        <v>174.56351941932783</v>
      </c>
      <c r="W13" s="31">
        <f>Buckets_9_23[[#This Row],[Crit Filled]]+Buckets_9_23[[#This Row],[Scaled]]</f>
        <v>174.56351941932783</v>
      </c>
      <c r="X13" s="31">
        <f>Buckets_9_23[[#This Row],[NC Filled]]</f>
        <v>174.56351941932783</v>
      </c>
      <c r="Y13" s="31">
        <f>Buckets_9_23[[#This Row],[Capacity]]-Buckets_9_23[[#This Row],[Final]]</f>
        <v>25.436480580672168</v>
      </c>
      <c r="Z13" s="33">
        <f>IF(Buckets_9_23[[#This Row],[Capacity]]=0, 1, Buckets_9_23[[#This Row],[Final]]/Buckets_9_23[[#This Row],[Capacity]])</f>
        <v>0.8728175970966392</v>
      </c>
      <c r="AB13" s="31">
        <f>Buckets_9_23[[#This Row],[Final]]</f>
        <v>174.56351941932783</v>
      </c>
      <c r="AC13" s="31">
        <f>Buckets_9_23[[#This Row],[Capacity]]</f>
        <v>200</v>
      </c>
      <c r="AD13" t="b">
        <f t="shared" si="13"/>
        <v>0</v>
      </c>
      <c r="AE13" s="43" t="e">
        <f>NA()</f>
        <v>#N/A</v>
      </c>
      <c r="AF13" s="42"/>
      <c r="AG13" s="43" t="e">
        <f>NA()</f>
        <v>#N/A</v>
      </c>
      <c r="AH13" s="42"/>
      <c r="AI13" s="43"/>
      <c r="AJ13" s="31">
        <f t="shared" si="14"/>
        <v>174.56351941932783</v>
      </c>
      <c r="AK13" s="31">
        <f t="shared" si="15"/>
        <v>200</v>
      </c>
      <c r="AL13" t="b">
        <f t="shared" si="16"/>
        <v>0</v>
      </c>
      <c r="AN13" s="29">
        <f t="shared" si="17"/>
        <v>174.56351941932783</v>
      </c>
      <c r="AO13" s="29">
        <f>GetTransactionTotal(AggregateTable2023[], AggregateTable2023[Start], AN$1, AggregateTable2023[#Headers], $D13)</f>
        <v>-16.23</v>
      </c>
      <c r="AP13" s="29">
        <f>Buckets_10_23[[#This Row],[Start]]+Buckets_10_23[[#This Row],[Transactions]]</f>
        <v>158.33351941932784</v>
      </c>
      <c r="AQ13" s="29">
        <f t="shared" si="18"/>
        <v>200</v>
      </c>
      <c r="AR13" s="29">
        <f>Buckets_10_23[[#This Row],[Capacity]]-Buckets_10_23[[#This Row],[After T]]</f>
        <v>41.666480580672157</v>
      </c>
      <c r="AS13" s="29">
        <f>MAX(-Buckets_10_23[[#This Row],[Cap Diff]], 0)</f>
        <v>0</v>
      </c>
      <c r="AT13" s="29">
        <f>Buckets_10_23[[#This Row],[After T]]-Buckets_10_23[[#This Row],[Slush]]</f>
        <v>158.33351941932784</v>
      </c>
      <c r="AU13" s="29">
        <f>Buckets_10_23[[#This Row],[Capacity]]-Buckets_10_23[[#This Row],[Before Fill]]</f>
        <v>41.666480580672157</v>
      </c>
      <c r="AV13" t="b">
        <f>OR(AL13, Buckets_10_23[[#This Row],[After T]]&lt;0)</f>
        <v>0</v>
      </c>
      <c r="AW13" s="29">
        <f>IF(Buckets_10_23[[#This Row],[Is Crit]], Buckets_10_23[[#This Row],[S Cap Diff]], 0)</f>
        <v>0</v>
      </c>
      <c r="AX13" s="29">
        <f>Buckets_10_23[[#This Row],[Before Fill]]+Buckets_10_23[[#This Row],[Crit To Fill]]</f>
        <v>158.33351941932784</v>
      </c>
      <c r="AY13" s="29">
        <f>IF(NOT(Buckets_10_23[[#This Row],[Is Crit]]), Buckets_10_23[[#This Row],[S Cap Diff]], 0)</f>
        <v>41.666480580672157</v>
      </c>
      <c r="AZ13" s="31">
        <f>AX$41/Buckets_10_23[[#Totals],[NC To Fill]]*Buckets_10_23[[#This Row],[NC To Fill]]</f>
        <v>24.748736888993228</v>
      </c>
      <c r="BA13" s="31">
        <f>Buckets_10_23[[#This Row],[Crit Filled]]+Buckets_10_23[[#This Row],[Scaled]]</f>
        <v>183.08225630832106</v>
      </c>
      <c r="BB13" s="31">
        <f>Buckets_10_23[[#This Row],[NC Filled]]</f>
        <v>183.08225630832106</v>
      </c>
      <c r="BC13" s="31">
        <f>Buckets_10_23[[#This Row],[Capacity]]-Buckets_10_23[[#This Row],[Final]]</f>
        <v>16.917743691678936</v>
      </c>
      <c r="BD13" s="33">
        <f>IF(Buckets_10_23[[#This Row],[Capacity]]=0, 1, Buckets_10_23[[#This Row],[Final]]/Buckets_10_23[[#This Row],[Capacity]])</f>
        <v>0.91541128154160534</v>
      </c>
      <c r="BF13" s="31">
        <f>Buckets_10_23[[#This Row],[Final]]</f>
        <v>183.08225630832106</v>
      </c>
      <c r="BG13" s="31">
        <f>Buckets_10_23[[#This Row],[Capacity]]</f>
        <v>200</v>
      </c>
      <c r="BH13" t="b">
        <f t="shared" si="19"/>
        <v>0</v>
      </c>
      <c r="BI13" s="43" t="e">
        <f>NA()</f>
        <v>#N/A</v>
      </c>
      <c r="BJ13" s="42"/>
      <c r="BK13" s="43" t="e">
        <f>NA()</f>
        <v>#N/A</v>
      </c>
      <c r="BL13" s="42"/>
      <c r="BM13" s="43"/>
      <c r="BN13" s="31">
        <f t="shared" si="20"/>
        <v>183.08225630832106</v>
      </c>
      <c r="BO13" s="31">
        <f t="shared" si="1"/>
        <v>200</v>
      </c>
      <c r="BP13" t="b">
        <f t="shared" si="2"/>
        <v>0</v>
      </c>
      <c r="BR13" s="29">
        <f t="shared" si="21"/>
        <v>183.08225630832106</v>
      </c>
      <c r="BS13" s="29">
        <f>GetTransactionTotal(AggregateTable2023[], AggregateTable2023[Start], BR$1, AggregateTable2023[#Headers], $D13)</f>
        <v>0</v>
      </c>
      <c r="BT13" s="29">
        <f>Buckets_11_23[[#This Row],[Start]]+Buckets_11_23[[#This Row],[Transactions]]</f>
        <v>183.08225630832106</v>
      </c>
      <c r="BU13" s="29">
        <f t="shared" si="22"/>
        <v>200</v>
      </c>
      <c r="BV13" s="29">
        <f>Buckets_11_23[[#This Row],[Capacity]]-Buckets_11_23[[#This Row],[After T]]</f>
        <v>16.917743691678936</v>
      </c>
      <c r="BW13" s="29">
        <f>MAX(-Buckets_11_23[[#This Row],[Cap Diff]], 0)</f>
        <v>0</v>
      </c>
      <c r="BX13" s="29">
        <f>Buckets_11_23[[#This Row],[After T]]-Buckets_11_23[[#This Row],[Slush]]</f>
        <v>183.08225630832106</v>
      </c>
      <c r="BY13" s="29">
        <f>Buckets_11_23[[#This Row],[Capacity]]-Buckets_11_23[[#This Row],[Before Fill]]</f>
        <v>16.917743691678936</v>
      </c>
      <c r="BZ13" t="b">
        <f>OR(BP13, Buckets_11_23[[#This Row],[After T]]&lt;0)</f>
        <v>0</v>
      </c>
      <c r="CA13" s="29">
        <f>IF(Buckets_11_23[[#This Row],[Is Crit]], Buckets_11_23[[#This Row],[S Cap Diff]], 0)</f>
        <v>0</v>
      </c>
      <c r="CB13" s="29">
        <f>Buckets_11_23[[#This Row],[Before Fill]]+Buckets_11_23[[#This Row],[Crit To Fill]]</f>
        <v>183.08225630832106</v>
      </c>
      <c r="CC13" s="29">
        <f>IF(NOT(Buckets_11_23[[#This Row],[Is Crit]]), Buckets_11_23[[#This Row],[S Cap Diff]], 0)</f>
        <v>16.917743691678936</v>
      </c>
      <c r="CD13" s="31">
        <f>CB$41/Buckets_11_23[[#Totals],[NC To Fill]]*Buckets_11_23[[#This Row],[NC To Fill]]</f>
        <v>16.684330278666796</v>
      </c>
      <c r="CE13" s="31">
        <f>Buckets_11_23[[#This Row],[Crit Filled]]+Buckets_11_23[[#This Row],[Scaled]]</f>
        <v>199.76658658698787</v>
      </c>
      <c r="CF13" s="31">
        <f>Buckets_11_23[[#This Row],[NC Filled]]</f>
        <v>199.76658658698787</v>
      </c>
      <c r="CG13" s="31">
        <f>Buckets_11_23[[#This Row],[Capacity]]-Buckets_11_23[[#This Row],[Final]]</f>
        <v>0.23341341301212992</v>
      </c>
      <c r="CH13" s="33">
        <f>IF(Buckets_11_23[[#This Row],[Capacity]]=0, 1, Buckets_11_23[[#This Row],[Final]]/Buckets_11_23[[#This Row],[Capacity]])</f>
        <v>0.99883293293493935</v>
      </c>
      <c r="CJ13" s="40">
        <f>Buckets_11_23[[#This Row],[Final]]</f>
        <v>199.76658658698787</v>
      </c>
      <c r="CK13" s="40">
        <f>Buckets_11_23[[#This Row],[Capacity]]</f>
        <v>200</v>
      </c>
      <c r="CL13" s="41" t="b">
        <f t="shared" si="23"/>
        <v>0</v>
      </c>
      <c r="CM13" s="42"/>
      <c r="CN13" s="42"/>
      <c r="CO13" s="42" t="e">
        <f>NA()</f>
        <v>#N/A</v>
      </c>
      <c r="CP13" s="42"/>
      <c r="CQ13" s="43"/>
      <c r="CR13" s="40">
        <f t="shared" si="24"/>
        <v>199.76658658698787</v>
      </c>
      <c r="CS13" s="40">
        <f t="shared" si="3"/>
        <v>200</v>
      </c>
      <c r="CT13" s="41" t="b">
        <f t="shared" si="4"/>
        <v>0</v>
      </c>
      <c r="CV13" s="29">
        <f t="shared" si="25"/>
        <v>199.76658658698787</v>
      </c>
      <c r="CW13" s="29">
        <f>GetTransactionTotal(AggregateTable2023[], AggregateTable2023[Start], CV$1, AggregateTable2023[#Headers], $D13)</f>
        <v>-24.87</v>
      </c>
      <c r="CX13" s="29">
        <f>Buckets_12_23[[#This Row],[Start]]+Buckets_12_23[[#This Row],[Transactions]]</f>
        <v>174.89658658698787</v>
      </c>
      <c r="CY13" s="29">
        <f t="shared" si="26"/>
        <v>200</v>
      </c>
      <c r="CZ13" s="29">
        <f>Buckets_12_23[[#This Row],[Capacity]]-Buckets_12_23[[#This Row],[After T]]</f>
        <v>25.103413413012134</v>
      </c>
      <c r="DA13" s="29">
        <f>MAX(-Buckets_12_23[[#This Row],[Cap Diff]], 0)</f>
        <v>0</v>
      </c>
      <c r="DB13" s="29">
        <f>Buckets_12_23[[#This Row],[After T]]-Buckets_12_23[[#This Row],[Slush]]</f>
        <v>174.89658658698787</v>
      </c>
      <c r="DC13" s="29">
        <f>Buckets_12_23[[#This Row],[Capacity]]-Buckets_12_23[[#This Row],[Before Fill]]</f>
        <v>25.103413413012134</v>
      </c>
      <c r="DD13" t="b">
        <f>OR(CT13, Buckets_12_23[[#This Row],[After T]]&lt;0)</f>
        <v>0</v>
      </c>
      <c r="DE13" s="29">
        <f>IF(Buckets_12_23[[#This Row],[Is Crit]], Buckets_12_23[[#This Row],[S Cap Diff]], 0)</f>
        <v>0</v>
      </c>
      <c r="DF13" s="29">
        <f>Buckets_12_23[[#This Row],[Before Fill]]+Buckets_12_23[[#This Row],[Crit To Fill]]</f>
        <v>174.89658658698787</v>
      </c>
      <c r="DG13" s="29">
        <f>IF(NOT(Buckets_12_23[[#This Row],[Is Crit]]), Buckets_12_23[[#This Row],[S Cap Diff]], 0)</f>
        <v>25.103413413012134</v>
      </c>
      <c r="DH13" s="31">
        <f>DF$41/Buckets_12_23[[#Totals],[NC To Fill]]*Buckets_12_23[[#This Row],[NC To Fill]]</f>
        <v>11.477784275243531</v>
      </c>
      <c r="DI13" s="31">
        <f>Buckets_12_23[[#This Row],[Crit Filled]]+Buckets_12_23[[#This Row],[Scaled]]</f>
        <v>186.37437086223139</v>
      </c>
      <c r="DJ13" s="31">
        <f>Buckets_12_23[[#This Row],[NC Filled]]</f>
        <v>186.37437086223139</v>
      </c>
      <c r="DK13" s="31">
        <f>Buckets_12_23[[#This Row],[Capacity]]-Buckets_12_23[[#This Row],[Final]]</f>
        <v>13.625629137768613</v>
      </c>
      <c r="DL13" s="33">
        <f>IF(Buckets_12_23[[#This Row],[Capacity]]=0, 1, Buckets_12_23[[#This Row],[Final]]/Buckets_12_23[[#This Row],[Capacity]])</f>
        <v>0.93187185431115693</v>
      </c>
      <c r="DN13" s="40">
        <f>Buckets_12_23[[#This Row],[Final]]</f>
        <v>186.37437086223139</v>
      </c>
      <c r="DO13" s="40">
        <f>Buckets_12_23[[#This Row],[Capacity]]</f>
        <v>200</v>
      </c>
      <c r="DP13" s="41" t="b">
        <f t="shared" si="27"/>
        <v>0</v>
      </c>
      <c r="DQ13" s="42"/>
      <c r="DR13" s="42"/>
      <c r="DS13" s="42" t="e">
        <f>NA()</f>
        <v>#N/A</v>
      </c>
      <c r="DT13" s="42"/>
      <c r="DU13" s="43"/>
      <c r="DV13" s="40">
        <f t="shared" si="28"/>
        <v>186.37437086223139</v>
      </c>
      <c r="DW13" s="40">
        <f t="shared" si="5"/>
        <v>200</v>
      </c>
      <c r="DX13" s="41" t="b">
        <f t="shared" si="6"/>
        <v>0</v>
      </c>
      <c r="DZ13" s="29">
        <f t="shared" si="29"/>
        <v>186.37437086223139</v>
      </c>
      <c r="EA13" s="29">
        <f>GetTransactionTotal(AggregateTable2024[], AggregateTable2024[Start], DZ$1, AggregateTable2024[#Headers], $D13)</f>
        <v>0</v>
      </c>
      <c r="EB13" s="29">
        <f>Buckets_1_24[[#This Row],[Start]]+Buckets_1_24[[#This Row],[Transactions]]</f>
        <v>186.37437086223139</v>
      </c>
      <c r="EC13" s="29">
        <f t="shared" si="30"/>
        <v>200</v>
      </c>
      <c r="ED13" s="29">
        <f>Buckets_1_24[[#This Row],[Capacity]]-Buckets_1_24[[#This Row],[After T]]</f>
        <v>13.625629137768613</v>
      </c>
      <c r="EE13" s="29">
        <f>MAX(-Buckets_1_24[[#This Row],[Cap Diff]], 0)</f>
        <v>0</v>
      </c>
      <c r="EF13" s="29">
        <f>Buckets_1_24[[#This Row],[After T]]-Buckets_1_24[[#This Row],[Slush]]</f>
        <v>186.37437086223139</v>
      </c>
      <c r="EG13" s="29">
        <f>Buckets_1_24[[#This Row],[Capacity]]-Buckets_1_24[[#This Row],[Before Fill]]</f>
        <v>13.625629137768613</v>
      </c>
      <c r="EH13" t="b">
        <f>OR(DX13, Buckets_1_24[[#This Row],[After T]]&lt;0)</f>
        <v>0</v>
      </c>
      <c r="EI13" s="29">
        <f>IF(Buckets_1_24[[#This Row],[Is Crit]], Buckets_1_24[[#This Row],[S Cap Diff]], 0)</f>
        <v>0</v>
      </c>
      <c r="EJ13" s="29">
        <f>Buckets_1_24[[#This Row],[Before Fill]]+Buckets_1_24[[#This Row],[Crit To Fill]]</f>
        <v>186.37437086223139</v>
      </c>
      <c r="EK13" s="29">
        <f>IF(NOT(Buckets_1_24[[#This Row],[Is Crit]]), Buckets_1_24[[#This Row],[S Cap Diff]], 0)</f>
        <v>13.625629137768613</v>
      </c>
      <c r="EL13" s="31">
        <f>EJ$41/Buckets_1_24[[#Totals],[NC To Fill]]*Buckets_1_24[[#This Row],[NC To Fill]]</f>
        <v>8.3660330119309165</v>
      </c>
      <c r="EM13" s="31">
        <f>Buckets_1_24[[#This Row],[Crit Filled]]+Buckets_1_24[[#This Row],[Scaled]]</f>
        <v>194.7404038741623</v>
      </c>
      <c r="EN13" s="31">
        <f>Buckets_1_24[[#This Row],[NC Filled]]</f>
        <v>194.7404038741623</v>
      </c>
      <c r="EO13" s="31">
        <f>Buckets_1_24[[#This Row],[Capacity]]-Buckets_1_24[[#This Row],[Final]]</f>
        <v>5.2595961258377031</v>
      </c>
      <c r="EP13" s="33">
        <f>IF(Buckets_1_24[[#This Row],[Capacity]]=0, 1, Buckets_1_24[[#This Row],[Final]]/Buckets_1_24[[#This Row],[Capacity]])</f>
        <v>0.97370201937081147</v>
      </c>
      <c r="ER13" s="40">
        <f>Buckets_1_24[[#This Row],[Final]]</f>
        <v>194.7404038741623</v>
      </c>
      <c r="ES13" s="40">
        <f>Buckets_1_24[[#This Row],[Capacity]]</f>
        <v>200</v>
      </c>
      <c r="ET13" s="41" t="b">
        <f t="shared" si="31"/>
        <v>0</v>
      </c>
      <c r="EU13" s="42"/>
      <c r="EV13" s="42"/>
      <c r="EW13" s="42"/>
      <c r="EX13" s="42"/>
      <c r="EY13" s="43"/>
      <c r="EZ13" s="40">
        <f t="shared" si="32"/>
        <v>194.7404038741623</v>
      </c>
      <c r="FA13" s="40">
        <f t="shared" si="33"/>
        <v>200</v>
      </c>
      <c r="FB13" s="41" t="b">
        <f t="shared" si="7"/>
        <v>0</v>
      </c>
      <c r="FD13" s="29">
        <f t="shared" si="34"/>
        <v>194.7404038741623</v>
      </c>
      <c r="FE13" s="29">
        <f>GetTransactionTotal(AggregateTable2024[], AggregateTable2024[Start], FD$1, AggregateTable2024[#Headers], $D13)</f>
        <v>0</v>
      </c>
      <c r="FF13" s="29">
        <f>Buckets_2_24[[#This Row],[Start]]+Buckets_2_24[[#This Row],[Transactions]]</f>
        <v>194.7404038741623</v>
      </c>
      <c r="FG13" s="29">
        <f t="shared" si="35"/>
        <v>200</v>
      </c>
      <c r="FH13" s="29">
        <f>Buckets_2_24[[#This Row],[Capacity]]-Buckets_2_24[[#This Row],[After T]]</f>
        <v>5.2595961258377031</v>
      </c>
      <c r="FI13" s="29">
        <f>MAX(-Buckets_2_24[[#This Row],[Cap Diff]], 0)</f>
        <v>0</v>
      </c>
      <c r="FJ13" s="29">
        <f>Buckets_2_24[[#This Row],[After T]]-Buckets_2_24[[#This Row],[Slush]]</f>
        <v>194.7404038741623</v>
      </c>
      <c r="FK13" s="29">
        <f>Buckets_2_24[[#This Row],[Capacity]]-Buckets_2_24[[#This Row],[Before Fill]]</f>
        <v>5.2595961258377031</v>
      </c>
      <c r="FL13" t="b">
        <f>OR(FB13, Buckets_2_24[[#This Row],[After T]]&lt;0)</f>
        <v>0</v>
      </c>
      <c r="FM13" s="29">
        <f>IF(Buckets_2_24[[#This Row],[Is Crit]], Buckets_2_24[[#This Row],[S Cap Diff]], 0)</f>
        <v>0</v>
      </c>
      <c r="FN13" s="29">
        <f>Buckets_2_24[[#This Row],[Before Fill]]+Buckets_2_24[[#This Row],[Crit To Fill]]</f>
        <v>194.7404038741623</v>
      </c>
      <c r="FO13" s="29">
        <f>IF(NOT(Buckets_2_24[[#This Row],[Is Crit]]), Buckets_2_24[[#This Row],[S Cap Diff]], 0)</f>
        <v>5.2595961258377031</v>
      </c>
      <c r="FP13" s="31">
        <f>FN$41/Buckets_2_24[[#Totals],[NC To Fill]]*Buckets_2_24[[#This Row],[NC To Fill]]</f>
        <v>5.0668094850070711</v>
      </c>
      <c r="FQ13" s="31">
        <f>Buckets_2_24[[#This Row],[Crit Filled]]+Buckets_2_24[[#This Row],[Scaled]]</f>
        <v>199.80721335916937</v>
      </c>
      <c r="FR13" s="31">
        <f>Buckets_2_24[[#This Row],[NC Filled]]</f>
        <v>199.80721335916937</v>
      </c>
      <c r="FS13" s="31">
        <f>Buckets_2_24[[#This Row],[Capacity]]-Buckets_2_24[[#This Row],[Final]]</f>
        <v>0.1927866408306329</v>
      </c>
      <c r="FT13" s="33">
        <f>IF(Buckets_2_24[[#This Row],[Capacity]]=0, 1, Buckets_2_24[[#This Row],[Final]]/Buckets_2_24[[#This Row],[Capacity]])</f>
        <v>0.99903606679584689</v>
      </c>
      <c r="FV13" s="40">
        <f>Buckets_2_24[[#This Row],[Final]]</f>
        <v>199.80721335916937</v>
      </c>
      <c r="FW13" s="40">
        <f>Buckets_2_24[[#This Row],[Capacity]]</f>
        <v>200</v>
      </c>
      <c r="FX13" s="41" t="b">
        <f t="shared" si="36"/>
        <v>0</v>
      </c>
      <c r="FY13" s="42"/>
      <c r="FZ13" s="42"/>
      <c r="GA13" s="42"/>
      <c r="GB13" s="42">
        <v>500</v>
      </c>
      <c r="GC13" s="43"/>
      <c r="GD13" s="40">
        <f t="shared" si="37"/>
        <v>199.80721335916937</v>
      </c>
      <c r="GE13" s="40">
        <f t="shared" si="38"/>
        <v>500</v>
      </c>
      <c r="GF13" s="41" t="b">
        <f t="shared" si="8"/>
        <v>0</v>
      </c>
      <c r="GH13" s="29">
        <f t="shared" si="39"/>
        <v>199.80721335916937</v>
      </c>
      <c r="GI13" s="29">
        <f>GetTransactionTotal(AggregateTable2024[], AggregateTable2024[Start], GH$1, AggregateTable2024[#Headers], $D13)</f>
        <v>0</v>
      </c>
      <c r="GJ13" s="29">
        <f>Buckets_3_24[[#This Row],[Start]]+Buckets_3_24[[#This Row],[Transactions]]</f>
        <v>199.80721335916937</v>
      </c>
      <c r="GK13" s="29">
        <f t="shared" si="40"/>
        <v>500</v>
      </c>
      <c r="GL13" s="29">
        <f>Buckets_3_24[[#This Row],[Capacity]]-Buckets_3_24[[#This Row],[After T]]</f>
        <v>300.1927866408306</v>
      </c>
      <c r="GM13" s="29">
        <f>MAX(-Buckets_3_24[[#This Row],[Cap Diff]], 0)</f>
        <v>0</v>
      </c>
      <c r="GN13" s="29">
        <f>Buckets_3_24[[#This Row],[After T]]-Buckets_3_24[[#This Row],[Slush]]</f>
        <v>199.80721335916937</v>
      </c>
      <c r="GO13" s="29">
        <f>Buckets_3_24[[#This Row],[Capacity]]-Buckets_3_24[[#This Row],[Before Fill]]</f>
        <v>300.1927866408306</v>
      </c>
      <c r="GP13" t="b">
        <f>OR(GF13, Buckets_3_24[[#This Row],[After T]]&lt;0)</f>
        <v>0</v>
      </c>
      <c r="GQ13" s="29">
        <f>IF(Buckets_3_24[[#This Row],[Is Crit]], Buckets_3_24[[#This Row],[S Cap Diff]], 0)</f>
        <v>0</v>
      </c>
      <c r="GR13" s="29">
        <f>Buckets_3_24[[#This Row],[Before Fill]]+Buckets_3_24[[#This Row],[Crit To Fill]]</f>
        <v>199.80721335916937</v>
      </c>
      <c r="GS13" s="29">
        <f>IF(NOT(Buckets_3_24[[#This Row],[Is Crit]]), Buckets_3_24[[#This Row],[S Cap Diff]], 0)</f>
        <v>300.1927866408306</v>
      </c>
      <c r="GT13" s="31">
        <f>GR$41/Buckets_3_24[[#Totals],[NC To Fill]]*Buckets_3_24[[#This Row],[NC To Fill]]</f>
        <v>291.55887831995523</v>
      </c>
      <c r="GU13" s="31">
        <f>Buckets_3_24[[#This Row],[Crit Filled]]+Buckets_3_24[[#This Row],[Scaled]]</f>
        <v>491.36609167912457</v>
      </c>
      <c r="GV13" s="31">
        <f>Buckets_3_24[[#This Row],[NC Filled]]</f>
        <v>491.36609167912457</v>
      </c>
      <c r="GW13" s="31">
        <f>Buckets_3_24[[#This Row],[Capacity]]-Buckets_3_24[[#This Row],[Final]]</f>
        <v>8.6339083208754346</v>
      </c>
      <c r="GX13" s="33">
        <f>IF(Buckets_3_24[[#This Row],[Capacity]]=0, 1, Buckets_3_24[[#This Row],[Final]]/Buckets_3_24[[#This Row],[Capacity]])</f>
        <v>0.98273218335824908</v>
      </c>
      <c r="GZ13" s="40">
        <f>Buckets_3_24[[#This Row],[Final]]</f>
        <v>491.36609167912457</v>
      </c>
      <c r="HA13" s="40">
        <f>Buckets_3_24[[#This Row],[Capacity]]</f>
        <v>500</v>
      </c>
      <c r="HB13" s="41" t="b">
        <f t="shared" si="41"/>
        <v>0</v>
      </c>
      <c r="HC13" s="42"/>
      <c r="HD13" s="42"/>
      <c r="HE13" s="42"/>
      <c r="HF13" s="42"/>
      <c r="HG13" s="43"/>
      <c r="HH13" s="40">
        <f t="shared" si="42"/>
        <v>491.36609167912457</v>
      </c>
      <c r="HI13" s="40">
        <f t="shared" si="43"/>
        <v>500</v>
      </c>
      <c r="HJ13" s="41" t="b">
        <f t="shared" si="9"/>
        <v>0</v>
      </c>
      <c r="HL13" s="29">
        <f t="shared" si="44"/>
        <v>491.36609167912457</v>
      </c>
      <c r="HM13" s="29">
        <f>GetTransactionTotal(AggregateTable2024[], AggregateTable2024[Start], HL$1, AggregateTable2024[#Headers], $D13)</f>
        <v>0</v>
      </c>
      <c r="HN13" s="29">
        <f>Buckets_4_24[[#This Row],[Start]]+Buckets_4_24[[#This Row],[Transactions]]</f>
        <v>491.36609167912457</v>
      </c>
      <c r="HO13" s="29">
        <f t="shared" si="45"/>
        <v>500</v>
      </c>
      <c r="HP13" s="29">
        <f>Buckets_4_24[[#This Row],[Capacity]]-Buckets_4_24[[#This Row],[After T]]</f>
        <v>8.6339083208754346</v>
      </c>
      <c r="HQ13" s="29">
        <f>MAX(-Buckets_4_24[[#This Row],[Cap Diff]], 0)</f>
        <v>0</v>
      </c>
      <c r="HR13" s="29">
        <f>Buckets_4_24[[#This Row],[After T]]-Buckets_4_24[[#This Row],[Slush]]</f>
        <v>491.36609167912457</v>
      </c>
      <c r="HS13" s="29">
        <f>Buckets_4_24[[#This Row],[Capacity]]-Buckets_4_24[[#This Row],[Before Fill]]</f>
        <v>8.6339083208754346</v>
      </c>
      <c r="HT13" t="b">
        <f>OR(HJ13, Buckets_4_24[[#This Row],[After T]]&lt;0)</f>
        <v>0</v>
      </c>
      <c r="HU13" s="29">
        <f>IF(Buckets_4_24[[#This Row],[Is Crit]], Buckets_4_24[[#This Row],[S Cap Diff]], 0)</f>
        <v>0</v>
      </c>
      <c r="HV13" s="29">
        <f>Buckets_4_24[[#This Row],[Before Fill]]+Buckets_4_24[[#This Row],[Crit To Fill]]</f>
        <v>491.36609167912457</v>
      </c>
      <c r="HW13" s="29">
        <f>IF(NOT(Buckets_4_24[[#This Row],[Is Crit]]), Buckets_4_24[[#This Row],[S Cap Diff]], 0)</f>
        <v>8.6339083208754346</v>
      </c>
      <c r="HX13" s="31">
        <f>HV$41/Buckets_4_24[[#Totals],[NC To Fill]]*Buckets_4_24[[#This Row],[NC To Fill]]</f>
        <v>5.6343124931165587</v>
      </c>
      <c r="HY13" s="31">
        <f>Buckets_4_24[[#This Row],[Crit Filled]]+Buckets_4_24[[#This Row],[Scaled]]</f>
        <v>497.00040417224113</v>
      </c>
      <c r="HZ13" s="31">
        <f>Buckets_4_24[[#This Row],[NC Filled]]</f>
        <v>497.00040417224113</v>
      </c>
      <c r="IA13" s="31">
        <f>Buckets_4_24[[#This Row],[Capacity]]-Buckets_4_24[[#This Row],[Final]]</f>
        <v>2.999595827758867</v>
      </c>
      <c r="IB13" s="33">
        <f>IF(Buckets_4_24[[#This Row],[Capacity]]=0, 1, Buckets_4_24[[#This Row],[Final]]/Buckets_4_24[[#This Row],[Capacity]])</f>
        <v>0.99400080834448223</v>
      </c>
      <c r="ID13" s="40">
        <f>Buckets_4_24[[#This Row],[Final]]</f>
        <v>497.00040417224113</v>
      </c>
      <c r="IE13" s="40">
        <f>Buckets_4_24[[#This Row],[Capacity]]</f>
        <v>500</v>
      </c>
      <c r="IF13" s="41" t="b">
        <f t="shared" si="46"/>
        <v>0</v>
      </c>
      <c r="IG13" s="42"/>
      <c r="IH13" s="42"/>
      <c r="II13" s="42"/>
      <c r="IJ13" s="42"/>
      <c r="IK13" s="43"/>
      <c r="IL13" s="40">
        <f t="shared" si="47"/>
        <v>497.00040417224113</v>
      </c>
      <c r="IM13" s="40">
        <f t="shared" si="48"/>
        <v>500</v>
      </c>
      <c r="IN13" s="41" t="b">
        <f t="shared" si="10"/>
        <v>0</v>
      </c>
    </row>
    <row r="14" spans="1:248" x14ac:dyDescent="0.25">
      <c r="A14" s="49"/>
      <c r="B14" t="s">
        <v>32</v>
      </c>
      <c r="C14" t="s">
        <v>291</v>
      </c>
      <c r="D14" t="s">
        <v>291</v>
      </c>
      <c r="F14" s="30">
        <v>0</v>
      </c>
      <c r="G14" s="38">
        <v>500</v>
      </c>
      <c r="H14" t="b">
        <v>0</v>
      </c>
      <c r="J14" s="29">
        <f t="shared" si="11"/>
        <v>0</v>
      </c>
      <c r="K14" s="29">
        <f>GetTransactionTotal(AggregateTable2023[], AggregateTable2023[Start], J$1, AggregateTable2023[#Headers], $D14)</f>
        <v>-1258.98</v>
      </c>
      <c r="L14" s="29">
        <f>Buckets_9_23[[#This Row],[Start]]+Buckets_9_23[[#This Row],[Transactions]]</f>
        <v>-1258.98</v>
      </c>
      <c r="M14" s="29">
        <f t="shared" si="12"/>
        <v>500</v>
      </c>
      <c r="N14" s="29">
        <f>Buckets_9_23[[#This Row],[Capacity]]-Buckets_9_23[[#This Row],[After T]]</f>
        <v>1758.98</v>
      </c>
      <c r="O14" s="29">
        <f>IF(Buckets_9_23[[#This Row],[After T]]&lt;0, Buckets_9_23[[#This Row],[After T]], IF(Buckets_9_23[[#This Row],[Cap Diff]]&lt;0, -Buckets_9_23[[#This Row],[Cap Diff]], 0))</f>
        <v>-1258.98</v>
      </c>
      <c r="P14" s="29">
        <f>Buckets_9_23[[#This Row],[After T]]-Buckets_9_23[[#This Row],[Slush]]</f>
        <v>0</v>
      </c>
      <c r="Q14" s="29">
        <f>Buckets_9_23[[#This Row],[Capacity]]-Buckets_9_23[[#This Row],[Before Fill]]</f>
        <v>500</v>
      </c>
      <c r="R14" t="b">
        <f t="shared" si="0"/>
        <v>0</v>
      </c>
      <c r="S14" s="29">
        <f>IF(Buckets_9_23[[#This Row],[Is Crit]], Buckets_9_23[[#This Row],[S Cap Diff]], 0)</f>
        <v>0</v>
      </c>
      <c r="T14" s="29">
        <f>Buckets_9_23[[#This Row],[Before Fill]]+Buckets_9_23[[#This Row],[Crit To Fill]]</f>
        <v>0</v>
      </c>
      <c r="U14" s="29">
        <f>IF(NOT(Buckets_9_23[[#This Row],[Is Crit]]), Buckets_9_23[[#This Row],[S Cap Diff]], 0)</f>
        <v>500</v>
      </c>
      <c r="V14" s="31">
        <f>T$41/Buckets_9_23[[#Totals],[NC To Fill]]*Buckets_9_23[[#This Row],[NC To Fill]]</f>
        <v>436.40879854831962</v>
      </c>
      <c r="W14" s="31">
        <f>Buckets_9_23[[#This Row],[Crit Filled]]+Buckets_9_23[[#This Row],[Scaled]]</f>
        <v>436.40879854831962</v>
      </c>
      <c r="X14" s="31">
        <f>Buckets_9_23[[#This Row],[NC Filled]]</f>
        <v>436.40879854831962</v>
      </c>
      <c r="Y14" s="31">
        <f>Buckets_9_23[[#This Row],[Capacity]]-Buckets_9_23[[#This Row],[Final]]</f>
        <v>63.591201451680377</v>
      </c>
      <c r="Z14" s="33">
        <f>IF(Buckets_9_23[[#This Row],[Capacity]]=0, 1, Buckets_9_23[[#This Row],[Final]]/Buckets_9_23[[#This Row],[Capacity]])</f>
        <v>0.8728175970966392</v>
      </c>
      <c r="AB14" s="31">
        <f>Buckets_9_23[[#This Row],[Final]]</f>
        <v>436.40879854831962</v>
      </c>
      <c r="AC14" s="31">
        <f>Buckets_9_23[[#This Row],[Capacity]]</f>
        <v>500</v>
      </c>
      <c r="AD14" t="b">
        <f t="shared" si="13"/>
        <v>0</v>
      </c>
      <c r="AE14" s="43" t="e">
        <f>NA()</f>
        <v>#N/A</v>
      </c>
      <c r="AF14" s="42"/>
      <c r="AG14" s="43" t="e">
        <f>NA()</f>
        <v>#N/A</v>
      </c>
      <c r="AH14" s="42"/>
      <c r="AI14" s="43"/>
      <c r="AJ14" s="31">
        <f t="shared" si="14"/>
        <v>436.40879854831962</v>
      </c>
      <c r="AK14" s="31">
        <f t="shared" si="15"/>
        <v>500</v>
      </c>
      <c r="AL14" t="b">
        <f t="shared" si="16"/>
        <v>0</v>
      </c>
      <c r="AN14" s="29">
        <f t="shared" si="17"/>
        <v>436.40879854831962</v>
      </c>
      <c r="AO14" s="29">
        <f>GetTransactionTotal(AggregateTable2023[], AggregateTable2023[Start], AN$1, AggregateTable2023[#Headers], $D14)</f>
        <v>-334.5</v>
      </c>
      <c r="AP14" s="29">
        <f>Buckets_10_23[[#This Row],[Start]]+Buckets_10_23[[#This Row],[Transactions]]</f>
        <v>101.90879854831962</v>
      </c>
      <c r="AQ14" s="29">
        <f t="shared" si="18"/>
        <v>500</v>
      </c>
      <c r="AR14" s="29">
        <f>Buckets_10_23[[#This Row],[Capacity]]-Buckets_10_23[[#This Row],[After T]]</f>
        <v>398.09120145168038</v>
      </c>
      <c r="AS14" s="29">
        <f>MAX(-Buckets_10_23[[#This Row],[Cap Diff]], 0)</f>
        <v>0</v>
      </c>
      <c r="AT14" s="29">
        <f>Buckets_10_23[[#This Row],[After T]]-Buckets_10_23[[#This Row],[Slush]]</f>
        <v>101.90879854831962</v>
      </c>
      <c r="AU14" s="29">
        <f>Buckets_10_23[[#This Row],[Capacity]]-Buckets_10_23[[#This Row],[Before Fill]]</f>
        <v>398.09120145168038</v>
      </c>
      <c r="AV14" t="b">
        <f>OR(AL14, Buckets_10_23[[#This Row],[After T]]&lt;0)</f>
        <v>0</v>
      </c>
      <c r="AW14" s="29">
        <f>IF(Buckets_10_23[[#This Row],[Is Crit]], Buckets_10_23[[#This Row],[S Cap Diff]], 0)</f>
        <v>0</v>
      </c>
      <c r="AX14" s="29">
        <f>Buckets_10_23[[#This Row],[Before Fill]]+Buckets_10_23[[#This Row],[Crit To Fill]]</f>
        <v>101.90879854831962</v>
      </c>
      <c r="AY14" s="29">
        <f>IF(NOT(Buckets_10_23[[#This Row],[Is Crit]]), Buckets_10_23[[#This Row],[S Cap Diff]], 0)</f>
        <v>398.09120145168038</v>
      </c>
      <c r="AZ14" s="31">
        <f>AX$41/Buckets_10_23[[#Totals],[NC To Fill]]*Buckets_10_23[[#This Row],[NC To Fill]]</f>
        <v>236.45516168507416</v>
      </c>
      <c r="BA14" s="31">
        <f>Buckets_10_23[[#This Row],[Crit Filled]]+Buckets_10_23[[#This Row],[Scaled]]</f>
        <v>338.36396023339375</v>
      </c>
      <c r="BB14" s="31">
        <f>Buckets_10_23[[#This Row],[NC Filled]]</f>
        <v>338.36396023339375</v>
      </c>
      <c r="BC14" s="31">
        <f>Buckets_10_23[[#This Row],[Capacity]]-Buckets_10_23[[#This Row],[Final]]</f>
        <v>161.63603976660625</v>
      </c>
      <c r="BD14" s="33">
        <f>IF(Buckets_10_23[[#This Row],[Capacity]]=0, 1, Buckets_10_23[[#This Row],[Final]]/Buckets_10_23[[#This Row],[Capacity]])</f>
        <v>0.67672792046678754</v>
      </c>
      <c r="BF14" s="31">
        <f>Buckets_10_23[[#This Row],[Final]]</f>
        <v>338.36396023339375</v>
      </c>
      <c r="BG14" s="31">
        <f>Buckets_10_23[[#This Row],[Capacity]]</f>
        <v>500</v>
      </c>
      <c r="BH14" t="b">
        <f t="shared" si="19"/>
        <v>0</v>
      </c>
      <c r="BI14" s="43" t="e">
        <f>NA()</f>
        <v>#N/A</v>
      </c>
      <c r="BJ14" s="42"/>
      <c r="BK14" s="43" t="e">
        <f>NA()</f>
        <v>#N/A</v>
      </c>
      <c r="BL14" s="42"/>
      <c r="BM14" s="43"/>
      <c r="BN14" s="31">
        <f t="shared" si="20"/>
        <v>338.36396023339375</v>
      </c>
      <c r="BO14" s="31">
        <f t="shared" si="1"/>
        <v>500</v>
      </c>
      <c r="BP14" t="b">
        <f t="shared" si="2"/>
        <v>0</v>
      </c>
      <c r="BR14" s="29">
        <f t="shared" si="21"/>
        <v>338.36396023339375</v>
      </c>
      <c r="BS14" s="29">
        <f>GetTransactionTotal(AggregateTable2023[], AggregateTable2023[Start], BR$1, AggregateTable2023[#Headers], $D14)</f>
        <v>0</v>
      </c>
      <c r="BT14" s="29">
        <f>Buckets_11_23[[#This Row],[Start]]+Buckets_11_23[[#This Row],[Transactions]]</f>
        <v>338.36396023339375</v>
      </c>
      <c r="BU14" s="29">
        <f t="shared" si="22"/>
        <v>500</v>
      </c>
      <c r="BV14" s="29">
        <f>Buckets_11_23[[#This Row],[Capacity]]-Buckets_11_23[[#This Row],[After T]]</f>
        <v>161.63603976660625</v>
      </c>
      <c r="BW14" s="29">
        <f>MAX(-Buckets_11_23[[#This Row],[Cap Diff]], 0)</f>
        <v>0</v>
      </c>
      <c r="BX14" s="29">
        <f>Buckets_11_23[[#This Row],[After T]]-Buckets_11_23[[#This Row],[Slush]]</f>
        <v>338.36396023339375</v>
      </c>
      <c r="BY14" s="29">
        <f>Buckets_11_23[[#This Row],[Capacity]]-Buckets_11_23[[#This Row],[Before Fill]]</f>
        <v>161.63603976660625</v>
      </c>
      <c r="BZ14" t="b">
        <f>OR(BP14, Buckets_11_23[[#This Row],[After T]]&lt;0)</f>
        <v>0</v>
      </c>
      <c r="CA14" s="29">
        <f>IF(Buckets_11_23[[#This Row],[Is Crit]], Buckets_11_23[[#This Row],[S Cap Diff]], 0)</f>
        <v>0</v>
      </c>
      <c r="CB14" s="29">
        <f>Buckets_11_23[[#This Row],[Before Fill]]+Buckets_11_23[[#This Row],[Crit To Fill]]</f>
        <v>338.36396023339375</v>
      </c>
      <c r="CC14" s="29">
        <f>IF(NOT(Buckets_11_23[[#This Row],[Is Crit]]), Buckets_11_23[[#This Row],[S Cap Diff]], 0)</f>
        <v>161.63603976660625</v>
      </c>
      <c r="CD14" s="31">
        <f>CB$41/Buckets_11_23[[#Totals],[NC To Fill]]*Buckets_11_23[[#This Row],[NC To Fill]]</f>
        <v>159.40595398239813</v>
      </c>
      <c r="CE14" s="31">
        <f>Buckets_11_23[[#This Row],[Crit Filled]]+Buckets_11_23[[#This Row],[Scaled]]</f>
        <v>497.76991421579191</v>
      </c>
      <c r="CF14" s="31">
        <f>Buckets_11_23[[#This Row],[NC Filled]]</f>
        <v>497.76991421579191</v>
      </c>
      <c r="CG14" s="31">
        <f>Buckets_11_23[[#This Row],[Capacity]]-Buckets_11_23[[#This Row],[Final]]</f>
        <v>2.2300857842080859</v>
      </c>
      <c r="CH14" s="33">
        <f>IF(Buckets_11_23[[#This Row],[Capacity]]=0, 1, Buckets_11_23[[#This Row],[Final]]/Buckets_11_23[[#This Row],[Capacity]])</f>
        <v>0.99553982843158384</v>
      </c>
      <c r="CJ14" s="40">
        <f>Buckets_11_23[[#This Row],[Final]]</f>
        <v>497.76991421579191</v>
      </c>
      <c r="CK14" s="40">
        <f>Buckets_11_23[[#This Row],[Capacity]]</f>
        <v>500</v>
      </c>
      <c r="CL14" s="41" t="b">
        <f t="shared" si="23"/>
        <v>0</v>
      </c>
      <c r="CM14" s="42">
        <v>-200</v>
      </c>
      <c r="CN14" s="42"/>
      <c r="CO14" s="42" t="e">
        <f>NA()</f>
        <v>#N/A</v>
      </c>
      <c r="CP14" s="42">
        <f>CK14+100</f>
        <v>600</v>
      </c>
      <c r="CQ14" s="43"/>
      <c r="CR14" s="40">
        <f t="shared" si="24"/>
        <v>297.76991421579191</v>
      </c>
      <c r="CS14" s="40">
        <f t="shared" si="3"/>
        <v>600</v>
      </c>
      <c r="CT14" s="41" t="b">
        <f t="shared" si="4"/>
        <v>0</v>
      </c>
      <c r="CV14" s="29">
        <f t="shared" si="25"/>
        <v>297.76991421579191</v>
      </c>
      <c r="CW14" s="29">
        <f>GetTransactionTotal(AggregateTable2023[], AggregateTable2023[Start], CV$1, AggregateTable2023[#Headers], $D14)</f>
        <v>-202.6</v>
      </c>
      <c r="CX14" s="29">
        <f>Buckets_12_23[[#This Row],[Start]]+Buckets_12_23[[#This Row],[Transactions]]</f>
        <v>95.16991421579192</v>
      </c>
      <c r="CY14" s="29">
        <f t="shared" si="26"/>
        <v>600</v>
      </c>
      <c r="CZ14" s="29">
        <f>Buckets_12_23[[#This Row],[Capacity]]-Buckets_12_23[[#This Row],[After T]]</f>
        <v>504.83008578420811</v>
      </c>
      <c r="DA14" s="29">
        <f>MAX(-Buckets_12_23[[#This Row],[Cap Diff]], 0)</f>
        <v>0</v>
      </c>
      <c r="DB14" s="29">
        <f>Buckets_12_23[[#This Row],[After T]]-Buckets_12_23[[#This Row],[Slush]]</f>
        <v>95.16991421579192</v>
      </c>
      <c r="DC14" s="29">
        <f>Buckets_12_23[[#This Row],[Capacity]]-Buckets_12_23[[#This Row],[Before Fill]]</f>
        <v>504.83008578420811</v>
      </c>
      <c r="DD14" t="b">
        <f>OR(CT14, Buckets_12_23[[#This Row],[After T]]&lt;0)</f>
        <v>0</v>
      </c>
      <c r="DE14" s="29">
        <f>IF(Buckets_12_23[[#This Row],[Is Crit]], Buckets_12_23[[#This Row],[S Cap Diff]], 0)</f>
        <v>0</v>
      </c>
      <c r="DF14" s="29">
        <f>Buckets_12_23[[#This Row],[Before Fill]]+Buckets_12_23[[#This Row],[Crit To Fill]]</f>
        <v>95.16991421579192</v>
      </c>
      <c r="DG14" s="29">
        <f>IF(NOT(Buckets_12_23[[#This Row],[Is Crit]]), Buckets_12_23[[#This Row],[S Cap Diff]], 0)</f>
        <v>504.83008578420811</v>
      </c>
      <c r="DH14" s="31">
        <f>DF$41/Buckets_12_23[[#Totals],[NC To Fill]]*Buckets_12_23[[#This Row],[NC To Fill]]</f>
        <v>230.81844388860623</v>
      </c>
      <c r="DI14" s="31">
        <f>Buckets_12_23[[#This Row],[Crit Filled]]+Buckets_12_23[[#This Row],[Scaled]]</f>
        <v>325.98835810439812</v>
      </c>
      <c r="DJ14" s="31">
        <f>Buckets_12_23[[#This Row],[NC Filled]]</f>
        <v>325.98835810439812</v>
      </c>
      <c r="DK14" s="31">
        <f>Buckets_12_23[[#This Row],[Capacity]]-Buckets_12_23[[#This Row],[Final]]</f>
        <v>274.01164189560188</v>
      </c>
      <c r="DL14" s="33">
        <f>IF(Buckets_12_23[[#This Row],[Capacity]]=0, 1, Buckets_12_23[[#This Row],[Final]]/Buckets_12_23[[#This Row],[Capacity]])</f>
        <v>0.54331393017399687</v>
      </c>
      <c r="DN14" s="40">
        <f>Buckets_12_23[[#This Row],[Final]]</f>
        <v>325.98835810439812</v>
      </c>
      <c r="DO14" s="40">
        <f>Buckets_12_23[[#This Row],[Capacity]]</f>
        <v>600</v>
      </c>
      <c r="DP14" s="41" t="b">
        <f t="shared" si="27"/>
        <v>0</v>
      </c>
      <c r="DQ14" s="42"/>
      <c r="DR14" s="42"/>
      <c r="DS14" s="42" t="e">
        <f>NA()</f>
        <v>#N/A</v>
      </c>
      <c r="DT14" s="42">
        <f>DO14+100</f>
        <v>700</v>
      </c>
      <c r="DU14" s="43"/>
      <c r="DV14" s="40">
        <f t="shared" si="28"/>
        <v>325.98835810439812</v>
      </c>
      <c r="DW14" s="40">
        <f t="shared" si="5"/>
        <v>700</v>
      </c>
      <c r="DX14" s="41" t="b">
        <f t="shared" si="6"/>
        <v>0</v>
      </c>
      <c r="DZ14" s="29">
        <f t="shared" si="29"/>
        <v>325.98835810439812</v>
      </c>
      <c r="EA14" s="29">
        <f>GetTransactionTotal(AggregateTable2024[], AggregateTable2024[Start], DZ$1, AggregateTable2024[#Headers], $D14)</f>
        <v>0</v>
      </c>
      <c r="EB14" s="29">
        <f>Buckets_1_24[[#This Row],[Start]]+Buckets_1_24[[#This Row],[Transactions]]</f>
        <v>325.98835810439812</v>
      </c>
      <c r="EC14" s="29">
        <f t="shared" si="30"/>
        <v>700</v>
      </c>
      <c r="ED14" s="29">
        <f>Buckets_1_24[[#This Row],[Capacity]]-Buckets_1_24[[#This Row],[After T]]</f>
        <v>374.01164189560188</v>
      </c>
      <c r="EE14" s="29">
        <f>MAX(-Buckets_1_24[[#This Row],[Cap Diff]], 0)</f>
        <v>0</v>
      </c>
      <c r="EF14" s="29">
        <f>Buckets_1_24[[#This Row],[After T]]-Buckets_1_24[[#This Row],[Slush]]</f>
        <v>325.98835810439812</v>
      </c>
      <c r="EG14" s="29">
        <f>Buckets_1_24[[#This Row],[Capacity]]-Buckets_1_24[[#This Row],[Before Fill]]</f>
        <v>374.01164189560188</v>
      </c>
      <c r="EH14" t="b">
        <f>OR(DX14, Buckets_1_24[[#This Row],[After T]]&lt;0)</f>
        <v>0</v>
      </c>
      <c r="EI14" s="29">
        <f>IF(Buckets_1_24[[#This Row],[Is Crit]], Buckets_1_24[[#This Row],[S Cap Diff]], 0)</f>
        <v>0</v>
      </c>
      <c r="EJ14" s="29">
        <f>Buckets_1_24[[#This Row],[Before Fill]]+Buckets_1_24[[#This Row],[Crit To Fill]]</f>
        <v>325.98835810439812</v>
      </c>
      <c r="EK14" s="29">
        <f>IF(NOT(Buckets_1_24[[#This Row],[Is Crit]]), Buckets_1_24[[#This Row],[S Cap Diff]], 0)</f>
        <v>374.01164189560188</v>
      </c>
      <c r="EL14" s="31">
        <f>EJ$41/Buckets_1_24[[#Totals],[NC To Fill]]*Buckets_1_24[[#This Row],[NC To Fill]]</f>
        <v>229.6403132147413</v>
      </c>
      <c r="EM14" s="31">
        <f>Buckets_1_24[[#This Row],[Crit Filled]]+Buckets_1_24[[#This Row],[Scaled]]</f>
        <v>555.62867131913936</v>
      </c>
      <c r="EN14" s="31">
        <f>Buckets_1_24[[#This Row],[NC Filled]]</f>
        <v>555.62867131913936</v>
      </c>
      <c r="EO14" s="31">
        <f>Buckets_1_24[[#This Row],[Capacity]]-Buckets_1_24[[#This Row],[Final]]</f>
        <v>144.37132868086064</v>
      </c>
      <c r="EP14" s="33">
        <f>IF(Buckets_1_24[[#This Row],[Capacity]]=0, 1, Buckets_1_24[[#This Row],[Final]]/Buckets_1_24[[#This Row],[Capacity]])</f>
        <v>0.79375524474162762</v>
      </c>
      <c r="ER14" s="40">
        <f>Buckets_1_24[[#This Row],[Final]]</f>
        <v>555.62867131913936</v>
      </c>
      <c r="ES14" s="40">
        <f>Buckets_1_24[[#This Row],[Capacity]]</f>
        <v>700</v>
      </c>
      <c r="ET14" s="41" t="b">
        <f t="shared" si="31"/>
        <v>0</v>
      </c>
      <c r="EU14" s="42"/>
      <c r="EV14" s="42"/>
      <c r="EW14" s="42">
        <v>100</v>
      </c>
      <c r="EX14" s="42"/>
      <c r="EY14" s="43"/>
      <c r="EZ14" s="40">
        <f t="shared" si="32"/>
        <v>555.62867131913936</v>
      </c>
      <c r="FA14" s="40">
        <f t="shared" si="33"/>
        <v>800</v>
      </c>
      <c r="FB14" s="41" t="b">
        <f t="shared" si="7"/>
        <v>0</v>
      </c>
      <c r="FD14" s="29">
        <f t="shared" si="34"/>
        <v>555.62867131913936</v>
      </c>
      <c r="FE14" s="29">
        <f>GetTransactionTotal(AggregateTable2024[], AggregateTable2024[Start], FD$1, AggregateTable2024[#Headers], $D14)</f>
        <v>0</v>
      </c>
      <c r="FF14" s="29">
        <f>Buckets_2_24[[#This Row],[Start]]+Buckets_2_24[[#This Row],[Transactions]]</f>
        <v>555.62867131913936</v>
      </c>
      <c r="FG14" s="29">
        <f t="shared" si="35"/>
        <v>800</v>
      </c>
      <c r="FH14" s="29">
        <f>Buckets_2_24[[#This Row],[Capacity]]-Buckets_2_24[[#This Row],[After T]]</f>
        <v>244.37132868086064</v>
      </c>
      <c r="FI14" s="29">
        <f>MAX(-Buckets_2_24[[#This Row],[Cap Diff]], 0)</f>
        <v>0</v>
      </c>
      <c r="FJ14" s="29">
        <f>Buckets_2_24[[#This Row],[After T]]-Buckets_2_24[[#This Row],[Slush]]</f>
        <v>555.62867131913936</v>
      </c>
      <c r="FK14" s="29">
        <f>Buckets_2_24[[#This Row],[Capacity]]-Buckets_2_24[[#This Row],[Before Fill]]</f>
        <v>244.37132868086064</v>
      </c>
      <c r="FL14" t="b">
        <f>OR(FB14, Buckets_2_24[[#This Row],[After T]]&lt;0)</f>
        <v>0</v>
      </c>
      <c r="FM14" s="29">
        <f>IF(Buckets_2_24[[#This Row],[Is Crit]], Buckets_2_24[[#This Row],[S Cap Diff]], 0)</f>
        <v>0</v>
      </c>
      <c r="FN14" s="29">
        <f>Buckets_2_24[[#This Row],[Before Fill]]+Buckets_2_24[[#This Row],[Crit To Fill]]</f>
        <v>555.62867131913936</v>
      </c>
      <c r="FO14" s="29">
        <f>IF(NOT(Buckets_2_24[[#This Row],[Is Crit]]), Buckets_2_24[[#This Row],[S Cap Diff]], 0)</f>
        <v>244.37132868086064</v>
      </c>
      <c r="FP14" s="31">
        <f>FN$41/Buckets_2_24[[#Totals],[NC To Fill]]*Buckets_2_24[[#This Row],[NC To Fill]]</f>
        <v>235.41407674657873</v>
      </c>
      <c r="FQ14" s="31">
        <f>Buckets_2_24[[#This Row],[Crit Filled]]+Buckets_2_24[[#This Row],[Scaled]]</f>
        <v>791.04274806571811</v>
      </c>
      <c r="FR14" s="31">
        <f>Buckets_2_24[[#This Row],[NC Filled]]</f>
        <v>791.04274806571811</v>
      </c>
      <c r="FS14" s="31">
        <f>Buckets_2_24[[#This Row],[Capacity]]-Buckets_2_24[[#This Row],[Final]]</f>
        <v>8.957251934281885</v>
      </c>
      <c r="FT14" s="33">
        <f>IF(Buckets_2_24[[#This Row],[Capacity]]=0, 1, Buckets_2_24[[#This Row],[Final]]/Buckets_2_24[[#This Row],[Capacity]])</f>
        <v>0.98880343508214763</v>
      </c>
      <c r="FV14" s="40">
        <f>Buckets_2_24[[#This Row],[Final]]</f>
        <v>791.04274806571811</v>
      </c>
      <c r="FW14" s="40">
        <f>Buckets_2_24[[#This Row],[Capacity]]</f>
        <v>800</v>
      </c>
      <c r="FX14" s="41" t="b">
        <f t="shared" si="36"/>
        <v>0</v>
      </c>
      <c r="FY14" s="42"/>
      <c r="FZ14" s="42"/>
      <c r="GA14" s="42">
        <v>100</v>
      </c>
      <c r="GB14" s="42"/>
      <c r="GC14" s="43"/>
      <c r="GD14" s="40">
        <f t="shared" si="37"/>
        <v>791.04274806571811</v>
      </c>
      <c r="GE14" s="40">
        <f t="shared" si="38"/>
        <v>900</v>
      </c>
      <c r="GF14" s="41" t="b">
        <f t="shared" si="8"/>
        <v>0</v>
      </c>
      <c r="GH14" s="29">
        <f t="shared" si="39"/>
        <v>791.04274806571811</v>
      </c>
      <c r="GI14" s="29">
        <f>GetTransactionTotal(AggregateTable2024[], AggregateTable2024[Start], GH$1, AggregateTable2024[#Headers], $D14)</f>
        <v>0</v>
      </c>
      <c r="GJ14" s="29">
        <f>Buckets_3_24[[#This Row],[Start]]+Buckets_3_24[[#This Row],[Transactions]]</f>
        <v>791.04274806571811</v>
      </c>
      <c r="GK14" s="29">
        <f t="shared" si="40"/>
        <v>900</v>
      </c>
      <c r="GL14" s="29">
        <f>Buckets_3_24[[#This Row],[Capacity]]-Buckets_3_24[[#This Row],[After T]]</f>
        <v>108.95725193428189</v>
      </c>
      <c r="GM14" s="29">
        <f>MAX(-Buckets_3_24[[#This Row],[Cap Diff]], 0)</f>
        <v>0</v>
      </c>
      <c r="GN14" s="29">
        <f>Buckets_3_24[[#This Row],[After T]]-Buckets_3_24[[#This Row],[Slush]]</f>
        <v>791.04274806571811</v>
      </c>
      <c r="GO14" s="29">
        <f>Buckets_3_24[[#This Row],[Capacity]]-Buckets_3_24[[#This Row],[Before Fill]]</f>
        <v>108.95725193428189</v>
      </c>
      <c r="GP14" t="b">
        <f>OR(GF14, Buckets_3_24[[#This Row],[After T]]&lt;0)</f>
        <v>0</v>
      </c>
      <c r="GQ14" s="29">
        <f>IF(Buckets_3_24[[#This Row],[Is Crit]], Buckets_3_24[[#This Row],[S Cap Diff]], 0)</f>
        <v>0</v>
      </c>
      <c r="GR14" s="29">
        <f>Buckets_3_24[[#This Row],[Before Fill]]+Buckets_3_24[[#This Row],[Crit To Fill]]</f>
        <v>791.04274806571811</v>
      </c>
      <c r="GS14" s="29">
        <f>IF(NOT(Buckets_3_24[[#This Row],[Is Crit]]), Buckets_3_24[[#This Row],[S Cap Diff]], 0)</f>
        <v>108.95725193428189</v>
      </c>
      <c r="GT14" s="31">
        <f>GR$41/Buckets_3_24[[#Totals],[NC To Fill]]*Buckets_3_24[[#This Row],[NC To Fill]]</f>
        <v>105.82350933299595</v>
      </c>
      <c r="GU14" s="31">
        <f>Buckets_3_24[[#This Row],[Crit Filled]]+Buckets_3_24[[#This Row],[Scaled]]</f>
        <v>896.86625739871408</v>
      </c>
      <c r="GV14" s="31">
        <f>Buckets_3_24[[#This Row],[NC Filled]]</f>
        <v>896.86625739871408</v>
      </c>
      <c r="GW14" s="31">
        <f>Buckets_3_24[[#This Row],[Capacity]]-Buckets_3_24[[#This Row],[Final]]</f>
        <v>3.1337426012859169</v>
      </c>
      <c r="GX14" s="33">
        <f>IF(Buckets_3_24[[#This Row],[Capacity]]=0, 1, Buckets_3_24[[#This Row],[Final]]/Buckets_3_24[[#This Row],[Capacity]])</f>
        <v>0.99651806377634899</v>
      </c>
      <c r="GZ14" s="40">
        <f>Buckets_3_24[[#This Row],[Final]]</f>
        <v>896.86625739871408</v>
      </c>
      <c r="HA14" s="40">
        <f>Buckets_3_24[[#This Row],[Capacity]]</f>
        <v>900</v>
      </c>
      <c r="HB14" s="41" t="b">
        <f t="shared" si="41"/>
        <v>0</v>
      </c>
      <c r="HC14" s="42"/>
      <c r="HD14" s="42"/>
      <c r="HE14" s="42">
        <v>100</v>
      </c>
      <c r="HF14" s="42"/>
      <c r="HG14" s="43"/>
      <c r="HH14" s="40">
        <f t="shared" si="42"/>
        <v>896.86625739871408</v>
      </c>
      <c r="HI14" s="40">
        <f t="shared" si="43"/>
        <v>1000</v>
      </c>
      <c r="HJ14" s="41" t="b">
        <f t="shared" si="9"/>
        <v>0</v>
      </c>
      <c r="HL14" s="29">
        <f t="shared" si="44"/>
        <v>896.86625739871408</v>
      </c>
      <c r="HM14" s="29">
        <f>GetTransactionTotal(AggregateTable2024[], AggregateTable2024[Start], HL$1, AggregateTable2024[#Headers], $D14)</f>
        <v>0</v>
      </c>
      <c r="HN14" s="29">
        <f>Buckets_4_24[[#This Row],[Start]]+Buckets_4_24[[#This Row],[Transactions]]</f>
        <v>896.86625739871408</v>
      </c>
      <c r="HO14" s="29">
        <f t="shared" si="45"/>
        <v>1000</v>
      </c>
      <c r="HP14" s="29">
        <f>Buckets_4_24[[#This Row],[Capacity]]-Buckets_4_24[[#This Row],[After T]]</f>
        <v>103.13374260128592</v>
      </c>
      <c r="HQ14" s="29">
        <f>MAX(-Buckets_4_24[[#This Row],[Cap Diff]], 0)</f>
        <v>0</v>
      </c>
      <c r="HR14" s="29">
        <f>Buckets_4_24[[#This Row],[After T]]-Buckets_4_24[[#This Row],[Slush]]</f>
        <v>896.86625739871408</v>
      </c>
      <c r="HS14" s="29">
        <f>Buckets_4_24[[#This Row],[Capacity]]-Buckets_4_24[[#This Row],[Before Fill]]</f>
        <v>103.13374260128592</v>
      </c>
      <c r="HT14" t="b">
        <f>OR(HJ14, Buckets_4_24[[#This Row],[After T]]&lt;0)</f>
        <v>0</v>
      </c>
      <c r="HU14" s="29">
        <f>IF(Buckets_4_24[[#This Row],[Is Crit]], Buckets_4_24[[#This Row],[S Cap Diff]], 0)</f>
        <v>0</v>
      </c>
      <c r="HV14" s="29">
        <f>Buckets_4_24[[#This Row],[Before Fill]]+Buckets_4_24[[#This Row],[Crit To Fill]]</f>
        <v>896.86625739871408</v>
      </c>
      <c r="HW14" s="29">
        <f>IF(NOT(Buckets_4_24[[#This Row],[Is Crit]]), Buckets_4_24[[#This Row],[S Cap Diff]], 0)</f>
        <v>103.13374260128592</v>
      </c>
      <c r="HX14" s="31">
        <f>HV$41/Buckets_4_24[[#Totals],[NC To Fill]]*Buckets_4_24[[#This Row],[NC To Fill]]</f>
        <v>67.302977145971511</v>
      </c>
      <c r="HY14" s="31">
        <f>Buckets_4_24[[#This Row],[Crit Filled]]+Buckets_4_24[[#This Row],[Scaled]]</f>
        <v>964.16923454468565</v>
      </c>
      <c r="HZ14" s="31">
        <f>Buckets_4_24[[#This Row],[NC Filled]]</f>
        <v>964.16923454468565</v>
      </c>
      <c r="IA14" s="31">
        <f>Buckets_4_24[[#This Row],[Capacity]]-Buckets_4_24[[#This Row],[Final]]</f>
        <v>35.830765455314349</v>
      </c>
      <c r="IB14" s="33">
        <f>IF(Buckets_4_24[[#This Row],[Capacity]]=0, 1, Buckets_4_24[[#This Row],[Final]]/Buckets_4_24[[#This Row],[Capacity]])</f>
        <v>0.96416923454468562</v>
      </c>
      <c r="ID14" s="40">
        <f>Buckets_4_24[[#This Row],[Final]]</f>
        <v>964.16923454468565</v>
      </c>
      <c r="IE14" s="40">
        <f>Buckets_4_24[[#This Row],[Capacity]]</f>
        <v>1000</v>
      </c>
      <c r="IF14" s="41" t="b">
        <f t="shared" si="46"/>
        <v>0</v>
      </c>
      <c r="IG14" s="42"/>
      <c r="IH14" s="42"/>
      <c r="II14" s="42">
        <v>100</v>
      </c>
      <c r="IJ14" s="42"/>
      <c r="IK14" s="43"/>
      <c r="IL14" s="40">
        <f t="shared" si="47"/>
        <v>964.16923454468565</v>
      </c>
      <c r="IM14" s="40">
        <f t="shared" si="48"/>
        <v>1100</v>
      </c>
      <c r="IN14" s="41" t="b">
        <f t="shared" si="10"/>
        <v>0</v>
      </c>
    </row>
    <row r="15" spans="1:248" x14ac:dyDescent="0.25">
      <c r="A15" s="49"/>
      <c r="B15" t="s">
        <v>323</v>
      </c>
      <c r="C15" t="s">
        <v>15</v>
      </c>
      <c r="D15" t="s">
        <v>15</v>
      </c>
      <c r="F15" s="30">
        <v>300</v>
      </c>
      <c r="G15" s="38">
        <v>600</v>
      </c>
      <c r="H15" t="b">
        <v>0</v>
      </c>
      <c r="J15" s="29">
        <f t="shared" si="11"/>
        <v>300</v>
      </c>
      <c r="K15" s="29">
        <f>GetTransactionTotal(AggregateTable2023[], AggregateTable2023[Start], J$1, AggregateTable2023[#Headers], $D15)</f>
        <v>-209.44</v>
      </c>
      <c r="L15" s="29">
        <f>Buckets_9_23[[#This Row],[Start]]+Buckets_9_23[[#This Row],[Transactions]]</f>
        <v>90.56</v>
      </c>
      <c r="M15" s="29">
        <f t="shared" si="12"/>
        <v>600</v>
      </c>
      <c r="N15" s="29">
        <f>Buckets_9_23[[#This Row],[Capacity]]-Buckets_9_23[[#This Row],[After T]]</f>
        <v>509.44</v>
      </c>
      <c r="O15" s="29">
        <f>IF(Buckets_9_23[[#This Row],[After T]]&lt;0, Buckets_9_23[[#This Row],[After T]], IF(Buckets_9_23[[#This Row],[Cap Diff]]&lt;0, -Buckets_9_23[[#This Row],[Cap Diff]], 0))</f>
        <v>0</v>
      </c>
      <c r="P15" s="29">
        <f>Buckets_9_23[[#This Row],[After T]]-Buckets_9_23[[#This Row],[Slush]]</f>
        <v>90.56</v>
      </c>
      <c r="Q15" s="29">
        <f>Buckets_9_23[[#This Row],[Capacity]]-Buckets_9_23[[#This Row],[Before Fill]]</f>
        <v>509.44</v>
      </c>
      <c r="R15" t="b">
        <f t="shared" si="0"/>
        <v>0</v>
      </c>
      <c r="S15" s="29">
        <f>IF(Buckets_9_23[[#This Row],[Is Crit]], Buckets_9_23[[#This Row],[S Cap Diff]], 0)</f>
        <v>0</v>
      </c>
      <c r="T15" s="29">
        <f>Buckets_9_23[[#This Row],[Before Fill]]+Buckets_9_23[[#This Row],[Crit To Fill]]</f>
        <v>90.56</v>
      </c>
      <c r="U15" s="29">
        <f>IF(NOT(Buckets_9_23[[#This Row],[Is Crit]]), Buckets_9_23[[#This Row],[S Cap Diff]], 0)</f>
        <v>509.44</v>
      </c>
      <c r="V15" s="31">
        <f>T$41/Buckets_9_23[[#Totals],[NC To Fill]]*Buckets_9_23[[#This Row],[NC To Fill]]</f>
        <v>444.64819666491189</v>
      </c>
      <c r="W15" s="31">
        <f>Buckets_9_23[[#This Row],[Crit Filled]]+Buckets_9_23[[#This Row],[Scaled]]</f>
        <v>535.20819666491184</v>
      </c>
      <c r="X15" s="31">
        <f>Buckets_9_23[[#This Row],[NC Filled]]</f>
        <v>535.20819666491184</v>
      </c>
      <c r="Y15" s="31">
        <f>Buckets_9_23[[#This Row],[Capacity]]-Buckets_9_23[[#This Row],[Final]]</f>
        <v>64.791803335088161</v>
      </c>
      <c r="Z15" s="33">
        <f>IF(Buckets_9_23[[#This Row],[Capacity]]=0, 1, Buckets_9_23[[#This Row],[Final]]/Buckets_9_23[[#This Row],[Capacity]])</f>
        <v>0.89201366110818636</v>
      </c>
      <c r="AB15" s="31">
        <f>Buckets_9_23[[#This Row],[Final]]</f>
        <v>535.20819666491184</v>
      </c>
      <c r="AC15" s="31">
        <f>Buckets_9_23[[#This Row],[Capacity]]</f>
        <v>600</v>
      </c>
      <c r="AD15" t="b">
        <f t="shared" si="13"/>
        <v>0</v>
      </c>
      <c r="AE15" s="43" t="e">
        <f>NA()</f>
        <v>#N/A</v>
      </c>
      <c r="AF15" s="42"/>
      <c r="AG15" s="43" t="e">
        <f>NA()</f>
        <v>#N/A</v>
      </c>
      <c r="AH15" s="42"/>
      <c r="AI15" s="43"/>
      <c r="AJ15" s="31">
        <f t="shared" si="14"/>
        <v>535.20819666491184</v>
      </c>
      <c r="AK15" s="31">
        <f t="shared" si="15"/>
        <v>600</v>
      </c>
      <c r="AL15" t="b">
        <f t="shared" si="16"/>
        <v>0</v>
      </c>
      <c r="AN15" s="29">
        <f t="shared" si="17"/>
        <v>535.20819666491184</v>
      </c>
      <c r="AO15" s="29">
        <f>GetTransactionTotal(AggregateTable2023[], AggregateTable2023[Start], AN$1, AggregateTable2023[#Headers], $D15)</f>
        <v>-218.93</v>
      </c>
      <c r="AP15" s="29">
        <f>Buckets_10_23[[#This Row],[Start]]+Buckets_10_23[[#This Row],[Transactions]]</f>
        <v>316.27819666491183</v>
      </c>
      <c r="AQ15" s="29">
        <f t="shared" si="18"/>
        <v>600</v>
      </c>
      <c r="AR15" s="29">
        <f>Buckets_10_23[[#This Row],[Capacity]]-Buckets_10_23[[#This Row],[After T]]</f>
        <v>283.72180333508817</v>
      </c>
      <c r="AS15" s="29">
        <f>MAX(-Buckets_10_23[[#This Row],[Cap Diff]], 0)</f>
        <v>0</v>
      </c>
      <c r="AT15" s="29">
        <f>Buckets_10_23[[#This Row],[After T]]-Buckets_10_23[[#This Row],[Slush]]</f>
        <v>316.27819666491183</v>
      </c>
      <c r="AU15" s="29">
        <f>Buckets_10_23[[#This Row],[Capacity]]-Buckets_10_23[[#This Row],[Before Fill]]</f>
        <v>283.72180333508817</v>
      </c>
      <c r="AV15" t="b">
        <f>OR(AL15, Buckets_10_23[[#This Row],[After T]]&lt;0)</f>
        <v>0</v>
      </c>
      <c r="AW15" s="29">
        <f>IF(Buckets_10_23[[#This Row],[Is Crit]], Buckets_10_23[[#This Row],[S Cap Diff]], 0)</f>
        <v>0</v>
      </c>
      <c r="AX15" s="29">
        <f>Buckets_10_23[[#This Row],[Before Fill]]+Buckets_10_23[[#This Row],[Crit To Fill]]</f>
        <v>316.27819666491183</v>
      </c>
      <c r="AY15" s="29">
        <f>IF(NOT(Buckets_10_23[[#This Row],[Is Crit]]), Buckets_10_23[[#This Row],[S Cap Diff]], 0)</f>
        <v>283.72180333508817</v>
      </c>
      <c r="AZ15" s="31">
        <f>AX$41/Buckets_10_23[[#Totals],[NC To Fill]]*Buckets_10_23[[#This Row],[NC To Fill]]</f>
        <v>168.52290288390623</v>
      </c>
      <c r="BA15" s="31">
        <f>Buckets_10_23[[#This Row],[Crit Filled]]+Buckets_10_23[[#This Row],[Scaled]]</f>
        <v>484.80109954881806</v>
      </c>
      <c r="BB15" s="31">
        <f>Buckets_10_23[[#This Row],[NC Filled]]</f>
        <v>484.80109954881806</v>
      </c>
      <c r="BC15" s="31">
        <f>Buckets_10_23[[#This Row],[Capacity]]-Buckets_10_23[[#This Row],[Final]]</f>
        <v>115.19890045118194</v>
      </c>
      <c r="BD15" s="33">
        <f>IF(Buckets_10_23[[#This Row],[Capacity]]=0, 1, Buckets_10_23[[#This Row],[Final]]/Buckets_10_23[[#This Row],[Capacity]])</f>
        <v>0.80800183258136338</v>
      </c>
      <c r="BF15" s="31">
        <f>Buckets_10_23[[#This Row],[Final]]</f>
        <v>484.80109954881806</v>
      </c>
      <c r="BG15" s="31">
        <f>Buckets_10_23[[#This Row],[Capacity]]</f>
        <v>600</v>
      </c>
      <c r="BH15" t="b">
        <f t="shared" si="19"/>
        <v>0</v>
      </c>
      <c r="BI15" s="43" t="e">
        <f>NA()</f>
        <v>#N/A</v>
      </c>
      <c r="BJ15" s="42"/>
      <c r="BK15" s="43" t="e">
        <f>NA()</f>
        <v>#N/A</v>
      </c>
      <c r="BL15" s="42"/>
      <c r="BM15" s="43"/>
      <c r="BN15" s="31">
        <f t="shared" si="20"/>
        <v>484.80109954881806</v>
      </c>
      <c r="BO15" s="31">
        <f t="shared" si="1"/>
        <v>600</v>
      </c>
      <c r="BP15" t="b">
        <f t="shared" si="2"/>
        <v>0</v>
      </c>
      <c r="BR15" s="29">
        <f t="shared" si="21"/>
        <v>484.80109954881806</v>
      </c>
      <c r="BS15" s="29">
        <f>GetTransactionTotal(AggregateTable2023[], AggregateTable2023[Start], BR$1, AggregateTable2023[#Headers], $D15)</f>
        <v>-252.23999999999998</v>
      </c>
      <c r="BT15" s="29">
        <f>Buckets_11_23[[#This Row],[Start]]+Buckets_11_23[[#This Row],[Transactions]]</f>
        <v>232.56109954881808</v>
      </c>
      <c r="BU15" s="29">
        <f t="shared" si="22"/>
        <v>600</v>
      </c>
      <c r="BV15" s="29">
        <f>Buckets_11_23[[#This Row],[Capacity]]-Buckets_11_23[[#This Row],[After T]]</f>
        <v>367.43890045118189</v>
      </c>
      <c r="BW15" s="29">
        <f>MAX(-Buckets_11_23[[#This Row],[Cap Diff]], 0)</f>
        <v>0</v>
      </c>
      <c r="BX15" s="29">
        <f>Buckets_11_23[[#This Row],[After T]]-Buckets_11_23[[#This Row],[Slush]]</f>
        <v>232.56109954881808</v>
      </c>
      <c r="BY15" s="29">
        <f>Buckets_11_23[[#This Row],[Capacity]]-Buckets_11_23[[#This Row],[Before Fill]]</f>
        <v>367.43890045118189</v>
      </c>
      <c r="BZ15" t="b">
        <f>OR(BP15, Buckets_11_23[[#This Row],[After T]]&lt;0)</f>
        <v>0</v>
      </c>
      <c r="CA15" s="29">
        <f>IF(Buckets_11_23[[#This Row],[Is Crit]], Buckets_11_23[[#This Row],[S Cap Diff]], 0)</f>
        <v>0</v>
      </c>
      <c r="CB15" s="29">
        <f>Buckets_11_23[[#This Row],[Before Fill]]+Buckets_11_23[[#This Row],[Crit To Fill]]</f>
        <v>232.56109954881808</v>
      </c>
      <c r="CC15" s="29">
        <f>IF(NOT(Buckets_11_23[[#This Row],[Is Crit]]), Buckets_11_23[[#This Row],[S Cap Diff]], 0)</f>
        <v>367.43890045118189</v>
      </c>
      <c r="CD15" s="31">
        <f>CB$41/Buckets_11_23[[#Totals],[NC To Fill]]*Buckets_11_23[[#This Row],[NC To Fill]]</f>
        <v>362.36936107342649</v>
      </c>
      <c r="CE15" s="31">
        <f>Buckets_11_23[[#This Row],[Crit Filled]]+Buckets_11_23[[#This Row],[Scaled]]</f>
        <v>594.9304606222446</v>
      </c>
      <c r="CF15" s="31">
        <f>Buckets_11_23[[#This Row],[NC Filled]]</f>
        <v>594.9304606222446</v>
      </c>
      <c r="CG15" s="31">
        <f>Buckets_11_23[[#This Row],[Capacity]]-Buckets_11_23[[#This Row],[Final]]</f>
        <v>5.0695393777554045</v>
      </c>
      <c r="CH15" s="33">
        <f>IF(Buckets_11_23[[#This Row],[Capacity]]=0, 1, Buckets_11_23[[#This Row],[Final]]/Buckets_11_23[[#This Row],[Capacity]])</f>
        <v>0.99155076770374095</v>
      </c>
      <c r="CJ15" s="40">
        <f>Buckets_11_23[[#This Row],[Final]]</f>
        <v>594.9304606222446</v>
      </c>
      <c r="CK15" s="40">
        <f>Buckets_11_23[[#This Row],[Capacity]]</f>
        <v>600</v>
      </c>
      <c r="CL15" s="41" t="b">
        <f t="shared" si="23"/>
        <v>0</v>
      </c>
      <c r="CM15" s="42">
        <v>-300</v>
      </c>
      <c r="CN15" s="42"/>
      <c r="CO15" s="42" t="e">
        <f>NA()</f>
        <v>#N/A</v>
      </c>
      <c r="CP15" s="42"/>
      <c r="CQ15" s="43" t="b">
        <v>1</v>
      </c>
      <c r="CR15" s="40">
        <f t="shared" si="24"/>
        <v>294.9304606222446</v>
      </c>
      <c r="CS15" s="40">
        <f t="shared" si="3"/>
        <v>600</v>
      </c>
      <c r="CT15" s="41" t="b">
        <f t="shared" si="4"/>
        <v>1</v>
      </c>
      <c r="CV15" s="29">
        <f t="shared" si="25"/>
        <v>294.9304606222446</v>
      </c>
      <c r="CW15" s="29">
        <f>GetTransactionTotal(AggregateTable2023[], AggregateTable2023[Start], CV$1, AggregateTable2023[#Headers], $D15)</f>
        <v>-209.10999999999999</v>
      </c>
      <c r="CX15" s="29">
        <f>Buckets_12_23[[#This Row],[Start]]+Buckets_12_23[[#This Row],[Transactions]]</f>
        <v>85.82046062224461</v>
      </c>
      <c r="CY15" s="29">
        <f t="shared" si="26"/>
        <v>600</v>
      </c>
      <c r="CZ15" s="29">
        <f>Buckets_12_23[[#This Row],[Capacity]]-Buckets_12_23[[#This Row],[After T]]</f>
        <v>514.17953937775542</v>
      </c>
      <c r="DA15" s="29">
        <f>MAX(-Buckets_12_23[[#This Row],[Cap Diff]], 0)</f>
        <v>0</v>
      </c>
      <c r="DB15" s="29">
        <f>Buckets_12_23[[#This Row],[After T]]-Buckets_12_23[[#This Row],[Slush]]</f>
        <v>85.82046062224461</v>
      </c>
      <c r="DC15" s="29">
        <f>Buckets_12_23[[#This Row],[Capacity]]-Buckets_12_23[[#This Row],[Before Fill]]</f>
        <v>514.17953937775542</v>
      </c>
      <c r="DD15" t="b">
        <f>OR(CT15, Buckets_12_23[[#This Row],[After T]]&lt;0)</f>
        <v>1</v>
      </c>
      <c r="DE15" s="29">
        <f>IF(Buckets_12_23[[#This Row],[Is Crit]], Buckets_12_23[[#This Row],[S Cap Diff]], 0)</f>
        <v>514.17953937775542</v>
      </c>
      <c r="DF15" s="29">
        <f>Buckets_12_23[[#This Row],[Before Fill]]+Buckets_12_23[[#This Row],[Crit To Fill]]</f>
        <v>600</v>
      </c>
      <c r="DG15" s="29">
        <f>IF(NOT(Buckets_12_23[[#This Row],[Is Crit]]), Buckets_12_23[[#This Row],[S Cap Diff]], 0)</f>
        <v>0</v>
      </c>
      <c r="DH15" s="31">
        <f>DF$41/Buckets_12_23[[#Totals],[NC To Fill]]*Buckets_12_23[[#This Row],[NC To Fill]]</f>
        <v>0</v>
      </c>
      <c r="DI15" s="31">
        <f>Buckets_12_23[[#This Row],[Crit Filled]]+Buckets_12_23[[#This Row],[Scaled]]</f>
        <v>600</v>
      </c>
      <c r="DJ15" s="31">
        <f>Buckets_12_23[[#This Row],[NC Filled]]</f>
        <v>600</v>
      </c>
      <c r="DK15" s="31">
        <f>Buckets_12_23[[#This Row],[Capacity]]-Buckets_12_23[[#This Row],[Final]]</f>
        <v>0</v>
      </c>
      <c r="DL15" s="33">
        <f>IF(Buckets_12_23[[#This Row],[Capacity]]=0, 1, Buckets_12_23[[#This Row],[Final]]/Buckets_12_23[[#This Row],[Capacity]])</f>
        <v>1</v>
      </c>
      <c r="DN15" s="40">
        <f>Buckets_12_23[[#This Row],[Final]]</f>
        <v>600</v>
      </c>
      <c r="DO15" s="40">
        <f>Buckets_12_23[[#This Row],[Capacity]]</f>
        <v>600</v>
      </c>
      <c r="DP15" s="41" t="b">
        <f t="shared" si="27"/>
        <v>1</v>
      </c>
      <c r="DQ15" s="42"/>
      <c r="DR15" s="42"/>
      <c r="DS15" s="42" t="e">
        <f>NA()</f>
        <v>#N/A</v>
      </c>
      <c r="DT15" s="42"/>
      <c r="DU15" s="43"/>
      <c r="DV15" s="40">
        <f t="shared" si="28"/>
        <v>600</v>
      </c>
      <c r="DW15" s="40">
        <f t="shared" si="5"/>
        <v>600</v>
      </c>
      <c r="DX15" s="41" t="b">
        <f t="shared" si="6"/>
        <v>1</v>
      </c>
      <c r="DZ15" s="29">
        <f t="shared" si="29"/>
        <v>600</v>
      </c>
      <c r="EA15" s="29">
        <f>GetTransactionTotal(AggregateTable2024[], AggregateTable2024[Start], DZ$1, AggregateTable2024[#Headers], $D15)</f>
        <v>-322.66999999999996</v>
      </c>
      <c r="EB15" s="29">
        <f>Buckets_1_24[[#This Row],[Start]]+Buckets_1_24[[#This Row],[Transactions]]</f>
        <v>277.33000000000004</v>
      </c>
      <c r="EC15" s="29">
        <f t="shared" si="30"/>
        <v>600</v>
      </c>
      <c r="ED15" s="29">
        <f>Buckets_1_24[[#This Row],[Capacity]]-Buckets_1_24[[#This Row],[After T]]</f>
        <v>322.66999999999996</v>
      </c>
      <c r="EE15" s="29">
        <f>MAX(-Buckets_1_24[[#This Row],[Cap Diff]], 0)</f>
        <v>0</v>
      </c>
      <c r="EF15" s="29">
        <f>Buckets_1_24[[#This Row],[After T]]-Buckets_1_24[[#This Row],[Slush]]</f>
        <v>277.33000000000004</v>
      </c>
      <c r="EG15" s="29">
        <f>Buckets_1_24[[#This Row],[Capacity]]-Buckets_1_24[[#This Row],[Before Fill]]</f>
        <v>322.66999999999996</v>
      </c>
      <c r="EH15" t="b">
        <f>OR(DX15, Buckets_1_24[[#This Row],[After T]]&lt;0)</f>
        <v>1</v>
      </c>
      <c r="EI15" s="29">
        <f>IF(Buckets_1_24[[#This Row],[Is Crit]], Buckets_1_24[[#This Row],[S Cap Diff]], 0)</f>
        <v>322.66999999999996</v>
      </c>
      <c r="EJ15" s="29">
        <f>Buckets_1_24[[#This Row],[Before Fill]]+Buckets_1_24[[#This Row],[Crit To Fill]]</f>
        <v>600</v>
      </c>
      <c r="EK15" s="29">
        <f>IF(NOT(Buckets_1_24[[#This Row],[Is Crit]]), Buckets_1_24[[#This Row],[S Cap Diff]], 0)</f>
        <v>0</v>
      </c>
      <c r="EL15" s="31">
        <f>EJ$41/Buckets_1_24[[#Totals],[NC To Fill]]*Buckets_1_24[[#This Row],[NC To Fill]]</f>
        <v>0</v>
      </c>
      <c r="EM15" s="31">
        <f>Buckets_1_24[[#This Row],[Crit Filled]]+Buckets_1_24[[#This Row],[Scaled]]</f>
        <v>600</v>
      </c>
      <c r="EN15" s="31">
        <f>Buckets_1_24[[#This Row],[NC Filled]]</f>
        <v>600</v>
      </c>
      <c r="EO15" s="31">
        <f>Buckets_1_24[[#This Row],[Capacity]]-Buckets_1_24[[#This Row],[Final]]</f>
        <v>0</v>
      </c>
      <c r="EP15" s="33">
        <f>IF(Buckets_1_24[[#This Row],[Capacity]]=0, 1, Buckets_1_24[[#This Row],[Final]]/Buckets_1_24[[#This Row],[Capacity]])</f>
        <v>1</v>
      </c>
      <c r="ER15" s="40">
        <f>Buckets_1_24[[#This Row],[Final]]</f>
        <v>600</v>
      </c>
      <c r="ES15" s="40">
        <f>Buckets_1_24[[#This Row],[Capacity]]</f>
        <v>600</v>
      </c>
      <c r="ET15" s="41" t="b">
        <f t="shared" si="31"/>
        <v>1</v>
      </c>
      <c r="EU15" s="42"/>
      <c r="EV15" s="42"/>
      <c r="EW15" s="42"/>
      <c r="EX15" s="42"/>
      <c r="EY15" s="43"/>
      <c r="EZ15" s="40">
        <f t="shared" si="32"/>
        <v>600</v>
      </c>
      <c r="FA15" s="40">
        <f t="shared" si="33"/>
        <v>600</v>
      </c>
      <c r="FB15" s="41" t="b">
        <f t="shared" si="7"/>
        <v>1</v>
      </c>
      <c r="FD15" s="29">
        <f t="shared" si="34"/>
        <v>600</v>
      </c>
      <c r="FE15" s="29">
        <f>GetTransactionTotal(AggregateTable2024[], AggregateTable2024[Start], FD$1, AggregateTable2024[#Headers], $D15)</f>
        <v>-288.81</v>
      </c>
      <c r="FF15" s="29">
        <f>Buckets_2_24[[#This Row],[Start]]+Buckets_2_24[[#This Row],[Transactions]]</f>
        <v>311.19</v>
      </c>
      <c r="FG15" s="29">
        <f t="shared" si="35"/>
        <v>600</v>
      </c>
      <c r="FH15" s="29">
        <f>Buckets_2_24[[#This Row],[Capacity]]-Buckets_2_24[[#This Row],[After T]]</f>
        <v>288.81</v>
      </c>
      <c r="FI15" s="29">
        <f>MAX(-Buckets_2_24[[#This Row],[Cap Diff]], 0)</f>
        <v>0</v>
      </c>
      <c r="FJ15" s="29">
        <f>Buckets_2_24[[#This Row],[After T]]-Buckets_2_24[[#This Row],[Slush]]</f>
        <v>311.19</v>
      </c>
      <c r="FK15" s="29">
        <f>Buckets_2_24[[#This Row],[Capacity]]-Buckets_2_24[[#This Row],[Before Fill]]</f>
        <v>288.81</v>
      </c>
      <c r="FL15" t="b">
        <f>OR(FB15, Buckets_2_24[[#This Row],[After T]]&lt;0)</f>
        <v>1</v>
      </c>
      <c r="FM15" s="29">
        <f>IF(Buckets_2_24[[#This Row],[Is Crit]], Buckets_2_24[[#This Row],[S Cap Diff]], 0)</f>
        <v>288.81</v>
      </c>
      <c r="FN15" s="29">
        <f>Buckets_2_24[[#This Row],[Before Fill]]+Buckets_2_24[[#This Row],[Crit To Fill]]</f>
        <v>600</v>
      </c>
      <c r="FO15" s="29">
        <f>IF(NOT(Buckets_2_24[[#This Row],[Is Crit]]), Buckets_2_24[[#This Row],[S Cap Diff]], 0)</f>
        <v>0</v>
      </c>
      <c r="FP15" s="31">
        <f>FN$41/Buckets_2_24[[#Totals],[NC To Fill]]*Buckets_2_24[[#This Row],[NC To Fill]]</f>
        <v>0</v>
      </c>
      <c r="FQ15" s="31">
        <f>Buckets_2_24[[#This Row],[Crit Filled]]+Buckets_2_24[[#This Row],[Scaled]]</f>
        <v>600</v>
      </c>
      <c r="FR15" s="31">
        <f>Buckets_2_24[[#This Row],[NC Filled]]</f>
        <v>600</v>
      </c>
      <c r="FS15" s="31">
        <f>Buckets_2_24[[#This Row],[Capacity]]-Buckets_2_24[[#This Row],[Final]]</f>
        <v>0</v>
      </c>
      <c r="FT15" s="33">
        <f>IF(Buckets_2_24[[#This Row],[Capacity]]=0, 1, Buckets_2_24[[#This Row],[Final]]/Buckets_2_24[[#This Row],[Capacity]])</f>
        <v>1</v>
      </c>
      <c r="FV15" s="40">
        <f>Buckets_2_24[[#This Row],[Final]]</f>
        <v>600</v>
      </c>
      <c r="FW15" s="40">
        <f>Buckets_2_24[[#This Row],[Capacity]]</f>
        <v>600</v>
      </c>
      <c r="FX15" s="41" t="b">
        <f t="shared" si="36"/>
        <v>1</v>
      </c>
      <c r="FY15" s="42"/>
      <c r="FZ15" s="42"/>
      <c r="GA15" s="42"/>
      <c r="GB15" s="42"/>
      <c r="GC15" s="43"/>
      <c r="GD15" s="40">
        <f t="shared" si="37"/>
        <v>600</v>
      </c>
      <c r="GE15" s="40">
        <f t="shared" si="38"/>
        <v>600</v>
      </c>
      <c r="GF15" s="41" t="b">
        <f t="shared" si="8"/>
        <v>1</v>
      </c>
      <c r="GH15" s="29">
        <f t="shared" si="39"/>
        <v>600</v>
      </c>
      <c r="GI15" s="29">
        <f>GetTransactionTotal(AggregateTable2024[], AggregateTable2024[Start], GH$1, AggregateTable2024[#Headers], $D15)</f>
        <v>-257.33</v>
      </c>
      <c r="GJ15" s="29">
        <f>Buckets_3_24[[#This Row],[Start]]+Buckets_3_24[[#This Row],[Transactions]]</f>
        <v>342.67</v>
      </c>
      <c r="GK15" s="29">
        <f t="shared" si="40"/>
        <v>600</v>
      </c>
      <c r="GL15" s="29">
        <f>Buckets_3_24[[#This Row],[Capacity]]-Buckets_3_24[[#This Row],[After T]]</f>
        <v>257.33</v>
      </c>
      <c r="GM15" s="29">
        <f>MAX(-Buckets_3_24[[#This Row],[Cap Diff]], 0)</f>
        <v>0</v>
      </c>
      <c r="GN15" s="29">
        <f>Buckets_3_24[[#This Row],[After T]]-Buckets_3_24[[#This Row],[Slush]]</f>
        <v>342.67</v>
      </c>
      <c r="GO15" s="29">
        <f>Buckets_3_24[[#This Row],[Capacity]]-Buckets_3_24[[#This Row],[Before Fill]]</f>
        <v>257.33</v>
      </c>
      <c r="GP15" t="b">
        <f>OR(GF15, Buckets_3_24[[#This Row],[After T]]&lt;0)</f>
        <v>1</v>
      </c>
      <c r="GQ15" s="29">
        <f>IF(Buckets_3_24[[#This Row],[Is Crit]], Buckets_3_24[[#This Row],[S Cap Diff]], 0)</f>
        <v>257.33</v>
      </c>
      <c r="GR15" s="29">
        <f>Buckets_3_24[[#This Row],[Before Fill]]+Buckets_3_24[[#This Row],[Crit To Fill]]</f>
        <v>600</v>
      </c>
      <c r="GS15" s="29">
        <f>IF(NOT(Buckets_3_24[[#This Row],[Is Crit]]), Buckets_3_24[[#This Row],[S Cap Diff]], 0)</f>
        <v>0</v>
      </c>
      <c r="GT15" s="31">
        <f>GR$41/Buckets_3_24[[#Totals],[NC To Fill]]*Buckets_3_24[[#This Row],[NC To Fill]]</f>
        <v>0</v>
      </c>
      <c r="GU15" s="31">
        <f>Buckets_3_24[[#This Row],[Crit Filled]]+Buckets_3_24[[#This Row],[Scaled]]</f>
        <v>600</v>
      </c>
      <c r="GV15" s="31">
        <f>Buckets_3_24[[#This Row],[NC Filled]]</f>
        <v>600</v>
      </c>
      <c r="GW15" s="31">
        <f>Buckets_3_24[[#This Row],[Capacity]]-Buckets_3_24[[#This Row],[Final]]</f>
        <v>0</v>
      </c>
      <c r="GX15" s="33">
        <f>IF(Buckets_3_24[[#This Row],[Capacity]]=0, 1, Buckets_3_24[[#This Row],[Final]]/Buckets_3_24[[#This Row],[Capacity]])</f>
        <v>1</v>
      </c>
      <c r="GZ15" s="40">
        <f>Buckets_3_24[[#This Row],[Final]]</f>
        <v>600</v>
      </c>
      <c r="HA15" s="40">
        <f>Buckets_3_24[[#This Row],[Capacity]]</f>
        <v>600</v>
      </c>
      <c r="HB15" s="41" t="b">
        <f t="shared" si="41"/>
        <v>1</v>
      </c>
      <c r="HC15" s="42"/>
      <c r="HD15" s="42"/>
      <c r="HE15" s="42"/>
      <c r="HF15" s="42"/>
      <c r="HG15" s="43"/>
      <c r="HH15" s="40">
        <f t="shared" si="42"/>
        <v>600</v>
      </c>
      <c r="HI15" s="40">
        <f t="shared" si="43"/>
        <v>600</v>
      </c>
      <c r="HJ15" s="41" t="b">
        <f t="shared" si="9"/>
        <v>1</v>
      </c>
      <c r="HL15" s="29">
        <f t="shared" si="44"/>
        <v>600</v>
      </c>
      <c r="HM15" s="29">
        <f>GetTransactionTotal(AggregateTable2024[], AggregateTable2024[Start], HL$1, AggregateTable2024[#Headers], $D15)</f>
        <v>-400.66</v>
      </c>
      <c r="HN15" s="29">
        <f>Buckets_4_24[[#This Row],[Start]]+Buckets_4_24[[#This Row],[Transactions]]</f>
        <v>199.33999999999997</v>
      </c>
      <c r="HO15" s="29">
        <f t="shared" si="45"/>
        <v>600</v>
      </c>
      <c r="HP15" s="29">
        <f>Buckets_4_24[[#This Row],[Capacity]]-Buckets_4_24[[#This Row],[After T]]</f>
        <v>400.66</v>
      </c>
      <c r="HQ15" s="29">
        <f>MAX(-Buckets_4_24[[#This Row],[Cap Diff]], 0)</f>
        <v>0</v>
      </c>
      <c r="HR15" s="29">
        <f>Buckets_4_24[[#This Row],[After T]]-Buckets_4_24[[#This Row],[Slush]]</f>
        <v>199.33999999999997</v>
      </c>
      <c r="HS15" s="29">
        <f>Buckets_4_24[[#This Row],[Capacity]]-Buckets_4_24[[#This Row],[Before Fill]]</f>
        <v>400.66</v>
      </c>
      <c r="HT15" t="b">
        <f>OR(HJ15, Buckets_4_24[[#This Row],[After T]]&lt;0)</f>
        <v>1</v>
      </c>
      <c r="HU15" s="29">
        <f>IF(Buckets_4_24[[#This Row],[Is Crit]], Buckets_4_24[[#This Row],[S Cap Diff]], 0)</f>
        <v>400.66</v>
      </c>
      <c r="HV15" s="29">
        <f>Buckets_4_24[[#This Row],[Before Fill]]+Buckets_4_24[[#This Row],[Crit To Fill]]</f>
        <v>600</v>
      </c>
      <c r="HW15" s="29">
        <f>IF(NOT(Buckets_4_24[[#This Row],[Is Crit]]), Buckets_4_24[[#This Row],[S Cap Diff]], 0)</f>
        <v>0</v>
      </c>
      <c r="HX15" s="31">
        <f>HV$41/Buckets_4_24[[#Totals],[NC To Fill]]*Buckets_4_24[[#This Row],[NC To Fill]]</f>
        <v>0</v>
      </c>
      <c r="HY15" s="31">
        <f>Buckets_4_24[[#This Row],[Crit Filled]]+Buckets_4_24[[#This Row],[Scaled]]</f>
        <v>600</v>
      </c>
      <c r="HZ15" s="31">
        <f>Buckets_4_24[[#This Row],[NC Filled]]</f>
        <v>600</v>
      </c>
      <c r="IA15" s="31">
        <f>Buckets_4_24[[#This Row],[Capacity]]-Buckets_4_24[[#This Row],[Final]]</f>
        <v>0</v>
      </c>
      <c r="IB15" s="33">
        <f>IF(Buckets_4_24[[#This Row],[Capacity]]=0, 1, Buckets_4_24[[#This Row],[Final]]/Buckets_4_24[[#This Row],[Capacity]])</f>
        <v>1</v>
      </c>
      <c r="ID15" s="40">
        <f>Buckets_4_24[[#This Row],[Final]]</f>
        <v>600</v>
      </c>
      <c r="IE15" s="40">
        <f>Buckets_4_24[[#This Row],[Capacity]]</f>
        <v>600</v>
      </c>
      <c r="IF15" s="41" t="b">
        <f t="shared" si="46"/>
        <v>1</v>
      </c>
      <c r="IG15" s="42"/>
      <c r="IH15" s="42"/>
      <c r="II15" s="42"/>
      <c r="IJ15" s="42"/>
      <c r="IK15" s="43"/>
      <c r="IL15" s="40">
        <f t="shared" si="47"/>
        <v>600</v>
      </c>
      <c r="IM15" s="40">
        <f t="shared" si="48"/>
        <v>600</v>
      </c>
      <c r="IN15" s="41" t="b">
        <f t="shared" si="10"/>
        <v>1</v>
      </c>
    </row>
    <row r="16" spans="1:248" x14ac:dyDescent="0.25">
      <c r="A16" s="49"/>
      <c r="B16" t="s">
        <v>323</v>
      </c>
      <c r="C16" t="s">
        <v>329</v>
      </c>
      <c r="D16" t="s">
        <v>292</v>
      </c>
      <c r="F16" s="30">
        <v>200</v>
      </c>
      <c r="G16" s="38">
        <v>600</v>
      </c>
      <c r="H16" t="b">
        <v>0</v>
      </c>
      <c r="J16" s="29">
        <f t="shared" si="11"/>
        <v>200</v>
      </c>
      <c r="K16" s="29">
        <f>GetTransactionTotal(AggregateTable2023[], AggregateTable2023[Start], J$1, AggregateTable2023[#Headers], $D16)</f>
        <v>-116.61</v>
      </c>
      <c r="L16" s="29">
        <f>Buckets_9_23[[#This Row],[Start]]+Buckets_9_23[[#This Row],[Transactions]]</f>
        <v>83.39</v>
      </c>
      <c r="M16" s="29">
        <f t="shared" si="12"/>
        <v>600</v>
      </c>
      <c r="N16" s="29">
        <f>Buckets_9_23[[#This Row],[Capacity]]-Buckets_9_23[[#This Row],[After T]]</f>
        <v>516.61</v>
      </c>
      <c r="O16" s="29">
        <f>IF(Buckets_9_23[[#This Row],[After T]]&lt;0, Buckets_9_23[[#This Row],[After T]], IF(Buckets_9_23[[#This Row],[Cap Diff]]&lt;0, -Buckets_9_23[[#This Row],[Cap Diff]], 0))</f>
        <v>0</v>
      </c>
      <c r="P16" s="29">
        <f>Buckets_9_23[[#This Row],[After T]]-Buckets_9_23[[#This Row],[Slush]]</f>
        <v>83.39</v>
      </c>
      <c r="Q16" s="29">
        <f>Buckets_9_23[[#This Row],[Capacity]]-Buckets_9_23[[#This Row],[Before Fill]]</f>
        <v>516.61</v>
      </c>
      <c r="R16" t="b">
        <f t="shared" si="0"/>
        <v>0</v>
      </c>
      <c r="S16" s="29">
        <f>IF(Buckets_9_23[[#This Row],[Is Crit]], Buckets_9_23[[#This Row],[S Cap Diff]], 0)</f>
        <v>0</v>
      </c>
      <c r="T16" s="29">
        <f>Buckets_9_23[[#This Row],[Before Fill]]+Buckets_9_23[[#This Row],[Crit To Fill]]</f>
        <v>83.39</v>
      </c>
      <c r="U16" s="29">
        <f>IF(NOT(Buckets_9_23[[#This Row],[Is Crit]]), Buckets_9_23[[#This Row],[S Cap Diff]], 0)</f>
        <v>516.61</v>
      </c>
      <c r="V16" s="31">
        <f>T$41/Buckets_9_23[[#Totals],[NC To Fill]]*Buckets_9_23[[#This Row],[NC To Fill]]</f>
        <v>450.90629883609478</v>
      </c>
      <c r="W16" s="31">
        <f>Buckets_9_23[[#This Row],[Crit Filled]]+Buckets_9_23[[#This Row],[Scaled]]</f>
        <v>534.29629883609482</v>
      </c>
      <c r="X16" s="31">
        <f>Buckets_9_23[[#This Row],[NC Filled]]</f>
        <v>534.29629883609482</v>
      </c>
      <c r="Y16" s="31">
        <f>Buckets_9_23[[#This Row],[Capacity]]-Buckets_9_23[[#This Row],[Final]]</f>
        <v>65.70370116390518</v>
      </c>
      <c r="Z16" s="33">
        <f>IF(Buckets_9_23[[#This Row],[Capacity]]=0, 1, Buckets_9_23[[#This Row],[Final]]/Buckets_9_23[[#This Row],[Capacity]])</f>
        <v>0.89049383139349136</v>
      </c>
      <c r="AB16" s="31">
        <f>Buckets_9_23[[#This Row],[Final]]</f>
        <v>534.29629883609482</v>
      </c>
      <c r="AC16" s="31">
        <f>Buckets_9_23[[#This Row],[Capacity]]</f>
        <v>600</v>
      </c>
      <c r="AD16" t="b">
        <f t="shared" si="13"/>
        <v>0</v>
      </c>
      <c r="AE16" s="43" t="e">
        <f>NA()</f>
        <v>#N/A</v>
      </c>
      <c r="AF16" s="42"/>
      <c r="AG16" s="43" t="e">
        <f>NA()</f>
        <v>#N/A</v>
      </c>
      <c r="AH16" s="42"/>
      <c r="AI16" s="43"/>
      <c r="AJ16" s="31">
        <f t="shared" si="14"/>
        <v>534.29629883609482</v>
      </c>
      <c r="AK16" s="31">
        <f t="shared" si="15"/>
        <v>600</v>
      </c>
      <c r="AL16" t="b">
        <f t="shared" si="16"/>
        <v>0</v>
      </c>
      <c r="AN16" s="29">
        <f t="shared" si="17"/>
        <v>534.29629883609482</v>
      </c>
      <c r="AO16" s="29">
        <f>GetTransactionTotal(AggregateTable2023[], AggregateTable2023[Start], AN$1, AggregateTable2023[#Headers], $D16)</f>
        <v>-451.46999999999991</v>
      </c>
      <c r="AP16" s="29">
        <f>Buckets_10_23[[#This Row],[Start]]+Buckets_10_23[[#This Row],[Transactions]]</f>
        <v>82.826298836094907</v>
      </c>
      <c r="AQ16" s="29">
        <f t="shared" si="18"/>
        <v>600</v>
      </c>
      <c r="AR16" s="29">
        <f>Buckets_10_23[[#This Row],[Capacity]]-Buckets_10_23[[#This Row],[After T]]</f>
        <v>517.17370116390509</v>
      </c>
      <c r="AS16" s="29">
        <f>MAX(-Buckets_10_23[[#This Row],[Cap Diff]], 0)</f>
        <v>0</v>
      </c>
      <c r="AT16" s="29">
        <f>Buckets_10_23[[#This Row],[After T]]-Buckets_10_23[[#This Row],[Slush]]</f>
        <v>82.826298836094907</v>
      </c>
      <c r="AU16" s="29">
        <f>Buckets_10_23[[#This Row],[Capacity]]-Buckets_10_23[[#This Row],[Before Fill]]</f>
        <v>517.17370116390509</v>
      </c>
      <c r="AV16" t="b">
        <f>OR(AL16, Buckets_10_23[[#This Row],[After T]]&lt;0)</f>
        <v>0</v>
      </c>
      <c r="AW16" s="29">
        <f>IF(Buckets_10_23[[#This Row],[Is Crit]], Buckets_10_23[[#This Row],[S Cap Diff]], 0)</f>
        <v>0</v>
      </c>
      <c r="AX16" s="29">
        <f>Buckets_10_23[[#This Row],[Before Fill]]+Buckets_10_23[[#This Row],[Crit To Fill]]</f>
        <v>82.826298836094907</v>
      </c>
      <c r="AY16" s="29">
        <f>IF(NOT(Buckets_10_23[[#This Row],[Is Crit]]), Buckets_10_23[[#This Row],[S Cap Diff]], 0)</f>
        <v>517.17370116390509</v>
      </c>
      <c r="AZ16" s="31">
        <f>AX$41/Buckets_10_23[[#Totals],[NC To Fill]]*Buckets_10_23[[#This Row],[NC To Fill]]</f>
        <v>307.18687246048705</v>
      </c>
      <c r="BA16" s="31">
        <f>Buckets_10_23[[#This Row],[Crit Filled]]+Buckets_10_23[[#This Row],[Scaled]]</f>
        <v>390.01317129658196</v>
      </c>
      <c r="BB16" s="31">
        <f>Buckets_10_23[[#This Row],[NC Filled]]</f>
        <v>390.01317129658196</v>
      </c>
      <c r="BC16" s="31">
        <f>Buckets_10_23[[#This Row],[Capacity]]-Buckets_10_23[[#This Row],[Final]]</f>
        <v>209.98682870341804</v>
      </c>
      <c r="BD16" s="33">
        <f>IF(Buckets_10_23[[#This Row],[Capacity]]=0, 1, Buckets_10_23[[#This Row],[Final]]/Buckets_10_23[[#This Row],[Capacity]])</f>
        <v>0.65002195216096992</v>
      </c>
      <c r="BF16" s="31">
        <f>Buckets_10_23[[#This Row],[Final]]</f>
        <v>390.01317129658196</v>
      </c>
      <c r="BG16" s="31">
        <f>Buckets_10_23[[#This Row],[Capacity]]</f>
        <v>600</v>
      </c>
      <c r="BH16" t="b">
        <f t="shared" si="19"/>
        <v>0</v>
      </c>
      <c r="BI16" s="43" t="e">
        <f>NA()</f>
        <v>#N/A</v>
      </c>
      <c r="BJ16" s="42"/>
      <c r="BK16" s="43" t="e">
        <f>NA()</f>
        <v>#N/A</v>
      </c>
      <c r="BL16" s="42"/>
      <c r="BM16" s="43"/>
      <c r="BN16" s="31">
        <f t="shared" si="20"/>
        <v>390.01317129658196</v>
      </c>
      <c r="BO16" s="31">
        <f t="shared" si="1"/>
        <v>600</v>
      </c>
      <c r="BP16" t="b">
        <f t="shared" si="2"/>
        <v>0</v>
      </c>
      <c r="BR16" s="29">
        <f t="shared" si="21"/>
        <v>390.01317129658196</v>
      </c>
      <c r="BS16" s="29">
        <f>GetTransactionTotal(AggregateTable2023[], AggregateTable2023[Start], BR$1, AggregateTable2023[#Headers], $D16)</f>
        <v>-199.37000000000003</v>
      </c>
      <c r="BT16" s="29">
        <f>Buckets_11_23[[#This Row],[Start]]+Buckets_11_23[[#This Row],[Transactions]]</f>
        <v>190.64317129658193</v>
      </c>
      <c r="BU16" s="29">
        <f t="shared" si="22"/>
        <v>600</v>
      </c>
      <c r="BV16" s="29">
        <f>Buckets_11_23[[#This Row],[Capacity]]-Buckets_11_23[[#This Row],[After T]]</f>
        <v>409.35682870341805</v>
      </c>
      <c r="BW16" s="29">
        <f>MAX(-Buckets_11_23[[#This Row],[Cap Diff]], 0)</f>
        <v>0</v>
      </c>
      <c r="BX16" s="29">
        <f>Buckets_11_23[[#This Row],[After T]]-Buckets_11_23[[#This Row],[Slush]]</f>
        <v>190.64317129658193</v>
      </c>
      <c r="BY16" s="29">
        <f>Buckets_11_23[[#This Row],[Capacity]]-Buckets_11_23[[#This Row],[Before Fill]]</f>
        <v>409.35682870341805</v>
      </c>
      <c r="BZ16" t="b">
        <f>OR(BP16, Buckets_11_23[[#This Row],[After T]]&lt;0)</f>
        <v>0</v>
      </c>
      <c r="CA16" s="29">
        <f>IF(Buckets_11_23[[#This Row],[Is Crit]], Buckets_11_23[[#This Row],[S Cap Diff]], 0)</f>
        <v>0</v>
      </c>
      <c r="CB16" s="29">
        <f>Buckets_11_23[[#This Row],[Before Fill]]+Buckets_11_23[[#This Row],[Crit To Fill]]</f>
        <v>190.64317129658193</v>
      </c>
      <c r="CC16" s="29">
        <f>IF(NOT(Buckets_11_23[[#This Row],[Is Crit]]), Buckets_11_23[[#This Row],[S Cap Diff]], 0)</f>
        <v>409.35682870341805</v>
      </c>
      <c r="CD16" s="31">
        <f>CB$41/Buckets_11_23[[#Totals],[NC To Fill]]*Buckets_11_23[[#This Row],[NC To Fill]]</f>
        <v>403.70894939581939</v>
      </c>
      <c r="CE16" s="31">
        <f>Buckets_11_23[[#This Row],[Crit Filled]]+Buckets_11_23[[#This Row],[Scaled]]</f>
        <v>594.35212069240129</v>
      </c>
      <c r="CF16" s="31">
        <f>Buckets_11_23[[#This Row],[NC Filled]]</f>
        <v>594.35212069240129</v>
      </c>
      <c r="CG16" s="31">
        <f>Buckets_11_23[[#This Row],[Capacity]]-Buckets_11_23[[#This Row],[Final]]</f>
        <v>5.6478793075987141</v>
      </c>
      <c r="CH16" s="33">
        <f>IF(Buckets_11_23[[#This Row],[Capacity]]=0, 1, Buckets_11_23[[#This Row],[Final]]/Buckets_11_23[[#This Row],[Capacity]])</f>
        <v>0.99058686782066885</v>
      </c>
      <c r="CJ16" s="40">
        <f>Buckets_11_23[[#This Row],[Final]]</f>
        <v>594.35212069240129</v>
      </c>
      <c r="CK16" s="40">
        <f>Buckets_11_23[[#This Row],[Capacity]]</f>
        <v>600</v>
      </c>
      <c r="CL16" s="41" t="b">
        <f t="shared" si="23"/>
        <v>0</v>
      </c>
      <c r="CM16" s="42">
        <v>-300</v>
      </c>
      <c r="CN16" s="42"/>
      <c r="CO16" s="42" t="e">
        <f>NA()</f>
        <v>#N/A</v>
      </c>
      <c r="CP16" s="42"/>
      <c r="CQ16" s="43"/>
      <c r="CR16" s="40">
        <f t="shared" si="24"/>
        <v>294.35212069240129</v>
      </c>
      <c r="CS16" s="40">
        <f t="shared" si="3"/>
        <v>600</v>
      </c>
      <c r="CT16" s="41" t="b">
        <f t="shared" si="4"/>
        <v>0</v>
      </c>
      <c r="CV16" s="29">
        <f t="shared" si="25"/>
        <v>294.35212069240129</v>
      </c>
      <c r="CW16" s="29">
        <f>GetTransactionTotal(AggregateTable2023[], AggregateTable2023[Start], CV$1, AggregateTable2023[#Headers], $D16)</f>
        <v>-87.850000000000009</v>
      </c>
      <c r="CX16" s="29">
        <f>Buckets_12_23[[#This Row],[Start]]+Buckets_12_23[[#This Row],[Transactions]]</f>
        <v>206.50212069240126</v>
      </c>
      <c r="CY16" s="29">
        <f t="shared" si="26"/>
        <v>600</v>
      </c>
      <c r="CZ16" s="29">
        <f>Buckets_12_23[[#This Row],[Capacity]]-Buckets_12_23[[#This Row],[After T]]</f>
        <v>393.49787930759874</v>
      </c>
      <c r="DA16" s="29">
        <f>MAX(-Buckets_12_23[[#This Row],[Cap Diff]], 0)</f>
        <v>0</v>
      </c>
      <c r="DB16" s="29">
        <f>Buckets_12_23[[#This Row],[After T]]-Buckets_12_23[[#This Row],[Slush]]</f>
        <v>206.50212069240126</v>
      </c>
      <c r="DC16" s="29">
        <f>Buckets_12_23[[#This Row],[Capacity]]-Buckets_12_23[[#This Row],[Before Fill]]</f>
        <v>393.49787930759874</v>
      </c>
      <c r="DD16" t="b">
        <f>OR(CT16, Buckets_12_23[[#This Row],[After T]]&lt;0)</f>
        <v>0</v>
      </c>
      <c r="DE16" s="29">
        <f>IF(Buckets_12_23[[#This Row],[Is Crit]], Buckets_12_23[[#This Row],[S Cap Diff]], 0)</f>
        <v>0</v>
      </c>
      <c r="DF16" s="29">
        <f>Buckets_12_23[[#This Row],[Before Fill]]+Buckets_12_23[[#This Row],[Crit To Fill]]</f>
        <v>206.50212069240126</v>
      </c>
      <c r="DG16" s="29">
        <f>IF(NOT(Buckets_12_23[[#This Row],[Is Crit]]), Buckets_12_23[[#This Row],[S Cap Diff]], 0)</f>
        <v>393.49787930759874</v>
      </c>
      <c r="DH16" s="31">
        <f>DF$41/Buckets_12_23[[#Totals],[NC To Fill]]*Buckets_12_23[[#This Row],[NC To Fill]]</f>
        <v>179.91512537164979</v>
      </c>
      <c r="DI16" s="31">
        <f>Buckets_12_23[[#This Row],[Crit Filled]]+Buckets_12_23[[#This Row],[Scaled]]</f>
        <v>386.41724606405103</v>
      </c>
      <c r="DJ16" s="31">
        <f>Buckets_12_23[[#This Row],[NC Filled]]</f>
        <v>386.41724606405103</v>
      </c>
      <c r="DK16" s="31">
        <f>Buckets_12_23[[#This Row],[Capacity]]-Buckets_12_23[[#This Row],[Final]]</f>
        <v>213.58275393594897</v>
      </c>
      <c r="DL16" s="33">
        <f>IF(Buckets_12_23[[#This Row],[Capacity]]=0, 1, Buckets_12_23[[#This Row],[Final]]/Buckets_12_23[[#This Row],[Capacity]])</f>
        <v>0.64402874344008509</v>
      </c>
      <c r="DN16" s="40">
        <f>Buckets_12_23[[#This Row],[Final]]</f>
        <v>386.41724606405103</v>
      </c>
      <c r="DO16" s="40">
        <f>Buckets_12_23[[#This Row],[Capacity]]</f>
        <v>600</v>
      </c>
      <c r="DP16" s="41" t="b">
        <f t="shared" si="27"/>
        <v>0</v>
      </c>
      <c r="DQ16" s="42"/>
      <c r="DR16" s="42"/>
      <c r="DS16" s="42" t="e">
        <f>NA()</f>
        <v>#N/A</v>
      </c>
      <c r="DT16" s="42"/>
      <c r="DU16" s="43"/>
      <c r="DV16" s="40">
        <f t="shared" si="28"/>
        <v>386.41724606405103</v>
      </c>
      <c r="DW16" s="40">
        <f t="shared" si="5"/>
        <v>600</v>
      </c>
      <c r="DX16" s="41" t="b">
        <f t="shared" si="6"/>
        <v>0</v>
      </c>
      <c r="DZ16" s="29">
        <f t="shared" si="29"/>
        <v>386.41724606405103</v>
      </c>
      <c r="EA16" s="29">
        <f>GetTransactionTotal(AggregateTable2024[], AggregateTable2024[Start], DZ$1, AggregateTable2024[#Headers], $D16)</f>
        <v>-185.32999999999998</v>
      </c>
      <c r="EB16" s="29">
        <f>Buckets_1_24[[#This Row],[Start]]+Buckets_1_24[[#This Row],[Transactions]]</f>
        <v>201.08724606405104</v>
      </c>
      <c r="EC16" s="29">
        <f t="shared" si="30"/>
        <v>600</v>
      </c>
      <c r="ED16" s="29">
        <f>Buckets_1_24[[#This Row],[Capacity]]-Buckets_1_24[[#This Row],[After T]]</f>
        <v>398.91275393594896</v>
      </c>
      <c r="EE16" s="29">
        <f>MAX(-Buckets_1_24[[#This Row],[Cap Diff]], 0)</f>
        <v>0</v>
      </c>
      <c r="EF16" s="29">
        <f>Buckets_1_24[[#This Row],[After T]]-Buckets_1_24[[#This Row],[Slush]]</f>
        <v>201.08724606405104</v>
      </c>
      <c r="EG16" s="29">
        <f>Buckets_1_24[[#This Row],[Capacity]]-Buckets_1_24[[#This Row],[Before Fill]]</f>
        <v>398.91275393594896</v>
      </c>
      <c r="EH16" t="b">
        <f>OR(DX16, Buckets_1_24[[#This Row],[After T]]&lt;0)</f>
        <v>0</v>
      </c>
      <c r="EI16" s="29">
        <f>IF(Buckets_1_24[[#This Row],[Is Crit]], Buckets_1_24[[#This Row],[S Cap Diff]], 0)</f>
        <v>0</v>
      </c>
      <c r="EJ16" s="29">
        <f>Buckets_1_24[[#This Row],[Before Fill]]+Buckets_1_24[[#This Row],[Crit To Fill]]</f>
        <v>201.08724606405104</v>
      </c>
      <c r="EK16" s="29">
        <f>IF(NOT(Buckets_1_24[[#This Row],[Is Crit]]), Buckets_1_24[[#This Row],[S Cap Diff]], 0)</f>
        <v>398.91275393594896</v>
      </c>
      <c r="EL16" s="31">
        <f>EJ$41/Buckets_1_24[[#Totals],[NC To Fill]]*Buckets_1_24[[#This Row],[NC To Fill]]</f>
        <v>244.92940726368221</v>
      </c>
      <c r="EM16" s="31">
        <f>Buckets_1_24[[#This Row],[Crit Filled]]+Buckets_1_24[[#This Row],[Scaled]]</f>
        <v>446.01665332773325</v>
      </c>
      <c r="EN16" s="31">
        <f>Buckets_1_24[[#This Row],[NC Filled]]</f>
        <v>446.01665332773325</v>
      </c>
      <c r="EO16" s="31">
        <f>Buckets_1_24[[#This Row],[Capacity]]-Buckets_1_24[[#This Row],[Final]]</f>
        <v>153.98334667226675</v>
      </c>
      <c r="EP16" s="33">
        <f>IF(Buckets_1_24[[#This Row],[Capacity]]=0, 1, Buckets_1_24[[#This Row],[Final]]/Buckets_1_24[[#This Row],[Capacity]])</f>
        <v>0.74336108887955543</v>
      </c>
      <c r="ER16" s="40">
        <f>Buckets_1_24[[#This Row],[Final]]</f>
        <v>446.01665332773325</v>
      </c>
      <c r="ES16" s="40">
        <f>Buckets_1_24[[#This Row],[Capacity]]</f>
        <v>600</v>
      </c>
      <c r="ET16" s="41" t="b">
        <f t="shared" si="31"/>
        <v>0</v>
      </c>
      <c r="EU16" s="42"/>
      <c r="EV16" s="42"/>
      <c r="EW16" s="42"/>
      <c r="EX16" s="42"/>
      <c r="EY16" s="43"/>
      <c r="EZ16" s="40">
        <f t="shared" si="32"/>
        <v>446.01665332773325</v>
      </c>
      <c r="FA16" s="40">
        <f t="shared" si="33"/>
        <v>600</v>
      </c>
      <c r="FB16" s="41" t="b">
        <f t="shared" si="7"/>
        <v>0</v>
      </c>
      <c r="FD16" s="29">
        <f t="shared" si="34"/>
        <v>446.01665332773325</v>
      </c>
      <c r="FE16" s="29">
        <f>GetTransactionTotal(AggregateTable2024[], AggregateTable2024[Start], FD$1, AggregateTable2024[#Headers], $D16)</f>
        <v>-36.46</v>
      </c>
      <c r="FF16" s="29">
        <f>Buckets_2_24[[#This Row],[Start]]+Buckets_2_24[[#This Row],[Transactions]]</f>
        <v>409.55665332773327</v>
      </c>
      <c r="FG16" s="29">
        <f t="shared" si="35"/>
        <v>600</v>
      </c>
      <c r="FH16" s="29">
        <f>Buckets_2_24[[#This Row],[Capacity]]-Buckets_2_24[[#This Row],[After T]]</f>
        <v>190.44334667226673</v>
      </c>
      <c r="FI16" s="29">
        <f>MAX(-Buckets_2_24[[#This Row],[Cap Diff]], 0)</f>
        <v>0</v>
      </c>
      <c r="FJ16" s="29">
        <f>Buckets_2_24[[#This Row],[After T]]-Buckets_2_24[[#This Row],[Slush]]</f>
        <v>409.55665332773327</v>
      </c>
      <c r="FK16" s="29">
        <f>Buckets_2_24[[#This Row],[Capacity]]-Buckets_2_24[[#This Row],[Before Fill]]</f>
        <v>190.44334667226673</v>
      </c>
      <c r="FL16" t="b">
        <f>OR(FB16, Buckets_2_24[[#This Row],[After T]]&lt;0)</f>
        <v>0</v>
      </c>
      <c r="FM16" s="29">
        <f>IF(Buckets_2_24[[#This Row],[Is Crit]], Buckets_2_24[[#This Row],[S Cap Diff]], 0)</f>
        <v>0</v>
      </c>
      <c r="FN16" s="29">
        <f>Buckets_2_24[[#This Row],[Before Fill]]+Buckets_2_24[[#This Row],[Crit To Fill]]</f>
        <v>409.55665332773327</v>
      </c>
      <c r="FO16" s="29">
        <f>IF(NOT(Buckets_2_24[[#This Row],[Is Crit]]), Buckets_2_24[[#This Row],[S Cap Diff]], 0)</f>
        <v>190.44334667226673</v>
      </c>
      <c r="FP16" s="31">
        <f>FN$41/Buckets_2_24[[#Totals],[NC To Fill]]*Buckets_2_24[[#This Row],[NC To Fill]]</f>
        <v>183.46278539055004</v>
      </c>
      <c r="FQ16" s="31">
        <f>Buckets_2_24[[#This Row],[Crit Filled]]+Buckets_2_24[[#This Row],[Scaled]]</f>
        <v>593.01943871828325</v>
      </c>
      <c r="FR16" s="31">
        <f>Buckets_2_24[[#This Row],[NC Filled]]</f>
        <v>593.01943871828325</v>
      </c>
      <c r="FS16" s="31">
        <f>Buckets_2_24[[#This Row],[Capacity]]-Buckets_2_24[[#This Row],[Final]]</f>
        <v>6.9805612817167457</v>
      </c>
      <c r="FT16" s="33">
        <f>IF(Buckets_2_24[[#This Row],[Capacity]]=0, 1, Buckets_2_24[[#This Row],[Final]]/Buckets_2_24[[#This Row],[Capacity]])</f>
        <v>0.98836573119713877</v>
      </c>
      <c r="FV16" s="40">
        <f>Buckets_2_24[[#This Row],[Final]]</f>
        <v>593.01943871828325</v>
      </c>
      <c r="FW16" s="40">
        <f>Buckets_2_24[[#This Row],[Capacity]]</f>
        <v>600</v>
      </c>
      <c r="FX16" s="41" t="b">
        <f t="shared" si="36"/>
        <v>0</v>
      </c>
      <c r="FY16" s="42"/>
      <c r="FZ16" s="42"/>
      <c r="GA16" s="42"/>
      <c r="GB16" s="42"/>
      <c r="GC16" s="43"/>
      <c r="GD16" s="40">
        <f t="shared" si="37"/>
        <v>593.01943871828325</v>
      </c>
      <c r="GE16" s="40">
        <f t="shared" si="38"/>
        <v>600</v>
      </c>
      <c r="GF16" s="41" t="b">
        <f t="shared" si="8"/>
        <v>0</v>
      </c>
      <c r="GH16" s="29">
        <f t="shared" si="39"/>
        <v>593.01943871828325</v>
      </c>
      <c r="GI16" s="29">
        <f>GetTransactionTotal(AggregateTable2024[], AggregateTable2024[Start], GH$1, AggregateTable2024[#Headers], $D16)</f>
        <v>-113.94</v>
      </c>
      <c r="GJ16" s="29">
        <f>Buckets_3_24[[#This Row],[Start]]+Buckets_3_24[[#This Row],[Transactions]]</f>
        <v>479.07943871828326</v>
      </c>
      <c r="GK16" s="29">
        <f t="shared" si="40"/>
        <v>600</v>
      </c>
      <c r="GL16" s="29">
        <f>Buckets_3_24[[#This Row],[Capacity]]-Buckets_3_24[[#This Row],[After T]]</f>
        <v>120.92056128171674</v>
      </c>
      <c r="GM16" s="29">
        <f>MAX(-Buckets_3_24[[#This Row],[Cap Diff]], 0)</f>
        <v>0</v>
      </c>
      <c r="GN16" s="29">
        <f>Buckets_3_24[[#This Row],[After T]]-Buckets_3_24[[#This Row],[Slush]]</f>
        <v>479.07943871828326</v>
      </c>
      <c r="GO16" s="29">
        <f>Buckets_3_24[[#This Row],[Capacity]]-Buckets_3_24[[#This Row],[Before Fill]]</f>
        <v>120.92056128171674</v>
      </c>
      <c r="GP16" t="b">
        <f>OR(GF16, Buckets_3_24[[#This Row],[After T]]&lt;0)</f>
        <v>0</v>
      </c>
      <c r="GQ16" s="29">
        <f>IF(Buckets_3_24[[#This Row],[Is Crit]], Buckets_3_24[[#This Row],[S Cap Diff]], 0)</f>
        <v>0</v>
      </c>
      <c r="GR16" s="29">
        <f>Buckets_3_24[[#This Row],[Before Fill]]+Buckets_3_24[[#This Row],[Crit To Fill]]</f>
        <v>479.07943871828326</v>
      </c>
      <c r="GS16" s="29">
        <f>IF(NOT(Buckets_3_24[[#This Row],[Is Crit]]), Buckets_3_24[[#This Row],[S Cap Diff]], 0)</f>
        <v>120.92056128171674</v>
      </c>
      <c r="GT16" s="31">
        <f>GR$41/Buckets_3_24[[#Totals],[NC To Fill]]*Buckets_3_24[[#This Row],[NC To Fill]]</f>
        <v>117.44273940632218</v>
      </c>
      <c r="GU16" s="31">
        <f>Buckets_3_24[[#This Row],[Crit Filled]]+Buckets_3_24[[#This Row],[Scaled]]</f>
        <v>596.52217812460549</v>
      </c>
      <c r="GV16" s="31">
        <f>Buckets_3_24[[#This Row],[NC Filled]]</f>
        <v>596.52217812460549</v>
      </c>
      <c r="GW16" s="31">
        <f>Buckets_3_24[[#This Row],[Capacity]]-Buckets_3_24[[#This Row],[Final]]</f>
        <v>3.4778218753945112</v>
      </c>
      <c r="GX16" s="33">
        <f>IF(Buckets_3_24[[#This Row],[Capacity]]=0, 1, Buckets_3_24[[#This Row],[Final]]/Buckets_3_24[[#This Row],[Capacity]])</f>
        <v>0.99420363020767577</v>
      </c>
      <c r="GZ16" s="40">
        <f>Buckets_3_24[[#This Row],[Final]]</f>
        <v>596.52217812460549</v>
      </c>
      <c r="HA16" s="40">
        <f>Buckets_3_24[[#This Row],[Capacity]]</f>
        <v>600</v>
      </c>
      <c r="HB16" s="41" t="b">
        <f t="shared" si="41"/>
        <v>0</v>
      </c>
      <c r="HC16" s="42"/>
      <c r="HD16" s="42"/>
      <c r="HE16" s="42"/>
      <c r="HF16" s="42"/>
      <c r="HG16" s="43"/>
      <c r="HH16" s="40">
        <f t="shared" si="42"/>
        <v>596.52217812460549</v>
      </c>
      <c r="HI16" s="40">
        <f t="shared" si="43"/>
        <v>600</v>
      </c>
      <c r="HJ16" s="41" t="b">
        <f t="shared" si="9"/>
        <v>0</v>
      </c>
      <c r="HL16" s="29">
        <f t="shared" si="44"/>
        <v>596.52217812460549</v>
      </c>
      <c r="HM16" s="29">
        <f>GetTransactionTotal(AggregateTable2024[], AggregateTable2024[Start], HL$1, AggregateTable2024[#Headers], $D16)</f>
        <v>-162.13999999999999</v>
      </c>
      <c r="HN16" s="29">
        <f>Buckets_4_24[[#This Row],[Start]]+Buckets_4_24[[#This Row],[Transactions]]</f>
        <v>434.3821781246055</v>
      </c>
      <c r="HO16" s="29">
        <f t="shared" si="45"/>
        <v>600</v>
      </c>
      <c r="HP16" s="29">
        <f>Buckets_4_24[[#This Row],[Capacity]]-Buckets_4_24[[#This Row],[After T]]</f>
        <v>165.6178218753945</v>
      </c>
      <c r="HQ16" s="29">
        <f>MAX(-Buckets_4_24[[#This Row],[Cap Diff]], 0)</f>
        <v>0</v>
      </c>
      <c r="HR16" s="29">
        <f>Buckets_4_24[[#This Row],[After T]]-Buckets_4_24[[#This Row],[Slush]]</f>
        <v>434.3821781246055</v>
      </c>
      <c r="HS16" s="29">
        <f>Buckets_4_24[[#This Row],[Capacity]]-Buckets_4_24[[#This Row],[Before Fill]]</f>
        <v>165.6178218753945</v>
      </c>
      <c r="HT16" t="b">
        <f>OR(HJ16, Buckets_4_24[[#This Row],[After T]]&lt;0)</f>
        <v>0</v>
      </c>
      <c r="HU16" s="29">
        <f>IF(Buckets_4_24[[#This Row],[Is Crit]], Buckets_4_24[[#This Row],[S Cap Diff]], 0)</f>
        <v>0</v>
      </c>
      <c r="HV16" s="29">
        <f>Buckets_4_24[[#This Row],[Before Fill]]+Buckets_4_24[[#This Row],[Crit To Fill]]</f>
        <v>434.3821781246055</v>
      </c>
      <c r="HW16" s="29">
        <f>IF(NOT(Buckets_4_24[[#This Row],[Is Crit]]), Buckets_4_24[[#This Row],[S Cap Diff]], 0)</f>
        <v>165.6178218753945</v>
      </c>
      <c r="HX16" s="31">
        <f>HV$41/Buckets_4_24[[#Totals],[NC To Fill]]*Buckets_4_24[[#This Row],[NC To Fill]]</f>
        <v>108.078813000492</v>
      </c>
      <c r="HY16" s="31">
        <f>Buckets_4_24[[#This Row],[Crit Filled]]+Buckets_4_24[[#This Row],[Scaled]]</f>
        <v>542.46099112509751</v>
      </c>
      <c r="HZ16" s="31">
        <f>Buckets_4_24[[#This Row],[NC Filled]]</f>
        <v>542.46099112509751</v>
      </c>
      <c r="IA16" s="31">
        <f>Buckets_4_24[[#This Row],[Capacity]]-Buckets_4_24[[#This Row],[Final]]</f>
        <v>57.539008874902493</v>
      </c>
      <c r="IB16" s="33">
        <f>IF(Buckets_4_24[[#This Row],[Capacity]]=0, 1, Buckets_4_24[[#This Row],[Final]]/Buckets_4_24[[#This Row],[Capacity]])</f>
        <v>0.90410165187516256</v>
      </c>
      <c r="ID16" s="40">
        <f>Buckets_4_24[[#This Row],[Final]]</f>
        <v>542.46099112509751</v>
      </c>
      <c r="IE16" s="40">
        <f>Buckets_4_24[[#This Row],[Capacity]]</f>
        <v>600</v>
      </c>
      <c r="IF16" s="41" t="b">
        <f t="shared" si="46"/>
        <v>0</v>
      </c>
      <c r="IG16" s="42"/>
      <c r="IH16" s="42"/>
      <c r="II16" s="42"/>
      <c r="IJ16" s="42"/>
      <c r="IK16" s="43"/>
      <c r="IL16" s="40">
        <f t="shared" si="47"/>
        <v>542.46099112509751</v>
      </c>
      <c r="IM16" s="40">
        <f t="shared" si="48"/>
        <v>600</v>
      </c>
      <c r="IN16" s="41" t="b">
        <f t="shared" si="10"/>
        <v>0</v>
      </c>
    </row>
    <row r="17" spans="1:248" x14ac:dyDescent="0.25">
      <c r="A17" s="49"/>
      <c r="B17" t="s">
        <v>324</v>
      </c>
      <c r="C17" t="s">
        <v>293</v>
      </c>
      <c r="D17" t="s">
        <v>293</v>
      </c>
      <c r="F17" s="30">
        <v>1850</v>
      </c>
      <c r="G17" s="38">
        <v>2000</v>
      </c>
      <c r="H17" t="b">
        <v>1</v>
      </c>
      <c r="J17" s="29">
        <f t="shared" si="11"/>
        <v>1850</v>
      </c>
      <c r="K17" s="29">
        <f>GetTransactionTotal(AggregateTable2023[], AggregateTable2023[Start], J$1, AggregateTable2023[#Headers], $D17)</f>
        <v>-3383.67</v>
      </c>
      <c r="L17" s="29">
        <f>Buckets_9_23[[#This Row],[Start]]+Buckets_9_23[[#This Row],[Transactions]]</f>
        <v>-1533.67</v>
      </c>
      <c r="M17" s="29">
        <f t="shared" si="12"/>
        <v>2000</v>
      </c>
      <c r="N17" s="29">
        <f>Buckets_9_23[[#This Row],[Capacity]]-Buckets_9_23[[#This Row],[After T]]</f>
        <v>3533.67</v>
      </c>
      <c r="O17" s="29">
        <f>IF(Buckets_9_23[[#This Row],[After T]]&lt;0, Buckets_9_23[[#This Row],[After T]], IF(Buckets_9_23[[#This Row],[Cap Diff]]&lt;0, -Buckets_9_23[[#This Row],[Cap Diff]], 0))</f>
        <v>-1533.67</v>
      </c>
      <c r="P17" s="29">
        <f>Buckets_9_23[[#This Row],[After T]]-Buckets_9_23[[#This Row],[Slush]]</f>
        <v>0</v>
      </c>
      <c r="Q17" s="29">
        <f>Buckets_9_23[[#This Row],[Capacity]]-Buckets_9_23[[#This Row],[Before Fill]]</f>
        <v>2000</v>
      </c>
      <c r="R17" t="b">
        <f t="shared" si="0"/>
        <v>1</v>
      </c>
      <c r="S17" s="29">
        <f>IF(Buckets_9_23[[#This Row],[Is Crit]], Buckets_9_23[[#This Row],[S Cap Diff]], 0)</f>
        <v>2000</v>
      </c>
      <c r="T17" s="29">
        <f>Buckets_9_23[[#This Row],[Before Fill]]+Buckets_9_23[[#This Row],[Crit To Fill]]</f>
        <v>2000</v>
      </c>
      <c r="U17" s="29">
        <f>IF(NOT(Buckets_9_23[[#This Row],[Is Crit]]), Buckets_9_23[[#This Row],[S Cap Diff]], 0)</f>
        <v>0</v>
      </c>
      <c r="V17" s="31">
        <f>T$41/Buckets_9_23[[#Totals],[NC To Fill]]*Buckets_9_23[[#This Row],[NC To Fill]]</f>
        <v>0</v>
      </c>
      <c r="W17" s="31">
        <f>Buckets_9_23[[#This Row],[Crit Filled]]+Buckets_9_23[[#This Row],[Scaled]]</f>
        <v>2000</v>
      </c>
      <c r="X17" s="31">
        <f>Buckets_9_23[[#This Row],[NC Filled]]</f>
        <v>2000</v>
      </c>
      <c r="Y17" s="31">
        <f>Buckets_9_23[[#This Row],[Capacity]]-Buckets_9_23[[#This Row],[Final]]</f>
        <v>0</v>
      </c>
      <c r="Z17" s="33">
        <f>IF(Buckets_9_23[[#This Row],[Capacity]]=0, 1, Buckets_9_23[[#This Row],[Final]]/Buckets_9_23[[#This Row],[Capacity]])</f>
        <v>1</v>
      </c>
      <c r="AB17" s="31">
        <f>Buckets_9_23[[#This Row],[Final]]</f>
        <v>2000</v>
      </c>
      <c r="AC17" s="31">
        <f>Buckets_9_23[[#This Row],[Capacity]]</f>
        <v>2000</v>
      </c>
      <c r="AD17" t="b">
        <f t="shared" si="13"/>
        <v>1</v>
      </c>
      <c r="AE17" s="43" t="e">
        <f>NA()</f>
        <v>#N/A</v>
      </c>
      <c r="AF17" s="42"/>
      <c r="AG17" s="43" t="e">
        <f>NA()</f>
        <v>#N/A</v>
      </c>
      <c r="AH17" s="42"/>
      <c r="AI17" s="43"/>
      <c r="AJ17" s="31">
        <f t="shared" si="14"/>
        <v>2000</v>
      </c>
      <c r="AK17" s="31">
        <f t="shared" si="15"/>
        <v>2000</v>
      </c>
      <c r="AL17" t="b">
        <f t="shared" si="16"/>
        <v>1</v>
      </c>
      <c r="AN17" s="29">
        <f t="shared" si="17"/>
        <v>2000</v>
      </c>
      <c r="AO17" s="29">
        <f>GetTransactionTotal(AggregateTable2023[], AggregateTable2023[Start], AN$1, AggregateTable2023[#Headers], $D17)</f>
        <v>-1945</v>
      </c>
      <c r="AP17" s="29">
        <f>Buckets_10_23[[#This Row],[Start]]+Buckets_10_23[[#This Row],[Transactions]]</f>
        <v>55</v>
      </c>
      <c r="AQ17" s="29">
        <f t="shared" si="18"/>
        <v>2000</v>
      </c>
      <c r="AR17" s="29">
        <f>Buckets_10_23[[#This Row],[Capacity]]-Buckets_10_23[[#This Row],[After T]]</f>
        <v>1945</v>
      </c>
      <c r="AS17" s="29">
        <f>MAX(-Buckets_10_23[[#This Row],[Cap Diff]], 0)</f>
        <v>0</v>
      </c>
      <c r="AT17" s="29">
        <f>Buckets_10_23[[#This Row],[After T]]-Buckets_10_23[[#This Row],[Slush]]</f>
        <v>55</v>
      </c>
      <c r="AU17" s="29">
        <f>Buckets_10_23[[#This Row],[Capacity]]-Buckets_10_23[[#This Row],[Before Fill]]</f>
        <v>1945</v>
      </c>
      <c r="AV17" t="b">
        <f>OR(AL17, Buckets_10_23[[#This Row],[After T]]&lt;0)</f>
        <v>1</v>
      </c>
      <c r="AW17" s="29">
        <f>IF(Buckets_10_23[[#This Row],[Is Crit]], Buckets_10_23[[#This Row],[S Cap Diff]], 0)</f>
        <v>1945</v>
      </c>
      <c r="AX17" s="29">
        <f>Buckets_10_23[[#This Row],[Before Fill]]+Buckets_10_23[[#This Row],[Crit To Fill]]</f>
        <v>2000</v>
      </c>
      <c r="AY17" s="29">
        <f>IF(NOT(Buckets_10_23[[#This Row],[Is Crit]]), Buckets_10_23[[#This Row],[S Cap Diff]], 0)</f>
        <v>0</v>
      </c>
      <c r="AZ17" s="31">
        <f>AX$41/Buckets_10_23[[#Totals],[NC To Fill]]*Buckets_10_23[[#This Row],[NC To Fill]]</f>
        <v>0</v>
      </c>
      <c r="BA17" s="31">
        <f>Buckets_10_23[[#This Row],[Crit Filled]]+Buckets_10_23[[#This Row],[Scaled]]</f>
        <v>2000</v>
      </c>
      <c r="BB17" s="31">
        <f>Buckets_10_23[[#This Row],[NC Filled]]</f>
        <v>2000</v>
      </c>
      <c r="BC17" s="31">
        <f>Buckets_10_23[[#This Row],[Capacity]]-Buckets_10_23[[#This Row],[Final]]</f>
        <v>0</v>
      </c>
      <c r="BD17" s="33">
        <f>IF(Buckets_10_23[[#This Row],[Capacity]]=0, 1, Buckets_10_23[[#This Row],[Final]]/Buckets_10_23[[#This Row],[Capacity]])</f>
        <v>1</v>
      </c>
      <c r="BF17" s="31">
        <f>Buckets_10_23[[#This Row],[Final]]</f>
        <v>2000</v>
      </c>
      <c r="BG17" s="31">
        <f>Buckets_10_23[[#This Row],[Capacity]]</f>
        <v>2000</v>
      </c>
      <c r="BH17" t="b">
        <f t="shared" si="19"/>
        <v>1</v>
      </c>
      <c r="BI17" s="43" t="e">
        <f>NA()</f>
        <v>#N/A</v>
      </c>
      <c r="BJ17" s="42"/>
      <c r="BK17" s="43" t="e">
        <f>NA()</f>
        <v>#N/A</v>
      </c>
      <c r="BL17" s="42"/>
      <c r="BM17" s="43"/>
      <c r="BN17" s="31">
        <f t="shared" si="20"/>
        <v>2000</v>
      </c>
      <c r="BO17" s="31">
        <f t="shared" si="1"/>
        <v>2000</v>
      </c>
      <c r="BP17" t="b">
        <f t="shared" si="2"/>
        <v>1</v>
      </c>
      <c r="BR17" s="29">
        <f t="shared" si="21"/>
        <v>2000</v>
      </c>
      <c r="BS17" s="29">
        <f>GetTransactionTotal(AggregateTable2023[], AggregateTable2023[Start], BR$1, AggregateTable2023[#Headers], $D17)</f>
        <v>-784.84999999999991</v>
      </c>
      <c r="BT17" s="29">
        <f>Buckets_11_23[[#This Row],[Start]]+Buckets_11_23[[#This Row],[Transactions]]</f>
        <v>1215.1500000000001</v>
      </c>
      <c r="BU17" s="29">
        <f t="shared" si="22"/>
        <v>2000</v>
      </c>
      <c r="BV17" s="29">
        <f>Buckets_11_23[[#This Row],[Capacity]]-Buckets_11_23[[#This Row],[After T]]</f>
        <v>784.84999999999991</v>
      </c>
      <c r="BW17" s="29">
        <f>MAX(-Buckets_11_23[[#This Row],[Cap Diff]], 0)</f>
        <v>0</v>
      </c>
      <c r="BX17" s="29">
        <f>Buckets_11_23[[#This Row],[After T]]-Buckets_11_23[[#This Row],[Slush]]</f>
        <v>1215.1500000000001</v>
      </c>
      <c r="BY17" s="29">
        <f>Buckets_11_23[[#This Row],[Capacity]]-Buckets_11_23[[#This Row],[Before Fill]]</f>
        <v>784.84999999999991</v>
      </c>
      <c r="BZ17" t="b">
        <f>OR(BP17, Buckets_11_23[[#This Row],[After T]]&lt;0)</f>
        <v>1</v>
      </c>
      <c r="CA17" s="29">
        <f>IF(Buckets_11_23[[#This Row],[Is Crit]], Buckets_11_23[[#This Row],[S Cap Diff]], 0)</f>
        <v>784.84999999999991</v>
      </c>
      <c r="CB17" s="29">
        <f>Buckets_11_23[[#This Row],[Before Fill]]+Buckets_11_23[[#This Row],[Crit To Fill]]</f>
        <v>2000</v>
      </c>
      <c r="CC17" s="29">
        <f>IF(NOT(Buckets_11_23[[#This Row],[Is Crit]]), Buckets_11_23[[#This Row],[S Cap Diff]], 0)</f>
        <v>0</v>
      </c>
      <c r="CD17" s="31">
        <f>CB$41/Buckets_11_23[[#Totals],[NC To Fill]]*Buckets_11_23[[#This Row],[NC To Fill]]</f>
        <v>0</v>
      </c>
      <c r="CE17" s="31">
        <f>Buckets_11_23[[#This Row],[Crit Filled]]+Buckets_11_23[[#This Row],[Scaled]]</f>
        <v>2000</v>
      </c>
      <c r="CF17" s="31">
        <f>Buckets_11_23[[#This Row],[NC Filled]]</f>
        <v>2000</v>
      </c>
      <c r="CG17" s="31">
        <f>Buckets_11_23[[#This Row],[Capacity]]-Buckets_11_23[[#This Row],[Final]]</f>
        <v>0</v>
      </c>
      <c r="CH17" s="33">
        <f>IF(Buckets_11_23[[#This Row],[Capacity]]=0, 1, Buckets_11_23[[#This Row],[Final]]/Buckets_11_23[[#This Row],[Capacity]])</f>
        <v>1</v>
      </c>
      <c r="CJ17" s="40">
        <f>Buckets_11_23[[#This Row],[Final]]</f>
        <v>2000</v>
      </c>
      <c r="CK17" s="40">
        <f>Buckets_11_23[[#This Row],[Capacity]]</f>
        <v>2000</v>
      </c>
      <c r="CL17" s="41" t="b">
        <f t="shared" si="23"/>
        <v>1</v>
      </c>
      <c r="CM17" s="42"/>
      <c r="CN17" s="42"/>
      <c r="CO17" s="42" t="e">
        <f>NA()</f>
        <v>#N/A</v>
      </c>
      <c r="CP17" s="42">
        <v>2500</v>
      </c>
      <c r="CQ17" s="43"/>
      <c r="CR17" s="40">
        <f t="shared" si="24"/>
        <v>2000</v>
      </c>
      <c r="CS17" s="40">
        <f t="shared" si="3"/>
        <v>2500</v>
      </c>
      <c r="CT17" s="41" t="b">
        <f t="shared" si="4"/>
        <v>1</v>
      </c>
      <c r="CV17" s="29">
        <f t="shared" si="25"/>
        <v>2000</v>
      </c>
      <c r="CW17" s="29">
        <f>GetTransactionTotal(AggregateTable2023[], AggregateTable2023[Start], CV$1, AggregateTable2023[#Headers], $D17)</f>
        <v>-2036.25</v>
      </c>
      <c r="CX17" s="29">
        <f>Buckets_12_23[[#This Row],[Start]]+Buckets_12_23[[#This Row],[Transactions]]</f>
        <v>-36.25</v>
      </c>
      <c r="CY17" s="29">
        <f t="shared" si="26"/>
        <v>2500</v>
      </c>
      <c r="CZ17" s="29">
        <f>Buckets_12_23[[#This Row],[Capacity]]-Buckets_12_23[[#This Row],[After T]]</f>
        <v>2536.25</v>
      </c>
      <c r="DA17" s="29">
        <f>MAX(-Buckets_12_23[[#This Row],[Cap Diff]], 0)</f>
        <v>0</v>
      </c>
      <c r="DB17" s="29">
        <f>Buckets_12_23[[#This Row],[After T]]-Buckets_12_23[[#This Row],[Slush]]</f>
        <v>-36.25</v>
      </c>
      <c r="DC17" s="29">
        <f>Buckets_12_23[[#This Row],[Capacity]]-Buckets_12_23[[#This Row],[Before Fill]]</f>
        <v>2536.25</v>
      </c>
      <c r="DD17" t="b">
        <f>OR(CT17, Buckets_12_23[[#This Row],[After T]]&lt;0)</f>
        <v>1</v>
      </c>
      <c r="DE17" s="29">
        <f>IF(Buckets_12_23[[#This Row],[Is Crit]], Buckets_12_23[[#This Row],[S Cap Diff]], 0)</f>
        <v>2536.25</v>
      </c>
      <c r="DF17" s="29">
        <f>Buckets_12_23[[#This Row],[Before Fill]]+Buckets_12_23[[#This Row],[Crit To Fill]]</f>
        <v>2500</v>
      </c>
      <c r="DG17" s="29">
        <f>IF(NOT(Buckets_12_23[[#This Row],[Is Crit]]), Buckets_12_23[[#This Row],[S Cap Diff]], 0)</f>
        <v>0</v>
      </c>
      <c r="DH17" s="31">
        <f>DF$41/Buckets_12_23[[#Totals],[NC To Fill]]*Buckets_12_23[[#This Row],[NC To Fill]]</f>
        <v>0</v>
      </c>
      <c r="DI17" s="31">
        <f>Buckets_12_23[[#This Row],[Crit Filled]]+Buckets_12_23[[#This Row],[Scaled]]</f>
        <v>2500</v>
      </c>
      <c r="DJ17" s="31">
        <f>Buckets_12_23[[#This Row],[NC Filled]]</f>
        <v>2500</v>
      </c>
      <c r="DK17" s="31">
        <f>Buckets_12_23[[#This Row],[Capacity]]-Buckets_12_23[[#This Row],[Final]]</f>
        <v>0</v>
      </c>
      <c r="DL17" s="33">
        <f>IF(Buckets_12_23[[#This Row],[Capacity]]=0, 1, Buckets_12_23[[#This Row],[Final]]/Buckets_12_23[[#This Row],[Capacity]])</f>
        <v>1</v>
      </c>
      <c r="DN17" s="40">
        <f>Buckets_12_23[[#This Row],[Final]]</f>
        <v>2500</v>
      </c>
      <c r="DO17" s="40">
        <f>Buckets_12_23[[#This Row],[Capacity]]</f>
        <v>2500</v>
      </c>
      <c r="DP17" s="41" t="b">
        <f t="shared" si="27"/>
        <v>1</v>
      </c>
      <c r="DQ17" s="42"/>
      <c r="DR17" s="42"/>
      <c r="DS17" s="42" t="e">
        <f>NA()</f>
        <v>#N/A</v>
      </c>
      <c r="DT17" s="42"/>
      <c r="DU17" s="43"/>
      <c r="DV17" s="40">
        <f t="shared" si="28"/>
        <v>2500</v>
      </c>
      <c r="DW17" s="40">
        <f t="shared" si="5"/>
        <v>2500</v>
      </c>
      <c r="DX17" s="41" t="b">
        <f t="shared" si="6"/>
        <v>1</v>
      </c>
      <c r="DZ17" s="29">
        <f t="shared" si="29"/>
        <v>2500</v>
      </c>
      <c r="EA17" s="29">
        <f>GetTransactionTotal(AggregateTable2024[], AggregateTable2024[Start], DZ$1, AggregateTable2024[#Headers], $D17)</f>
        <v>-2046.8100000000002</v>
      </c>
      <c r="EB17" s="29">
        <f>Buckets_1_24[[#This Row],[Start]]+Buckets_1_24[[#This Row],[Transactions]]</f>
        <v>453.18999999999983</v>
      </c>
      <c r="EC17" s="29">
        <f t="shared" si="30"/>
        <v>2500</v>
      </c>
      <c r="ED17" s="29">
        <f>Buckets_1_24[[#This Row],[Capacity]]-Buckets_1_24[[#This Row],[After T]]</f>
        <v>2046.8100000000002</v>
      </c>
      <c r="EE17" s="29">
        <f>MAX(-Buckets_1_24[[#This Row],[Cap Diff]], 0)</f>
        <v>0</v>
      </c>
      <c r="EF17" s="29">
        <f>Buckets_1_24[[#This Row],[After T]]-Buckets_1_24[[#This Row],[Slush]]</f>
        <v>453.18999999999983</v>
      </c>
      <c r="EG17" s="29">
        <f>Buckets_1_24[[#This Row],[Capacity]]-Buckets_1_24[[#This Row],[Before Fill]]</f>
        <v>2046.8100000000002</v>
      </c>
      <c r="EH17" t="b">
        <f>OR(DX17, Buckets_1_24[[#This Row],[After T]]&lt;0)</f>
        <v>1</v>
      </c>
      <c r="EI17" s="29">
        <f>IF(Buckets_1_24[[#This Row],[Is Crit]], Buckets_1_24[[#This Row],[S Cap Diff]], 0)</f>
        <v>2046.8100000000002</v>
      </c>
      <c r="EJ17" s="29">
        <f>Buckets_1_24[[#This Row],[Before Fill]]+Buckets_1_24[[#This Row],[Crit To Fill]]</f>
        <v>2500</v>
      </c>
      <c r="EK17" s="29">
        <f>IF(NOT(Buckets_1_24[[#This Row],[Is Crit]]), Buckets_1_24[[#This Row],[S Cap Diff]], 0)</f>
        <v>0</v>
      </c>
      <c r="EL17" s="31">
        <f>EJ$41/Buckets_1_24[[#Totals],[NC To Fill]]*Buckets_1_24[[#This Row],[NC To Fill]]</f>
        <v>0</v>
      </c>
      <c r="EM17" s="31">
        <f>Buckets_1_24[[#This Row],[Crit Filled]]+Buckets_1_24[[#This Row],[Scaled]]</f>
        <v>2500</v>
      </c>
      <c r="EN17" s="31">
        <f>Buckets_1_24[[#This Row],[NC Filled]]</f>
        <v>2500</v>
      </c>
      <c r="EO17" s="31">
        <f>Buckets_1_24[[#This Row],[Capacity]]-Buckets_1_24[[#This Row],[Final]]</f>
        <v>0</v>
      </c>
      <c r="EP17" s="33">
        <f>IF(Buckets_1_24[[#This Row],[Capacity]]=0, 1, Buckets_1_24[[#This Row],[Final]]/Buckets_1_24[[#This Row],[Capacity]])</f>
        <v>1</v>
      </c>
      <c r="ER17" s="40">
        <f>Buckets_1_24[[#This Row],[Final]]</f>
        <v>2500</v>
      </c>
      <c r="ES17" s="40">
        <f>Buckets_1_24[[#This Row],[Capacity]]</f>
        <v>2500</v>
      </c>
      <c r="ET17" s="41" t="b">
        <f t="shared" si="31"/>
        <v>1</v>
      </c>
      <c r="EU17" s="42"/>
      <c r="EV17" s="42"/>
      <c r="EW17" s="42"/>
      <c r="EX17" s="42"/>
      <c r="EY17" s="43"/>
      <c r="EZ17" s="40">
        <f t="shared" si="32"/>
        <v>2500</v>
      </c>
      <c r="FA17" s="40">
        <f t="shared" si="33"/>
        <v>2500</v>
      </c>
      <c r="FB17" s="41" t="b">
        <f t="shared" si="7"/>
        <v>1</v>
      </c>
      <c r="FD17" s="29">
        <f t="shared" si="34"/>
        <v>2500</v>
      </c>
      <c r="FE17" s="29">
        <f>GetTransactionTotal(AggregateTable2024[], AggregateTable2024[Start], FD$1, AggregateTable2024[#Headers], $D17)</f>
        <v>-2055.33</v>
      </c>
      <c r="FF17" s="29">
        <f>Buckets_2_24[[#This Row],[Start]]+Buckets_2_24[[#This Row],[Transactions]]</f>
        <v>444.67000000000007</v>
      </c>
      <c r="FG17" s="29">
        <f t="shared" si="35"/>
        <v>2500</v>
      </c>
      <c r="FH17" s="29">
        <f>Buckets_2_24[[#This Row],[Capacity]]-Buckets_2_24[[#This Row],[After T]]</f>
        <v>2055.33</v>
      </c>
      <c r="FI17" s="29">
        <f>MAX(-Buckets_2_24[[#This Row],[Cap Diff]], 0)</f>
        <v>0</v>
      </c>
      <c r="FJ17" s="29">
        <f>Buckets_2_24[[#This Row],[After T]]-Buckets_2_24[[#This Row],[Slush]]</f>
        <v>444.67000000000007</v>
      </c>
      <c r="FK17" s="29">
        <f>Buckets_2_24[[#This Row],[Capacity]]-Buckets_2_24[[#This Row],[Before Fill]]</f>
        <v>2055.33</v>
      </c>
      <c r="FL17" t="b">
        <f>OR(FB17, Buckets_2_24[[#This Row],[After T]]&lt;0)</f>
        <v>1</v>
      </c>
      <c r="FM17" s="29">
        <f>IF(Buckets_2_24[[#This Row],[Is Crit]], Buckets_2_24[[#This Row],[S Cap Diff]], 0)</f>
        <v>2055.33</v>
      </c>
      <c r="FN17" s="29">
        <f>Buckets_2_24[[#This Row],[Before Fill]]+Buckets_2_24[[#This Row],[Crit To Fill]]</f>
        <v>2500</v>
      </c>
      <c r="FO17" s="29">
        <f>IF(NOT(Buckets_2_24[[#This Row],[Is Crit]]), Buckets_2_24[[#This Row],[S Cap Diff]], 0)</f>
        <v>0</v>
      </c>
      <c r="FP17" s="31">
        <f>FN$41/Buckets_2_24[[#Totals],[NC To Fill]]*Buckets_2_24[[#This Row],[NC To Fill]]</f>
        <v>0</v>
      </c>
      <c r="FQ17" s="31">
        <f>Buckets_2_24[[#This Row],[Crit Filled]]+Buckets_2_24[[#This Row],[Scaled]]</f>
        <v>2500</v>
      </c>
      <c r="FR17" s="31">
        <f>Buckets_2_24[[#This Row],[NC Filled]]</f>
        <v>2500</v>
      </c>
      <c r="FS17" s="31">
        <f>Buckets_2_24[[#This Row],[Capacity]]-Buckets_2_24[[#This Row],[Final]]</f>
        <v>0</v>
      </c>
      <c r="FT17" s="33">
        <f>IF(Buckets_2_24[[#This Row],[Capacity]]=0, 1, Buckets_2_24[[#This Row],[Final]]/Buckets_2_24[[#This Row],[Capacity]])</f>
        <v>1</v>
      </c>
      <c r="FV17" s="40">
        <f>Buckets_2_24[[#This Row],[Final]]</f>
        <v>2500</v>
      </c>
      <c r="FW17" s="40">
        <f>Buckets_2_24[[#This Row],[Capacity]]</f>
        <v>2500</v>
      </c>
      <c r="FX17" s="41" t="b">
        <f t="shared" si="36"/>
        <v>1</v>
      </c>
      <c r="FY17" s="42"/>
      <c r="FZ17" s="42"/>
      <c r="GA17" s="42"/>
      <c r="GB17" s="42"/>
      <c r="GC17" s="43"/>
      <c r="GD17" s="40">
        <f t="shared" si="37"/>
        <v>2500</v>
      </c>
      <c r="GE17" s="40">
        <f t="shared" si="38"/>
        <v>2500</v>
      </c>
      <c r="GF17" s="41" t="b">
        <f t="shared" si="8"/>
        <v>1</v>
      </c>
      <c r="GH17" s="29">
        <f t="shared" si="39"/>
        <v>2500</v>
      </c>
      <c r="GI17" s="29">
        <f>GetTransactionTotal(AggregateTable2024[], AggregateTable2024[Start], GH$1, AggregateTable2024[#Headers], $D17)</f>
        <v>-2174.83</v>
      </c>
      <c r="GJ17" s="29">
        <f>Buckets_3_24[[#This Row],[Start]]+Buckets_3_24[[#This Row],[Transactions]]</f>
        <v>325.17000000000007</v>
      </c>
      <c r="GK17" s="29">
        <f t="shared" si="40"/>
        <v>2500</v>
      </c>
      <c r="GL17" s="29">
        <f>Buckets_3_24[[#This Row],[Capacity]]-Buckets_3_24[[#This Row],[After T]]</f>
        <v>2174.83</v>
      </c>
      <c r="GM17" s="29">
        <f>MAX(-Buckets_3_24[[#This Row],[Cap Diff]], 0)</f>
        <v>0</v>
      </c>
      <c r="GN17" s="29">
        <f>Buckets_3_24[[#This Row],[After T]]-Buckets_3_24[[#This Row],[Slush]]</f>
        <v>325.17000000000007</v>
      </c>
      <c r="GO17" s="29">
        <f>Buckets_3_24[[#This Row],[Capacity]]-Buckets_3_24[[#This Row],[Before Fill]]</f>
        <v>2174.83</v>
      </c>
      <c r="GP17" t="b">
        <f>OR(GF17, Buckets_3_24[[#This Row],[After T]]&lt;0)</f>
        <v>1</v>
      </c>
      <c r="GQ17" s="29">
        <f>IF(Buckets_3_24[[#This Row],[Is Crit]], Buckets_3_24[[#This Row],[S Cap Diff]], 0)</f>
        <v>2174.83</v>
      </c>
      <c r="GR17" s="29">
        <f>Buckets_3_24[[#This Row],[Before Fill]]+Buckets_3_24[[#This Row],[Crit To Fill]]</f>
        <v>2500</v>
      </c>
      <c r="GS17" s="29">
        <f>IF(NOT(Buckets_3_24[[#This Row],[Is Crit]]), Buckets_3_24[[#This Row],[S Cap Diff]], 0)</f>
        <v>0</v>
      </c>
      <c r="GT17" s="31">
        <f>GR$41/Buckets_3_24[[#Totals],[NC To Fill]]*Buckets_3_24[[#This Row],[NC To Fill]]</f>
        <v>0</v>
      </c>
      <c r="GU17" s="31">
        <f>Buckets_3_24[[#This Row],[Crit Filled]]+Buckets_3_24[[#This Row],[Scaled]]</f>
        <v>2500</v>
      </c>
      <c r="GV17" s="31">
        <f>Buckets_3_24[[#This Row],[NC Filled]]</f>
        <v>2500</v>
      </c>
      <c r="GW17" s="31">
        <f>Buckets_3_24[[#This Row],[Capacity]]-Buckets_3_24[[#This Row],[Final]]</f>
        <v>0</v>
      </c>
      <c r="GX17" s="33">
        <f>IF(Buckets_3_24[[#This Row],[Capacity]]=0, 1, Buckets_3_24[[#This Row],[Final]]/Buckets_3_24[[#This Row],[Capacity]])</f>
        <v>1</v>
      </c>
      <c r="GZ17" s="40">
        <f>Buckets_3_24[[#This Row],[Final]]</f>
        <v>2500</v>
      </c>
      <c r="HA17" s="40">
        <f>Buckets_3_24[[#This Row],[Capacity]]</f>
        <v>2500</v>
      </c>
      <c r="HB17" s="41" t="b">
        <f t="shared" si="41"/>
        <v>1</v>
      </c>
      <c r="HC17" s="42"/>
      <c r="HD17" s="42"/>
      <c r="HE17" s="42"/>
      <c r="HF17" s="42"/>
      <c r="HG17" s="43"/>
      <c r="HH17" s="40">
        <f t="shared" si="42"/>
        <v>2500</v>
      </c>
      <c r="HI17" s="40">
        <f t="shared" si="43"/>
        <v>2500</v>
      </c>
      <c r="HJ17" s="41" t="b">
        <f t="shared" si="9"/>
        <v>1</v>
      </c>
      <c r="HL17" s="29">
        <f t="shared" si="44"/>
        <v>2500</v>
      </c>
      <c r="HM17" s="29">
        <f>GetTransactionTotal(AggregateTable2024[], AggregateTable2024[Start], HL$1, AggregateTable2024[#Headers], $D17)</f>
        <v>-2060.04</v>
      </c>
      <c r="HN17" s="29">
        <f>Buckets_4_24[[#This Row],[Start]]+Buckets_4_24[[#This Row],[Transactions]]</f>
        <v>439.96000000000004</v>
      </c>
      <c r="HO17" s="29">
        <f t="shared" si="45"/>
        <v>2500</v>
      </c>
      <c r="HP17" s="29">
        <f>Buckets_4_24[[#This Row],[Capacity]]-Buckets_4_24[[#This Row],[After T]]</f>
        <v>2060.04</v>
      </c>
      <c r="HQ17" s="29">
        <f>MAX(-Buckets_4_24[[#This Row],[Cap Diff]], 0)</f>
        <v>0</v>
      </c>
      <c r="HR17" s="29">
        <f>Buckets_4_24[[#This Row],[After T]]-Buckets_4_24[[#This Row],[Slush]]</f>
        <v>439.96000000000004</v>
      </c>
      <c r="HS17" s="29">
        <f>Buckets_4_24[[#This Row],[Capacity]]-Buckets_4_24[[#This Row],[Before Fill]]</f>
        <v>2060.04</v>
      </c>
      <c r="HT17" t="b">
        <f>OR(HJ17, Buckets_4_24[[#This Row],[After T]]&lt;0)</f>
        <v>1</v>
      </c>
      <c r="HU17" s="29">
        <f>IF(Buckets_4_24[[#This Row],[Is Crit]], Buckets_4_24[[#This Row],[S Cap Diff]], 0)</f>
        <v>2060.04</v>
      </c>
      <c r="HV17" s="29">
        <f>Buckets_4_24[[#This Row],[Before Fill]]+Buckets_4_24[[#This Row],[Crit To Fill]]</f>
        <v>2500</v>
      </c>
      <c r="HW17" s="29">
        <f>IF(NOT(Buckets_4_24[[#This Row],[Is Crit]]), Buckets_4_24[[#This Row],[S Cap Diff]], 0)</f>
        <v>0</v>
      </c>
      <c r="HX17" s="31">
        <f>HV$41/Buckets_4_24[[#Totals],[NC To Fill]]*Buckets_4_24[[#This Row],[NC To Fill]]</f>
        <v>0</v>
      </c>
      <c r="HY17" s="31">
        <f>Buckets_4_24[[#This Row],[Crit Filled]]+Buckets_4_24[[#This Row],[Scaled]]</f>
        <v>2500</v>
      </c>
      <c r="HZ17" s="31">
        <f>Buckets_4_24[[#This Row],[NC Filled]]</f>
        <v>2500</v>
      </c>
      <c r="IA17" s="31">
        <f>Buckets_4_24[[#This Row],[Capacity]]-Buckets_4_24[[#This Row],[Final]]</f>
        <v>0</v>
      </c>
      <c r="IB17" s="33">
        <f>IF(Buckets_4_24[[#This Row],[Capacity]]=0, 1, Buckets_4_24[[#This Row],[Final]]/Buckets_4_24[[#This Row],[Capacity]])</f>
        <v>1</v>
      </c>
      <c r="ID17" s="40">
        <f>Buckets_4_24[[#This Row],[Final]]</f>
        <v>2500</v>
      </c>
      <c r="IE17" s="40">
        <f>Buckets_4_24[[#This Row],[Capacity]]</f>
        <v>2500</v>
      </c>
      <c r="IF17" s="41" t="b">
        <f t="shared" si="46"/>
        <v>1</v>
      </c>
      <c r="IG17" s="42"/>
      <c r="IH17" s="42"/>
      <c r="II17" s="42"/>
      <c r="IJ17" s="42"/>
      <c r="IK17" s="43"/>
      <c r="IL17" s="40">
        <f t="shared" si="47"/>
        <v>2500</v>
      </c>
      <c r="IM17" s="40">
        <f t="shared" si="48"/>
        <v>2500</v>
      </c>
      <c r="IN17" s="41" t="b">
        <f t="shared" si="10"/>
        <v>1</v>
      </c>
    </row>
    <row r="18" spans="1:248" x14ac:dyDescent="0.25">
      <c r="A18" s="49"/>
      <c r="B18" t="s">
        <v>324</v>
      </c>
      <c r="C18" t="s">
        <v>215</v>
      </c>
      <c r="D18" t="s">
        <v>215</v>
      </c>
      <c r="F18" s="30">
        <v>100</v>
      </c>
      <c r="G18" s="38">
        <v>200</v>
      </c>
      <c r="H18" t="b">
        <v>1</v>
      </c>
      <c r="J18" s="29">
        <f t="shared" si="11"/>
        <v>100</v>
      </c>
      <c r="K18" s="29">
        <f>GetTransactionTotal(AggregateTable2023[], AggregateTable2023[Start], J$1, AggregateTable2023[#Headers], $D18)</f>
        <v>-76.97999999999999</v>
      </c>
      <c r="L18" s="29">
        <f>Buckets_9_23[[#This Row],[Start]]+Buckets_9_23[[#This Row],[Transactions]]</f>
        <v>23.02000000000001</v>
      </c>
      <c r="M18" s="29">
        <f t="shared" si="12"/>
        <v>200</v>
      </c>
      <c r="N18" s="29">
        <f>Buckets_9_23[[#This Row],[Capacity]]-Buckets_9_23[[#This Row],[After T]]</f>
        <v>176.98</v>
      </c>
      <c r="O18" s="29">
        <f>IF(Buckets_9_23[[#This Row],[After T]]&lt;0, Buckets_9_23[[#This Row],[After T]], IF(Buckets_9_23[[#This Row],[Cap Diff]]&lt;0, -Buckets_9_23[[#This Row],[Cap Diff]], 0))</f>
        <v>0</v>
      </c>
      <c r="P18" s="29">
        <f>Buckets_9_23[[#This Row],[After T]]-Buckets_9_23[[#This Row],[Slush]]</f>
        <v>23.02000000000001</v>
      </c>
      <c r="Q18" s="29">
        <f>Buckets_9_23[[#This Row],[Capacity]]-Buckets_9_23[[#This Row],[Before Fill]]</f>
        <v>176.98</v>
      </c>
      <c r="R18" t="b">
        <f t="shared" si="0"/>
        <v>1</v>
      </c>
      <c r="S18" s="29">
        <f>IF(Buckets_9_23[[#This Row],[Is Crit]], Buckets_9_23[[#This Row],[S Cap Diff]], 0)</f>
        <v>176.98</v>
      </c>
      <c r="T18" s="29">
        <f>Buckets_9_23[[#This Row],[Before Fill]]+Buckets_9_23[[#This Row],[Crit To Fill]]</f>
        <v>200</v>
      </c>
      <c r="U18" s="29">
        <f>IF(NOT(Buckets_9_23[[#This Row],[Is Crit]]), Buckets_9_23[[#This Row],[S Cap Diff]], 0)</f>
        <v>0</v>
      </c>
      <c r="V18" s="31">
        <f>T$41/Buckets_9_23[[#Totals],[NC To Fill]]*Buckets_9_23[[#This Row],[NC To Fill]]</f>
        <v>0</v>
      </c>
      <c r="W18" s="31">
        <f>Buckets_9_23[[#This Row],[Crit Filled]]+Buckets_9_23[[#This Row],[Scaled]]</f>
        <v>200</v>
      </c>
      <c r="X18" s="31">
        <f>Buckets_9_23[[#This Row],[NC Filled]]</f>
        <v>200</v>
      </c>
      <c r="Y18" s="31">
        <f>Buckets_9_23[[#This Row],[Capacity]]-Buckets_9_23[[#This Row],[Final]]</f>
        <v>0</v>
      </c>
      <c r="Z18" s="33">
        <f>IF(Buckets_9_23[[#This Row],[Capacity]]=0, 1, Buckets_9_23[[#This Row],[Final]]/Buckets_9_23[[#This Row],[Capacity]])</f>
        <v>1</v>
      </c>
      <c r="AB18" s="31">
        <f>Buckets_9_23[[#This Row],[Final]]</f>
        <v>200</v>
      </c>
      <c r="AC18" s="31">
        <f>Buckets_9_23[[#This Row],[Capacity]]</f>
        <v>200</v>
      </c>
      <c r="AD18" t="b">
        <f t="shared" si="13"/>
        <v>1</v>
      </c>
      <c r="AE18" s="43" t="e">
        <f>NA()</f>
        <v>#N/A</v>
      </c>
      <c r="AF18" s="42"/>
      <c r="AG18" s="43" t="e">
        <f>NA()</f>
        <v>#N/A</v>
      </c>
      <c r="AH18" s="42"/>
      <c r="AI18" s="43"/>
      <c r="AJ18" s="31">
        <f t="shared" si="14"/>
        <v>200</v>
      </c>
      <c r="AK18" s="31">
        <f t="shared" si="15"/>
        <v>200</v>
      </c>
      <c r="AL18" t="b">
        <f t="shared" si="16"/>
        <v>1</v>
      </c>
      <c r="AN18" s="29">
        <f t="shared" si="17"/>
        <v>200</v>
      </c>
      <c r="AO18" s="29">
        <f>GetTransactionTotal(AggregateTable2023[], AggregateTable2023[Start], AN$1, AggregateTable2023[#Headers], $D18)</f>
        <v>-101.07000000000001</v>
      </c>
      <c r="AP18" s="29">
        <f>Buckets_10_23[[#This Row],[Start]]+Buckets_10_23[[#This Row],[Transactions]]</f>
        <v>98.929999999999993</v>
      </c>
      <c r="AQ18" s="29">
        <f t="shared" si="18"/>
        <v>200</v>
      </c>
      <c r="AR18" s="29">
        <f>Buckets_10_23[[#This Row],[Capacity]]-Buckets_10_23[[#This Row],[After T]]</f>
        <v>101.07000000000001</v>
      </c>
      <c r="AS18" s="29">
        <f>MAX(-Buckets_10_23[[#This Row],[Cap Diff]], 0)</f>
        <v>0</v>
      </c>
      <c r="AT18" s="29">
        <f>Buckets_10_23[[#This Row],[After T]]-Buckets_10_23[[#This Row],[Slush]]</f>
        <v>98.929999999999993</v>
      </c>
      <c r="AU18" s="29">
        <f>Buckets_10_23[[#This Row],[Capacity]]-Buckets_10_23[[#This Row],[Before Fill]]</f>
        <v>101.07000000000001</v>
      </c>
      <c r="AV18" t="b">
        <f>OR(AL18, Buckets_10_23[[#This Row],[After T]]&lt;0)</f>
        <v>1</v>
      </c>
      <c r="AW18" s="29">
        <f>IF(Buckets_10_23[[#This Row],[Is Crit]], Buckets_10_23[[#This Row],[S Cap Diff]], 0)</f>
        <v>101.07000000000001</v>
      </c>
      <c r="AX18" s="29">
        <f>Buckets_10_23[[#This Row],[Before Fill]]+Buckets_10_23[[#This Row],[Crit To Fill]]</f>
        <v>200</v>
      </c>
      <c r="AY18" s="29">
        <f>IF(NOT(Buckets_10_23[[#This Row],[Is Crit]]), Buckets_10_23[[#This Row],[S Cap Diff]], 0)</f>
        <v>0</v>
      </c>
      <c r="AZ18" s="31">
        <f>AX$41/Buckets_10_23[[#Totals],[NC To Fill]]*Buckets_10_23[[#This Row],[NC To Fill]]</f>
        <v>0</v>
      </c>
      <c r="BA18" s="31">
        <f>Buckets_10_23[[#This Row],[Crit Filled]]+Buckets_10_23[[#This Row],[Scaled]]</f>
        <v>200</v>
      </c>
      <c r="BB18" s="31">
        <f>Buckets_10_23[[#This Row],[NC Filled]]</f>
        <v>200</v>
      </c>
      <c r="BC18" s="31">
        <f>Buckets_10_23[[#This Row],[Capacity]]-Buckets_10_23[[#This Row],[Final]]</f>
        <v>0</v>
      </c>
      <c r="BD18" s="33">
        <f>IF(Buckets_10_23[[#This Row],[Capacity]]=0, 1, Buckets_10_23[[#This Row],[Final]]/Buckets_10_23[[#This Row],[Capacity]])</f>
        <v>1</v>
      </c>
      <c r="BF18" s="31">
        <f>Buckets_10_23[[#This Row],[Final]]</f>
        <v>200</v>
      </c>
      <c r="BG18" s="31">
        <f>Buckets_10_23[[#This Row],[Capacity]]</f>
        <v>200</v>
      </c>
      <c r="BH18" t="b">
        <f t="shared" si="19"/>
        <v>1</v>
      </c>
      <c r="BI18" s="43" t="e">
        <f>NA()</f>
        <v>#N/A</v>
      </c>
      <c r="BJ18" s="42"/>
      <c r="BK18" s="43" t="e">
        <f>NA()</f>
        <v>#N/A</v>
      </c>
      <c r="BL18" s="42"/>
      <c r="BM18" s="43"/>
      <c r="BN18" s="31">
        <f t="shared" si="20"/>
        <v>200</v>
      </c>
      <c r="BO18" s="31">
        <f t="shared" si="1"/>
        <v>200</v>
      </c>
      <c r="BP18" t="b">
        <f t="shared" si="2"/>
        <v>1</v>
      </c>
      <c r="BR18" s="29">
        <f t="shared" si="21"/>
        <v>200</v>
      </c>
      <c r="BS18" s="29">
        <f>GetTransactionTotal(AggregateTable2023[], AggregateTable2023[Start], BR$1, AggregateTable2023[#Headers], $D18)</f>
        <v>-43.63</v>
      </c>
      <c r="BT18" s="29">
        <f>Buckets_11_23[[#This Row],[Start]]+Buckets_11_23[[#This Row],[Transactions]]</f>
        <v>156.37</v>
      </c>
      <c r="BU18" s="29">
        <f t="shared" si="22"/>
        <v>200</v>
      </c>
      <c r="BV18" s="29">
        <f>Buckets_11_23[[#This Row],[Capacity]]-Buckets_11_23[[#This Row],[After T]]</f>
        <v>43.629999999999995</v>
      </c>
      <c r="BW18" s="29">
        <f>MAX(-Buckets_11_23[[#This Row],[Cap Diff]], 0)</f>
        <v>0</v>
      </c>
      <c r="BX18" s="29">
        <f>Buckets_11_23[[#This Row],[After T]]-Buckets_11_23[[#This Row],[Slush]]</f>
        <v>156.37</v>
      </c>
      <c r="BY18" s="29">
        <f>Buckets_11_23[[#This Row],[Capacity]]-Buckets_11_23[[#This Row],[Before Fill]]</f>
        <v>43.629999999999995</v>
      </c>
      <c r="BZ18" t="b">
        <f>OR(BP18, Buckets_11_23[[#This Row],[After T]]&lt;0)</f>
        <v>1</v>
      </c>
      <c r="CA18" s="29">
        <f>IF(Buckets_11_23[[#This Row],[Is Crit]], Buckets_11_23[[#This Row],[S Cap Diff]], 0)</f>
        <v>43.629999999999995</v>
      </c>
      <c r="CB18" s="29">
        <f>Buckets_11_23[[#This Row],[Before Fill]]+Buckets_11_23[[#This Row],[Crit To Fill]]</f>
        <v>200</v>
      </c>
      <c r="CC18" s="29">
        <f>IF(NOT(Buckets_11_23[[#This Row],[Is Crit]]), Buckets_11_23[[#This Row],[S Cap Diff]], 0)</f>
        <v>0</v>
      </c>
      <c r="CD18" s="31">
        <f>CB$41/Buckets_11_23[[#Totals],[NC To Fill]]*Buckets_11_23[[#This Row],[NC To Fill]]</f>
        <v>0</v>
      </c>
      <c r="CE18" s="31">
        <f>Buckets_11_23[[#This Row],[Crit Filled]]+Buckets_11_23[[#This Row],[Scaled]]</f>
        <v>200</v>
      </c>
      <c r="CF18" s="31">
        <f>Buckets_11_23[[#This Row],[NC Filled]]</f>
        <v>200</v>
      </c>
      <c r="CG18" s="31">
        <f>Buckets_11_23[[#This Row],[Capacity]]-Buckets_11_23[[#This Row],[Final]]</f>
        <v>0</v>
      </c>
      <c r="CH18" s="33">
        <f>IF(Buckets_11_23[[#This Row],[Capacity]]=0, 1, Buckets_11_23[[#This Row],[Final]]/Buckets_11_23[[#This Row],[Capacity]])</f>
        <v>1</v>
      </c>
      <c r="CJ18" s="40">
        <f>Buckets_11_23[[#This Row],[Final]]</f>
        <v>200</v>
      </c>
      <c r="CK18" s="40">
        <f>Buckets_11_23[[#This Row],[Capacity]]</f>
        <v>200</v>
      </c>
      <c r="CL18" s="41" t="b">
        <f t="shared" si="23"/>
        <v>1</v>
      </c>
      <c r="CM18" s="42"/>
      <c r="CN18" s="42"/>
      <c r="CO18" s="42" t="e">
        <f>NA()</f>
        <v>#N/A</v>
      </c>
      <c r="CP18" s="42">
        <v>300</v>
      </c>
      <c r="CQ18" s="43"/>
      <c r="CR18" s="40">
        <f t="shared" si="24"/>
        <v>200</v>
      </c>
      <c r="CS18" s="40">
        <f t="shared" si="3"/>
        <v>300</v>
      </c>
      <c r="CT18" s="41" t="b">
        <f t="shared" si="4"/>
        <v>1</v>
      </c>
      <c r="CV18" s="29">
        <f t="shared" si="25"/>
        <v>200</v>
      </c>
      <c r="CW18" s="29">
        <f>GetTransactionTotal(AggregateTable2023[], AggregateTable2023[Start], CV$1, AggregateTable2023[#Headers], $D18)</f>
        <v>-35</v>
      </c>
      <c r="CX18" s="29">
        <f>Buckets_12_23[[#This Row],[Start]]+Buckets_12_23[[#This Row],[Transactions]]</f>
        <v>165</v>
      </c>
      <c r="CY18" s="29">
        <f t="shared" si="26"/>
        <v>300</v>
      </c>
      <c r="CZ18" s="29">
        <f>Buckets_12_23[[#This Row],[Capacity]]-Buckets_12_23[[#This Row],[After T]]</f>
        <v>135</v>
      </c>
      <c r="DA18" s="29">
        <f>MAX(-Buckets_12_23[[#This Row],[Cap Diff]], 0)</f>
        <v>0</v>
      </c>
      <c r="DB18" s="29">
        <f>Buckets_12_23[[#This Row],[After T]]-Buckets_12_23[[#This Row],[Slush]]</f>
        <v>165</v>
      </c>
      <c r="DC18" s="29">
        <f>Buckets_12_23[[#This Row],[Capacity]]-Buckets_12_23[[#This Row],[Before Fill]]</f>
        <v>135</v>
      </c>
      <c r="DD18" t="b">
        <f>OR(CT18, Buckets_12_23[[#This Row],[After T]]&lt;0)</f>
        <v>1</v>
      </c>
      <c r="DE18" s="29">
        <f>IF(Buckets_12_23[[#This Row],[Is Crit]], Buckets_12_23[[#This Row],[S Cap Diff]], 0)</f>
        <v>135</v>
      </c>
      <c r="DF18" s="29">
        <f>Buckets_12_23[[#This Row],[Before Fill]]+Buckets_12_23[[#This Row],[Crit To Fill]]</f>
        <v>300</v>
      </c>
      <c r="DG18" s="29">
        <f>IF(NOT(Buckets_12_23[[#This Row],[Is Crit]]), Buckets_12_23[[#This Row],[S Cap Diff]], 0)</f>
        <v>0</v>
      </c>
      <c r="DH18" s="31">
        <f>DF$41/Buckets_12_23[[#Totals],[NC To Fill]]*Buckets_12_23[[#This Row],[NC To Fill]]</f>
        <v>0</v>
      </c>
      <c r="DI18" s="31">
        <f>Buckets_12_23[[#This Row],[Crit Filled]]+Buckets_12_23[[#This Row],[Scaled]]</f>
        <v>300</v>
      </c>
      <c r="DJ18" s="31">
        <f>Buckets_12_23[[#This Row],[NC Filled]]</f>
        <v>300</v>
      </c>
      <c r="DK18" s="31">
        <f>Buckets_12_23[[#This Row],[Capacity]]-Buckets_12_23[[#This Row],[Final]]</f>
        <v>0</v>
      </c>
      <c r="DL18" s="33">
        <f>IF(Buckets_12_23[[#This Row],[Capacity]]=0, 1, Buckets_12_23[[#This Row],[Final]]/Buckets_12_23[[#This Row],[Capacity]])</f>
        <v>1</v>
      </c>
      <c r="DN18" s="40">
        <f>Buckets_12_23[[#This Row],[Final]]</f>
        <v>300</v>
      </c>
      <c r="DO18" s="40">
        <f>Buckets_12_23[[#This Row],[Capacity]]</f>
        <v>300</v>
      </c>
      <c r="DP18" s="41" t="b">
        <f t="shared" si="27"/>
        <v>1</v>
      </c>
      <c r="DQ18" s="42"/>
      <c r="DR18" s="42"/>
      <c r="DS18" s="42" t="e">
        <f>NA()</f>
        <v>#N/A</v>
      </c>
      <c r="DT18" s="42"/>
      <c r="DU18" s="43"/>
      <c r="DV18" s="40">
        <f t="shared" si="28"/>
        <v>300</v>
      </c>
      <c r="DW18" s="40">
        <f t="shared" si="5"/>
        <v>300</v>
      </c>
      <c r="DX18" s="41" t="b">
        <f t="shared" si="6"/>
        <v>1</v>
      </c>
      <c r="DZ18" s="29">
        <f t="shared" si="29"/>
        <v>300</v>
      </c>
      <c r="EA18" s="29">
        <f>GetTransactionTotal(AggregateTable2024[], AggregateTable2024[Start], DZ$1, AggregateTable2024[#Headers], $D18)</f>
        <v>-35</v>
      </c>
      <c r="EB18" s="29">
        <f>Buckets_1_24[[#This Row],[Start]]+Buckets_1_24[[#This Row],[Transactions]]</f>
        <v>265</v>
      </c>
      <c r="EC18" s="29">
        <f t="shared" si="30"/>
        <v>300</v>
      </c>
      <c r="ED18" s="29">
        <f>Buckets_1_24[[#This Row],[Capacity]]-Buckets_1_24[[#This Row],[After T]]</f>
        <v>35</v>
      </c>
      <c r="EE18" s="29">
        <f>MAX(-Buckets_1_24[[#This Row],[Cap Diff]], 0)</f>
        <v>0</v>
      </c>
      <c r="EF18" s="29">
        <f>Buckets_1_24[[#This Row],[After T]]-Buckets_1_24[[#This Row],[Slush]]</f>
        <v>265</v>
      </c>
      <c r="EG18" s="29">
        <f>Buckets_1_24[[#This Row],[Capacity]]-Buckets_1_24[[#This Row],[Before Fill]]</f>
        <v>35</v>
      </c>
      <c r="EH18" t="b">
        <f>OR(DX18, Buckets_1_24[[#This Row],[After T]]&lt;0)</f>
        <v>1</v>
      </c>
      <c r="EI18" s="29">
        <f>IF(Buckets_1_24[[#This Row],[Is Crit]], Buckets_1_24[[#This Row],[S Cap Diff]], 0)</f>
        <v>35</v>
      </c>
      <c r="EJ18" s="29">
        <f>Buckets_1_24[[#This Row],[Before Fill]]+Buckets_1_24[[#This Row],[Crit To Fill]]</f>
        <v>300</v>
      </c>
      <c r="EK18" s="29">
        <f>IF(NOT(Buckets_1_24[[#This Row],[Is Crit]]), Buckets_1_24[[#This Row],[S Cap Diff]], 0)</f>
        <v>0</v>
      </c>
      <c r="EL18" s="31">
        <f>EJ$41/Buckets_1_24[[#Totals],[NC To Fill]]*Buckets_1_24[[#This Row],[NC To Fill]]</f>
        <v>0</v>
      </c>
      <c r="EM18" s="31">
        <f>Buckets_1_24[[#This Row],[Crit Filled]]+Buckets_1_24[[#This Row],[Scaled]]</f>
        <v>300</v>
      </c>
      <c r="EN18" s="31">
        <f>Buckets_1_24[[#This Row],[NC Filled]]</f>
        <v>300</v>
      </c>
      <c r="EO18" s="31">
        <f>Buckets_1_24[[#This Row],[Capacity]]-Buckets_1_24[[#This Row],[Final]]</f>
        <v>0</v>
      </c>
      <c r="EP18" s="33">
        <f>IF(Buckets_1_24[[#This Row],[Capacity]]=0, 1, Buckets_1_24[[#This Row],[Final]]/Buckets_1_24[[#This Row],[Capacity]])</f>
        <v>1</v>
      </c>
      <c r="ER18" s="40">
        <f>Buckets_1_24[[#This Row],[Final]]</f>
        <v>300</v>
      </c>
      <c r="ES18" s="40">
        <f>Buckets_1_24[[#This Row],[Capacity]]</f>
        <v>300</v>
      </c>
      <c r="ET18" s="41" t="b">
        <f t="shared" si="31"/>
        <v>1</v>
      </c>
      <c r="EU18" s="42"/>
      <c r="EV18" s="42"/>
      <c r="EW18" s="42"/>
      <c r="EX18" s="42"/>
      <c r="EY18" s="43"/>
      <c r="EZ18" s="40">
        <f t="shared" si="32"/>
        <v>300</v>
      </c>
      <c r="FA18" s="40">
        <f t="shared" si="33"/>
        <v>300</v>
      </c>
      <c r="FB18" s="41" t="b">
        <f t="shared" si="7"/>
        <v>1</v>
      </c>
      <c r="FD18" s="29">
        <f t="shared" si="34"/>
        <v>300</v>
      </c>
      <c r="FE18" s="29">
        <f>GetTransactionTotal(AggregateTable2024[], AggregateTable2024[Start], FD$1, AggregateTable2024[#Headers], $D18)</f>
        <v>-35</v>
      </c>
      <c r="FF18" s="29">
        <f>Buckets_2_24[[#This Row],[Start]]+Buckets_2_24[[#This Row],[Transactions]]</f>
        <v>265</v>
      </c>
      <c r="FG18" s="29">
        <f t="shared" si="35"/>
        <v>300</v>
      </c>
      <c r="FH18" s="29">
        <f>Buckets_2_24[[#This Row],[Capacity]]-Buckets_2_24[[#This Row],[After T]]</f>
        <v>35</v>
      </c>
      <c r="FI18" s="29">
        <f>MAX(-Buckets_2_24[[#This Row],[Cap Diff]], 0)</f>
        <v>0</v>
      </c>
      <c r="FJ18" s="29">
        <f>Buckets_2_24[[#This Row],[After T]]-Buckets_2_24[[#This Row],[Slush]]</f>
        <v>265</v>
      </c>
      <c r="FK18" s="29">
        <f>Buckets_2_24[[#This Row],[Capacity]]-Buckets_2_24[[#This Row],[Before Fill]]</f>
        <v>35</v>
      </c>
      <c r="FL18" t="b">
        <f>OR(FB18, Buckets_2_24[[#This Row],[After T]]&lt;0)</f>
        <v>1</v>
      </c>
      <c r="FM18" s="29">
        <f>IF(Buckets_2_24[[#This Row],[Is Crit]], Buckets_2_24[[#This Row],[S Cap Diff]], 0)</f>
        <v>35</v>
      </c>
      <c r="FN18" s="29">
        <f>Buckets_2_24[[#This Row],[Before Fill]]+Buckets_2_24[[#This Row],[Crit To Fill]]</f>
        <v>300</v>
      </c>
      <c r="FO18" s="29">
        <f>IF(NOT(Buckets_2_24[[#This Row],[Is Crit]]), Buckets_2_24[[#This Row],[S Cap Diff]], 0)</f>
        <v>0</v>
      </c>
      <c r="FP18" s="31">
        <f>FN$41/Buckets_2_24[[#Totals],[NC To Fill]]*Buckets_2_24[[#This Row],[NC To Fill]]</f>
        <v>0</v>
      </c>
      <c r="FQ18" s="31">
        <f>Buckets_2_24[[#This Row],[Crit Filled]]+Buckets_2_24[[#This Row],[Scaled]]</f>
        <v>300</v>
      </c>
      <c r="FR18" s="31">
        <f>Buckets_2_24[[#This Row],[NC Filled]]</f>
        <v>300</v>
      </c>
      <c r="FS18" s="31">
        <f>Buckets_2_24[[#This Row],[Capacity]]-Buckets_2_24[[#This Row],[Final]]</f>
        <v>0</v>
      </c>
      <c r="FT18" s="33">
        <f>IF(Buckets_2_24[[#This Row],[Capacity]]=0, 1, Buckets_2_24[[#This Row],[Final]]/Buckets_2_24[[#This Row],[Capacity]])</f>
        <v>1</v>
      </c>
      <c r="FV18" s="40">
        <f>Buckets_2_24[[#This Row],[Final]]</f>
        <v>300</v>
      </c>
      <c r="FW18" s="40">
        <f>Buckets_2_24[[#This Row],[Capacity]]</f>
        <v>300</v>
      </c>
      <c r="FX18" s="41" t="b">
        <f t="shared" si="36"/>
        <v>1</v>
      </c>
      <c r="FY18" s="42"/>
      <c r="FZ18" s="42"/>
      <c r="GA18" s="42"/>
      <c r="GB18" s="42"/>
      <c r="GC18" s="43"/>
      <c r="GD18" s="40">
        <f t="shared" si="37"/>
        <v>300</v>
      </c>
      <c r="GE18" s="40">
        <f t="shared" si="38"/>
        <v>300</v>
      </c>
      <c r="GF18" s="41" t="b">
        <f t="shared" si="8"/>
        <v>1</v>
      </c>
      <c r="GH18" s="29">
        <f t="shared" si="39"/>
        <v>300</v>
      </c>
      <c r="GI18" s="29">
        <f>GetTransactionTotal(AggregateTable2024[], AggregateTable2024[Start], GH$1, AggregateTable2024[#Headers], $D18)</f>
        <v>-35</v>
      </c>
      <c r="GJ18" s="29">
        <f>Buckets_3_24[[#This Row],[Start]]+Buckets_3_24[[#This Row],[Transactions]]</f>
        <v>265</v>
      </c>
      <c r="GK18" s="29">
        <f t="shared" si="40"/>
        <v>300</v>
      </c>
      <c r="GL18" s="29">
        <f>Buckets_3_24[[#This Row],[Capacity]]-Buckets_3_24[[#This Row],[After T]]</f>
        <v>35</v>
      </c>
      <c r="GM18" s="29">
        <f>MAX(-Buckets_3_24[[#This Row],[Cap Diff]], 0)</f>
        <v>0</v>
      </c>
      <c r="GN18" s="29">
        <f>Buckets_3_24[[#This Row],[After T]]-Buckets_3_24[[#This Row],[Slush]]</f>
        <v>265</v>
      </c>
      <c r="GO18" s="29">
        <f>Buckets_3_24[[#This Row],[Capacity]]-Buckets_3_24[[#This Row],[Before Fill]]</f>
        <v>35</v>
      </c>
      <c r="GP18" t="b">
        <f>OR(GF18, Buckets_3_24[[#This Row],[After T]]&lt;0)</f>
        <v>1</v>
      </c>
      <c r="GQ18" s="29">
        <f>IF(Buckets_3_24[[#This Row],[Is Crit]], Buckets_3_24[[#This Row],[S Cap Diff]], 0)</f>
        <v>35</v>
      </c>
      <c r="GR18" s="29">
        <f>Buckets_3_24[[#This Row],[Before Fill]]+Buckets_3_24[[#This Row],[Crit To Fill]]</f>
        <v>300</v>
      </c>
      <c r="GS18" s="29">
        <f>IF(NOT(Buckets_3_24[[#This Row],[Is Crit]]), Buckets_3_24[[#This Row],[S Cap Diff]], 0)</f>
        <v>0</v>
      </c>
      <c r="GT18" s="31">
        <f>GR$41/Buckets_3_24[[#Totals],[NC To Fill]]*Buckets_3_24[[#This Row],[NC To Fill]]</f>
        <v>0</v>
      </c>
      <c r="GU18" s="31">
        <f>Buckets_3_24[[#This Row],[Crit Filled]]+Buckets_3_24[[#This Row],[Scaled]]</f>
        <v>300</v>
      </c>
      <c r="GV18" s="31">
        <f>Buckets_3_24[[#This Row],[NC Filled]]</f>
        <v>300</v>
      </c>
      <c r="GW18" s="31">
        <f>Buckets_3_24[[#This Row],[Capacity]]-Buckets_3_24[[#This Row],[Final]]</f>
        <v>0</v>
      </c>
      <c r="GX18" s="33">
        <f>IF(Buckets_3_24[[#This Row],[Capacity]]=0, 1, Buckets_3_24[[#This Row],[Final]]/Buckets_3_24[[#This Row],[Capacity]])</f>
        <v>1</v>
      </c>
      <c r="GZ18" s="40">
        <f>Buckets_3_24[[#This Row],[Final]]</f>
        <v>300</v>
      </c>
      <c r="HA18" s="40">
        <f>Buckets_3_24[[#This Row],[Capacity]]</f>
        <v>300</v>
      </c>
      <c r="HB18" s="41" t="b">
        <f t="shared" si="41"/>
        <v>1</v>
      </c>
      <c r="HC18" s="42"/>
      <c r="HD18" s="42"/>
      <c r="HE18" s="42"/>
      <c r="HF18" s="42"/>
      <c r="HG18" s="43"/>
      <c r="HH18" s="40">
        <f t="shared" si="42"/>
        <v>300</v>
      </c>
      <c r="HI18" s="40">
        <f t="shared" si="43"/>
        <v>300</v>
      </c>
      <c r="HJ18" s="41" t="b">
        <f t="shared" si="9"/>
        <v>1</v>
      </c>
      <c r="HL18" s="29">
        <f t="shared" si="44"/>
        <v>300</v>
      </c>
      <c r="HM18" s="29">
        <f>GetTransactionTotal(AggregateTable2024[], AggregateTable2024[Start], HL$1, AggregateTable2024[#Headers], $D18)</f>
        <v>-68.89</v>
      </c>
      <c r="HN18" s="29">
        <f>Buckets_4_24[[#This Row],[Start]]+Buckets_4_24[[#This Row],[Transactions]]</f>
        <v>231.11</v>
      </c>
      <c r="HO18" s="29">
        <f t="shared" si="45"/>
        <v>300</v>
      </c>
      <c r="HP18" s="29">
        <f>Buckets_4_24[[#This Row],[Capacity]]-Buckets_4_24[[#This Row],[After T]]</f>
        <v>68.889999999999986</v>
      </c>
      <c r="HQ18" s="29">
        <f>MAX(-Buckets_4_24[[#This Row],[Cap Diff]], 0)</f>
        <v>0</v>
      </c>
      <c r="HR18" s="29">
        <f>Buckets_4_24[[#This Row],[After T]]-Buckets_4_24[[#This Row],[Slush]]</f>
        <v>231.11</v>
      </c>
      <c r="HS18" s="29">
        <f>Buckets_4_24[[#This Row],[Capacity]]-Buckets_4_24[[#This Row],[Before Fill]]</f>
        <v>68.889999999999986</v>
      </c>
      <c r="HT18" t="b">
        <f>OR(HJ18, Buckets_4_24[[#This Row],[After T]]&lt;0)</f>
        <v>1</v>
      </c>
      <c r="HU18" s="29">
        <f>IF(Buckets_4_24[[#This Row],[Is Crit]], Buckets_4_24[[#This Row],[S Cap Diff]], 0)</f>
        <v>68.889999999999986</v>
      </c>
      <c r="HV18" s="29">
        <f>Buckets_4_24[[#This Row],[Before Fill]]+Buckets_4_24[[#This Row],[Crit To Fill]]</f>
        <v>300</v>
      </c>
      <c r="HW18" s="29">
        <f>IF(NOT(Buckets_4_24[[#This Row],[Is Crit]]), Buckets_4_24[[#This Row],[S Cap Diff]], 0)</f>
        <v>0</v>
      </c>
      <c r="HX18" s="31">
        <f>HV$41/Buckets_4_24[[#Totals],[NC To Fill]]*Buckets_4_24[[#This Row],[NC To Fill]]</f>
        <v>0</v>
      </c>
      <c r="HY18" s="31">
        <f>Buckets_4_24[[#This Row],[Crit Filled]]+Buckets_4_24[[#This Row],[Scaled]]</f>
        <v>300</v>
      </c>
      <c r="HZ18" s="31">
        <f>Buckets_4_24[[#This Row],[NC Filled]]</f>
        <v>300</v>
      </c>
      <c r="IA18" s="31">
        <f>Buckets_4_24[[#This Row],[Capacity]]-Buckets_4_24[[#This Row],[Final]]</f>
        <v>0</v>
      </c>
      <c r="IB18" s="33">
        <f>IF(Buckets_4_24[[#This Row],[Capacity]]=0, 1, Buckets_4_24[[#This Row],[Final]]/Buckets_4_24[[#This Row],[Capacity]])</f>
        <v>1</v>
      </c>
      <c r="ID18" s="40">
        <f>Buckets_4_24[[#This Row],[Final]]</f>
        <v>300</v>
      </c>
      <c r="IE18" s="40">
        <f>Buckets_4_24[[#This Row],[Capacity]]</f>
        <v>300</v>
      </c>
      <c r="IF18" s="41" t="b">
        <f t="shared" si="46"/>
        <v>1</v>
      </c>
      <c r="IG18" s="42"/>
      <c r="IH18" s="42"/>
      <c r="II18" s="42"/>
      <c r="IJ18" s="42"/>
      <c r="IK18" s="43"/>
      <c r="IL18" s="40">
        <f t="shared" si="47"/>
        <v>300</v>
      </c>
      <c r="IM18" s="40">
        <f t="shared" si="48"/>
        <v>300</v>
      </c>
      <c r="IN18" s="41" t="b">
        <f t="shared" si="10"/>
        <v>1</v>
      </c>
    </row>
    <row r="19" spans="1:248" x14ac:dyDescent="0.25">
      <c r="A19" s="49"/>
      <c r="B19" t="s">
        <v>324</v>
      </c>
      <c r="C19" t="s">
        <v>294</v>
      </c>
      <c r="D19" t="s">
        <v>294</v>
      </c>
      <c r="F19" s="30">
        <v>100</v>
      </c>
      <c r="G19" s="38">
        <v>200</v>
      </c>
      <c r="H19" t="b">
        <v>1</v>
      </c>
      <c r="J19" s="29">
        <f t="shared" si="11"/>
        <v>100</v>
      </c>
      <c r="K19" s="29">
        <f>GetTransactionTotal(AggregateTable2023[], AggregateTable2023[Start], J$1, AggregateTable2023[#Headers], $D19)</f>
        <v>-60.74</v>
      </c>
      <c r="L19" s="29">
        <f>Buckets_9_23[[#This Row],[Start]]+Buckets_9_23[[#This Row],[Transactions]]</f>
        <v>39.26</v>
      </c>
      <c r="M19" s="29">
        <f t="shared" si="12"/>
        <v>200</v>
      </c>
      <c r="N19" s="29">
        <f>Buckets_9_23[[#This Row],[Capacity]]-Buckets_9_23[[#This Row],[After T]]</f>
        <v>160.74</v>
      </c>
      <c r="O19" s="29">
        <f>IF(Buckets_9_23[[#This Row],[After T]]&lt;0, Buckets_9_23[[#This Row],[After T]], IF(Buckets_9_23[[#This Row],[Cap Diff]]&lt;0, -Buckets_9_23[[#This Row],[Cap Diff]], 0))</f>
        <v>0</v>
      </c>
      <c r="P19" s="29">
        <f>Buckets_9_23[[#This Row],[After T]]-Buckets_9_23[[#This Row],[Slush]]</f>
        <v>39.26</v>
      </c>
      <c r="Q19" s="29">
        <f>Buckets_9_23[[#This Row],[Capacity]]-Buckets_9_23[[#This Row],[Before Fill]]</f>
        <v>160.74</v>
      </c>
      <c r="R19" t="b">
        <f t="shared" si="0"/>
        <v>1</v>
      </c>
      <c r="S19" s="29">
        <f>IF(Buckets_9_23[[#This Row],[Is Crit]], Buckets_9_23[[#This Row],[S Cap Diff]], 0)</f>
        <v>160.74</v>
      </c>
      <c r="T19" s="29">
        <f>Buckets_9_23[[#This Row],[Before Fill]]+Buckets_9_23[[#This Row],[Crit To Fill]]</f>
        <v>200</v>
      </c>
      <c r="U19" s="29">
        <f>IF(NOT(Buckets_9_23[[#This Row],[Is Crit]]), Buckets_9_23[[#This Row],[S Cap Diff]], 0)</f>
        <v>0</v>
      </c>
      <c r="V19" s="31">
        <f>T$41/Buckets_9_23[[#Totals],[NC To Fill]]*Buckets_9_23[[#This Row],[NC To Fill]]</f>
        <v>0</v>
      </c>
      <c r="W19" s="31">
        <f>Buckets_9_23[[#This Row],[Crit Filled]]+Buckets_9_23[[#This Row],[Scaled]]</f>
        <v>200</v>
      </c>
      <c r="X19" s="31">
        <f>Buckets_9_23[[#This Row],[NC Filled]]</f>
        <v>200</v>
      </c>
      <c r="Y19" s="31">
        <f>Buckets_9_23[[#This Row],[Capacity]]-Buckets_9_23[[#This Row],[Final]]</f>
        <v>0</v>
      </c>
      <c r="Z19" s="33">
        <f>IF(Buckets_9_23[[#This Row],[Capacity]]=0, 1, Buckets_9_23[[#This Row],[Final]]/Buckets_9_23[[#This Row],[Capacity]])</f>
        <v>1</v>
      </c>
      <c r="AB19" s="31">
        <f>Buckets_9_23[[#This Row],[Final]]</f>
        <v>200</v>
      </c>
      <c r="AC19" s="31">
        <f>Buckets_9_23[[#This Row],[Capacity]]</f>
        <v>200</v>
      </c>
      <c r="AD19" t="b">
        <f t="shared" si="13"/>
        <v>1</v>
      </c>
      <c r="AE19" s="43" t="e">
        <f>NA()</f>
        <v>#N/A</v>
      </c>
      <c r="AF19" s="42"/>
      <c r="AG19" s="43" t="e">
        <f>NA()</f>
        <v>#N/A</v>
      </c>
      <c r="AH19" s="42"/>
      <c r="AI19" s="43"/>
      <c r="AJ19" s="31">
        <f t="shared" si="14"/>
        <v>200</v>
      </c>
      <c r="AK19" s="31">
        <f t="shared" si="15"/>
        <v>200</v>
      </c>
      <c r="AL19" t="b">
        <f t="shared" si="16"/>
        <v>1</v>
      </c>
      <c r="AN19" s="29">
        <f t="shared" si="17"/>
        <v>200</v>
      </c>
      <c r="AO19" s="29">
        <f>GetTransactionTotal(AggregateTable2023[], AggregateTable2023[Start], AN$1, AggregateTable2023[#Headers], $D19)</f>
        <v>-60.74</v>
      </c>
      <c r="AP19" s="29">
        <f>Buckets_10_23[[#This Row],[Start]]+Buckets_10_23[[#This Row],[Transactions]]</f>
        <v>139.26</v>
      </c>
      <c r="AQ19" s="29">
        <f t="shared" si="18"/>
        <v>200</v>
      </c>
      <c r="AR19" s="29">
        <f>Buckets_10_23[[#This Row],[Capacity]]-Buckets_10_23[[#This Row],[After T]]</f>
        <v>60.740000000000009</v>
      </c>
      <c r="AS19" s="29">
        <f>MAX(-Buckets_10_23[[#This Row],[Cap Diff]], 0)</f>
        <v>0</v>
      </c>
      <c r="AT19" s="29">
        <f>Buckets_10_23[[#This Row],[After T]]-Buckets_10_23[[#This Row],[Slush]]</f>
        <v>139.26</v>
      </c>
      <c r="AU19" s="29">
        <f>Buckets_10_23[[#This Row],[Capacity]]-Buckets_10_23[[#This Row],[Before Fill]]</f>
        <v>60.740000000000009</v>
      </c>
      <c r="AV19" t="b">
        <f>OR(AL19, Buckets_10_23[[#This Row],[After T]]&lt;0)</f>
        <v>1</v>
      </c>
      <c r="AW19" s="29">
        <f>IF(Buckets_10_23[[#This Row],[Is Crit]], Buckets_10_23[[#This Row],[S Cap Diff]], 0)</f>
        <v>60.740000000000009</v>
      </c>
      <c r="AX19" s="29">
        <f>Buckets_10_23[[#This Row],[Before Fill]]+Buckets_10_23[[#This Row],[Crit To Fill]]</f>
        <v>200</v>
      </c>
      <c r="AY19" s="29">
        <f>IF(NOT(Buckets_10_23[[#This Row],[Is Crit]]), Buckets_10_23[[#This Row],[S Cap Diff]], 0)</f>
        <v>0</v>
      </c>
      <c r="AZ19" s="31">
        <f>AX$41/Buckets_10_23[[#Totals],[NC To Fill]]*Buckets_10_23[[#This Row],[NC To Fill]]</f>
        <v>0</v>
      </c>
      <c r="BA19" s="31">
        <f>Buckets_10_23[[#This Row],[Crit Filled]]+Buckets_10_23[[#This Row],[Scaled]]</f>
        <v>200</v>
      </c>
      <c r="BB19" s="31">
        <f>Buckets_10_23[[#This Row],[NC Filled]]</f>
        <v>200</v>
      </c>
      <c r="BC19" s="31">
        <f>Buckets_10_23[[#This Row],[Capacity]]-Buckets_10_23[[#This Row],[Final]]</f>
        <v>0</v>
      </c>
      <c r="BD19" s="33">
        <f>IF(Buckets_10_23[[#This Row],[Capacity]]=0, 1, Buckets_10_23[[#This Row],[Final]]/Buckets_10_23[[#This Row],[Capacity]])</f>
        <v>1</v>
      </c>
      <c r="BF19" s="31">
        <f>Buckets_10_23[[#This Row],[Final]]</f>
        <v>200</v>
      </c>
      <c r="BG19" s="31">
        <f>Buckets_10_23[[#This Row],[Capacity]]</f>
        <v>200</v>
      </c>
      <c r="BH19" t="b">
        <f t="shared" si="19"/>
        <v>1</v>
      </c>
      <c r="BI19" s="43" t="e">
        <f>NA()</f>
        <v>#N/A</v>
      </c>
      <c r="BJ19" s="42"/>
      <c r="BK19" s="43" t="e">
        <f>NA()</f>
        <v>#N/A</v>
      </c>
      <c r="BL19" s="42"/>
      <c r="BM19" s="43"/>
      <c r="BN19" s="31">
        <f t="shared" si="20"/>
        <v>200</v>
      </c>
      <c r="BO19" s="31">
        <f t="shared" si="1"/>
        <v>200</v>
      </c>
      <c r="BP19" t="b">
        <f t="shared" si="2"/>
        <v>1</v>
      </c>
      <c r="BR19" s="29">
        <f t="shared" si="21"/>
        <v>200</v>
      </c>
      <c r="BS19" s="29">
        <f>GetTransactionTotal(AggregateTable2023[], AggregateTable2023[Start], BR$1, AggregateTable2023[#Headers], $D19)</f>
        <v>56.69</v>
      </c>
      <c r="BT19" s="29">
        <f>Buckets_11_23[[#This Row],[Start]]+Buckets_11_23[[#This Row],[Transactions]]</f>
        <v>256.69</v>
      </c>
      <c r="BU19" s="29">
        <f t="shared" si="22"/>
        <v>200</v>
      </c>
      <c r="BV19" s="29">
        <f>Buckets_11_23[[#This Row],[Capacity]]-Buckets_11_23[[#This Row],[After T]]</f>
        <v>-56.69</v>
      </c>
      <c r="BW19" s="29">
        <f>MAX(-Buckets_11_23[[#This Row],[Cap Diff]], 0)</f>
        <v>56.69</v>
      </c>
      <c r="BX19" s="29">
        <f>Buckets_11_23[[#This Row],[After T]]-Buckets_11_23[[#This Row],[Slush]]</f>
        <v>200</v>
      </c>
      <c r="BY19" s="29">
        <f>Buckets_11_23[[#This Row],[Capacity]]-Buckets_11_23[[#This Row],[Before Fill]]</f>
        <v>0</v>
      </c>
      <c r="BZ19" t="b">
        <f>OR(BP19, Buckets_11_23[[#This Row],[After T]]&lt;0)</f>
        <v>1</v>
      </c>
      <c r="CA19" s="29">
        <f>IF(Buckets_11_23[[#This Row],[Is Crit]], Buckets_11_23[[#This Row],[S Cap Diff]], 0)</f>
        <v>0</v>
      </c>
      <c r="CB19" s="29">
        <f>Buckets_11_23[[#This Row],[Before Fill]]+Buckets_11_23[[#This Row],[Crit To Fill]]</f>
        <v>200</v>
      </c>
      <c r="CC19" s="29">
        <f>IF(NOT(Buckets_11_23[[#This Row],[Is Crit]]), Buckets_11_23[[#This Row],[S Cap Diff]], 0)</f>
        <v>0</v>
      </c>
      <c r="CD19" s="31">
        <f>CB$41/Buckets_11_23[[#Totals],[NC To Fill]]*Buckets_11_23[[#This Row],[NC To Fill]]</f>
        <v>0</v>
      </c>
      <c r="CE19" s="31">
        <f>Buckets_11_23[[#This Row],[Crit Filled]]+Buckets_11_23[[#This Row],[Scaled]]</f>
        <v>200</v>
      </c>
      <c r="CF19" s="31">
        <f>Buckets_11_23[[#This Row],[NC Filled]]</f>
        <v>200</v>
      </c>
      <c r="CG19" s="31">
        <f>Buckets_11_23[[#This Row],[Capacity]]-Buckets_11_23[[#This Row],[Final]]</f>
        <v>0</v>
      </c>
      <c r="CH19" s="33">
        <f>IF(Buckets_11_23[[#This Row],[Capacity]]=0, 1, Buckets_11_23[[#This Row],[Final]]/Buckets_11_23[[#This Row],[Capacity]])</f>
        <v>1</v>
      </c>
      <c r="CJ19" s="40">
        <f>Buckets_11_23[[#This Row],[Final]]</f>
        <v>200</v>
      </c>
      <c r="CK19" s="40">
        <f>Buckets_11_23[[#This Row],[Capacity]]</f>
        <v>200</v>
      </c>
      <c r="CL19" s="41" t="b">
        <f t="shared" si="23"/>
        <v>1</v>
      </c>
      <c r="CM19" s="42"/>
      <c r="CN19" s="42"/>
      <c r="CO19" s="42" t="e">
        <f>NA()</f>
        <v>#N/A</v>
      </c>
      <c r="CP19" s="42"/>
      <c r="CQ19" s="43"/>
      <c r="CR19" s="40">
        <f t="shared" si="24"/>
        <v>200</v>
      </c>
      <c r="CS19" s="40">
        <f t="shared" si="3"/>
        <v>200</v>
      </c>
      <c r="CT19" s="41" t="b">
        <f t="shared" si="4"/>
        <v>1</v>
      </c>
      <c r="CV19" s="29">
        <f t="shared" si="25"/>
        <v>200</v>
      </c>
      <c r="CW19" s="29">
        <f>GetTransactionTotal(AggregateTable2023[], AggregateTable2023[Start], CV$1, AggregateTable2023[#Headers], $D19)</f>
        <v>0</v>
      </c>
      <c r="CX19" s="29">
        <f>Buckets_12_23[[#This Row],[Start]]+Buckets_12_23[[#This Row],[Transactions]]</f>
        <v>200</v>
      </c>
      <c r="CY19" s="29">
        <f t="shared" si="26"/>
        <v>200</v>
      </c>
      <c r="CZ19" s="29">
        <f>Buckets_12_23[[#This Row],[Capacity]]-Buckets_12_23[[#This Row],[After T]]</f>
        <v>0</v>
      </c>
      <c r="DA19" s="29">
        <f>MAX(-Buckets_12_23[[#This Row],[Cap Diff]], 0)</f>
        <v>0</v>
      </c>
      <c r="DB19" s="29">
        <f>Buckets_12_23[[#This Row],[After T]]-Buckets_12_23[[#This Row],[Slush]]</f>
        <v>200</v>
      </c>
      <c r="DC19" s="29">
        <f>Buckets_12_23[[#This Row],[Capacity]]-Buckets_12_23[[#This Row],[Before Fill]]</f>
        <v>0</v>
      </c>
      <c r="DD19" t="b">
        <f>OR(CT19, Buckets_12_23[[#This Row],[After T]]&lt;0)</f>
        <v>1</v>
      </c>
      <c r="DE19" s="29">
        <f>IF(Buckets_12_23[[#This Row],[Is Crit]], Buckets_12_23[[#This Row],[S Cap Diff]], 0)</f>
        <v>0</v>
      </c>
      <c r="DF19" s="29">
        <f>Buckets_12_23[[#This Row],[Before Fill]]+Buckets_12_23[[#This Row],[Crit To Fill]]</f>
        <v>200</v>
      </c>
      <c r="DG19" s="29">
        <f>IF(NOT(Buckets_12_23[[#This Row],[Is Crit]]), Buckets_12_23[[#This Row],[S Cap Diff]], 0)</f>
        <v>0</v>
      </c>
      <c r="DH19" s="31">
        <f>DF$41/Buckets_12_23[[#Totals],[NC To Fill]]*Buckets_12_23[[#This Row],[NC To Fill]]</f>
        <v>0</v>
      </c>
      <c r="DI19" s="31">
        <f>Buckets_12_23[[#This Row],[Crit Filled]]+Buckets_12_23[[#This Row],[Scaled]]</f>
        <v>200</v>
      </c>
      <c r="DJ19" s="31">
        <f>Buckets_12_23[[#This Row],[NC Filled]]</f>
        <v>200</v>
      </c>
      <c r="DK19" s="31">
        <f>Buckets_12_23[[#This Row],[Capacity]]-Buckets_12_23[[#This Row],[Final]]</f>
        <v>0</v>
      </c>
      <c r="DL19" s="33">
        <f>IF(Buckets_12_23[[#This Row],[Capacity]]=0, 1, Buckets_12_23[[#This Row],[Final]]/Buckets_12_23[[#This Row],[Capacity]])</f>
        <v>1</v>
      </c>
      <c r="DN19" s="40">
        <f>Buckets_12_23[[#This Row],[Final]]</f>
        <v>200</v>
      </c>
      <c r="DO19" s="40">
        <f>Buckets_12_23[[#This Row],[Capacity]]</f>
        <v>200</v>
      </c>
      <c r="DP19" s="41" t="b">
        <f t="shared" si="27"/>
        <v>1</v>
      </c>
      <c r="DQ19" s="42"/>
      <c r="DR19" s="42"/>
      <c r="DS19" s="42" t="e">
        <f>NA()</f>
        <v>#N/A</v>
      </c>
      <c r="DT19" s="42"/>
      <c r="DU19" s="43"/>
      <c r="DV19" s="40">
        <f t="shared" si="28"/>
        <v>200</v>
      </c>
      <c r="DW19" s="40">
        <f t="shared" si="5"/>
        <v>200</v>
      </c>
      <c r="DX19" s="41" t="b">
        <f t="shared" si="6"/>
        <v>1</v>
      </c>
      <c r="DZ19" s="29">
        <f t="shared" si="29"/>
        <v>200</v>
      </c>
      <c r="EA19" s="29">
        <f>GetTransactionTotal(AggregateTable2024[], AggregateTable2024[Start], DZ$1, AggregateTable2024[#Headers], $D19)</f>
        <v>0</v>
      </c>
      <c r="EB19" s="29">
        <f>Buckets_1_24[[#This Row],[Start]]+Buckets_1_24[[#This Row],[Transactions]]</f>
        <v>200</v>
      </c>
      <c r="EC19" s="29">
        <f t="shared" si="30"/>
        <v>200</v>
      </c>
      <c r="ED19" s="29">
        <f>Buckets_1_24[[#This Row],[Capacity]]-Buckets_1_24[[#This Row],[After T]]</f>
        <v>0</v>
      </c>
      <c r="EE19" s="29">
        <f>MAX(-Buckets_1_24[[#This Row],[Cap Diff]], 0)</f>
        <v>0</v>
      </c>
      <c r="EF19" s="29">
        <f>Buckets_1_24[[#This Row],[After T]]-Buckets_1_24[[#This Row],[Slush]]</f>
        <v>200</v>
      </c>
      <c r="EG19" s="29">
        <f>Buckets_1_24[[#This Row],[Capacity]]-Buckets_1_24[[#This Row],[Before Fill]]</f>
        <v>0</v>
      </c>
      <c r="EH19" t="b">
        <f>OR(DX19, Buckets_1_24[[#This Row],[After T]]&lt;0)</f>
        <v>1</v>
      </c>
      <c r="EI19" s="29">
        <f>IF(Buckets_1_24[[#This Row],[Is Crit]], Buckets_1_24[[#This Row],[S Cap Diff]], 0)</f>
        <v>0</v>
      </c>
      <c r="EJ19" s="29">
        <f>Buckets_1_24[[#This Row],[Before Fill]]+Buckets_1_24[[#This Row],[Crit To Fill]]</f>
        <v>200</v>
      </c>
      <c r="EK19" s="29">
        <f>IF(NOT(Buckets_1_24[[#This Row],[Is Crit]]), Buckets_1_24[[#This Row],[S Cap Diff]], 0)</f>
        <v>0</v>
      </c>
      <c r="EL19" s="31">
        <f>EJ$41/Buckets_1_24[[#Totals],[NC To Fill]]*Buckets_1_24[[#This Row],[NC To Fill]]</f>
        <v>0</v>
      </c>
      <c r="EM19" s="31">
        <f>Buckets_1_24[[#This Row],[Crit Filled]]+Buckets_1_24[[#This Row],[Scaled]]</f>
        <v>200</v>
      </c>
      <c r="EN19" s="31">
        <f>Buckets_1_24[[#This Row],[NC Filled]]</f>
        <v>200</v>
      </c>
      <c r="EO19" s="31">
        <f>Buckets_1_24[[#This Row],[Capacity]]-Buckets_1_24[[#This Row],[Final]]</f>
        <v>0</v>
      </c>
      <c r="EP19" s="33">
        <f>IF(Buckets_1_24[[#This Row],[Capacity]]=0, 1, Buckets_1_24[[#This Row],[Final]]/Buckets_1_24[[#This Row],[Capacity]])</f>
        <v>1</v>
      </c>
      <c r="ER19" s="40">
        <f>Buckets_1_24[[#This Row],[Final]]</f>
        <v>200</v>
      </c>
      <c r="ES19" s="40">
        <f>Buckets_1_24[[#This Row],[Capacity]]</f>
        <v>200</v>
      </c>
      <c r="ET19" s="41" t="b">
        <f t="shared" si="31"/>
        <v>1</v>
      </c>
      <c r="EU19" s="42"/>
      <c r="EV19" s="42"/>
      <c r="EW19" s="42"/>
      <c r="EX19" s="42"/>
      <c r="EY19" s="43"/>
      <c r="EZ19" s="40">
        <f t="shared" si="32"/>
        <v>200</v>
      </c>
      <c r="FA19" s="40">
        <f t="shared" si="33"/>
        <v>200</v>
      </c>
      <c r="FB19" s="41" t="b">
        <f t="shared" si="7"/>
        <v>1</v>
      </c>
      <c r="FD19" s="29">
        <f t="shared" si="34"/>
        <v>200</v>
      </c>
      <c r="FE19" s="29">
        <f>GetTransactionTotal(AggregateTable2024[], AggregateTable2024[Start], FD$1, AggregateTable2024[#Headers], $D19)</f>
        <v>0</v>
      </c>
      <c r="FF19" s="29">
        <f>Buckets_2_24[[#This Row],[Start]]+Buckets_2_24[[#This Row],[Transactions]]</f>
        <v>200</v>
      </c>
      <c r="FG19" s="29">
        <f t="shared" si="35"/>
        <v>200</v>
      </c>
      <c r="FH19" s="29">
        <f>Buckets_2_24[[#This Row],[Capacity]]-Buckets_2_24[[#This Row],[After T]]</f>
        <v>0</v>
      </c>
      <c r="FI19" s="29">
        <f>MAX(-Buckets_2_24[[#This Row],[Cap Diff]], 0)</f>
        <v>0</v>
      </c>
      <c r="FJ19" s="29">
        <f>Buckets_2_24[[#This Row],[After T]]-Buckets_2_24[[#This Row],[Slush]]</f>
        <v>200</v>
      </c>
      <c r="FK19" s="29">
        <f>Buckets_2_24[[#This Row],[Capacity]]-Buckets_2_24[[#This Row],[Before Fill]]</f>
        <v>0</v>
      </c>
      <c r="FL19" t="b">
        <f>OR(FB19, Buckets_2_24[[#This Row],[After T]]&lt;0)</f>
        <v>1</v>
      </c>
      <c r="FM19" s="29">
        <f>IF(Buckets_2_24[[#This Row],[Is Crit]], Buckets_2_24[[#This Row],[S Cap Diff]], 0)</f>
        <v>0</v>
      </c>
      <c r="FN19" s="29">
        <f>Buckets_2_24[[#This Row],[Before Fill]]+Buckets_2_24[[#This Row],[Crit To Fill]]</f>
        <v>200</v>
      </c>
      <c r="FO19" s="29">
        <f>IF(NOT(Buckets_2_24[[#This Row],[Is Crit]]), Buckets_2_24[[#This Row],[S Cap Diff]], 0)</f>
        <v>0</v>
      </c>
      <c r="FP19" s="31">
        <f>FN$41/Buckets_2_24[[#Totals],[NC To Fill]]*Buckets_2_24[[#This Row],[NC To Fill]]</f>
        <v>0</v>
      </c>
      <c r="FQ19" s="31">
        <f>Buckets_2_24[[#This Row],[Crit Filled]]+Buckets_2_24[[#This Row],[Scaled]]</f>
        <v>200</v>
      </c>
      <c r="FR19" s="31">
        <f>Buckets_2_24[[#This Row],[NC Filled]]</f>
        <v>200</v>
      </c>
      <c r="FS19" s="31">
        <f>Buckets_2_24[[#This Row],[Capacity]]-Buckets_2_24[[#This Row],[Final]]</f>
        <v>0</v>
      </c>
      <c r="FT19" s="33">
        <f>IF(Buckets_2_24[[#This Row],[Capacity]]=0, 1, Buckets_2_24[[#This Row],[Final]]/Buckets_2_24[[#This Row],[Capacity]])</f>
        <v>1</v>
      </c>
      <c r="FV19" s="40">
        <f>Buckets_2_24[[#This Row],[Final]]</f>
        <v>200</v>
      </c>
      <c r="FW19" s="40">
        <f>Buckets_2_24[[#This Row],[Capacity]]</f>
        <v>200</v>
      </c>
      <c r="FX19" s="41" t="b">
        <f t="shared" si="36"/>
        <v>1</v>
      </c>
      <c r="FY19" s="42"/>
      <c r="FZ19" s="42"/>
      <c r="GA19" s="42"/>
      <c r="GB19" s="42"/>
      <c r="GC19" s="43"/>
      <c r="GD19" s="40">
        <f t="shared" si="37"/>
        <v>200</v>
      </c>
      <c r="GE19" s="40">
        <f t="shared" si="38"/>
        <v>200</v>
      </c>
      <c r="GF19" s="41" t="b">
        <f t="shared" si="8"/>
        <v>1</v>
      </c>
      <c r="GH19" s="29">
        <f t="shared" si="39"/>
        <v>200</v>
      </c>
      <c r="GI19" s="29">
        <f>GetTransactionTotal(AggregateTable2024[], AggregateTable2024[Start], GH$1, AggregateTable2024[#Headers], $D19)</f>
        <v>0</v>
      </c>
      <c r="GJ19" s="29">
        <f>Buckets_3_24[[#This Row],[Start]]+Buckets_3_24[[#This Row],[Transactions]]</f>
        <v>200</v>
      </c>
      <c r="GK19" s="29">
        <f t="shared" si="40"/>
        <v>200</v>
      </c>
      <c r="GL19" s="29">
        <f>Buckets_3_24[[#This Row],[Capacity]]-Buckets_3_24[[#This Row],[After T]]</f>
        <v>0</v>
      </c>
      <c r="GM19" s="29">
        <f>MAX(-Buckets_3_24[[#This Row],[Cap Diff]], 0)</f>
        <v>0</v>
      </c>
      <c r="GN19" s="29">
        <f>Buckets_3_24[[#This Row],[After T]]-Buckets_3_24[[#This Row],[Slush]]</f>
        <v>200</v>
      </c>
      <c r="GO19" s="29">
        <f>Buckets_3_24[[#This Row],[Capacity]]-Buckets_3_24[[#This Row],[Before Fill]]</f>
        <v>0</v>
      </c>
      <c r="GP19" t="b">
        <f>OR(GF19, Buckets_3_24[[#This Row],[After T]]&lt;0)</f>
        <v>1</v>
      </c>
      <c r="GQ19" s="29">
        <f>IF(Buckets_3_24[[#This Row],[Is Crit]], Buckets_3_24[[#This Row],[S Cap Diff]], 0)</f>
        <v>0</v>
      </c>
      <c r="GR19" s="29">
        <f>Buckets_3_24[[#This Row],[Before Fill]]+Buckets_3_24[[#This Row],[Crit To Fill]]</f>
        <v>200</v>
      </c>
      <c r="GS19" s="29">
        <f>IF(NOT(Buckets_3_24[[#This Row],[Is Crit]]), Buckets_3_24[[#This Row],[S Cap Diff]], 0)</f>
        <v>0</v>
      </c>
      <c r="GT19" s="31">
        <f>GR$41/Buckets_3_24[[#Totals],[NC To Fill]]*Buckets_3_24[[#This Row],[NC To Fill]]</f>
        <v>0</v>
      </c>
      <c r="GU19" s="31">
        <f>Buckets_3_24[[#This Row],[Crit Filled]]+Buckets_3_24[[#This Row],[Scaled]]</f>
        <v>200</v>
      </c>
      <c r="GV19" s="31">
        <f>Buckets_3_24[[#This Row],[NC Filled]]</f>
        <v>200</v>
      </c>
      <c r="GW19" s="31">
        <f>Buckets_3_24[[#This Row],[Capacity]]-Buckets_3_24[[#This Row],[Final]]</f>
        <v>0</v>
      </c>
      <c r="GX19" s="33">
        <f>IF(Buckets_3_24[[#This Row],[Capacity]]=0, 1, Buckets_3_24[[#This Row],[Final]]/Buckets_3_24[[#This Row],[Capacity]])</f>
        <v>1</v>
      </c>
      <c r="GZ19" s="40">
        <f>Buckets_3_24[[#This Row],[Final]]</f>
        <v>200</v>
      </c>
      <c r="HA19" s="40">
        <f>Buckets_3_24[[#This Row],[Capacity]]</f>
        <v>200</v>
      </c>
      <c r="HB19" s="41" t="b">
        <f t="shared" si="41"/>
        <v>1</v>
      </c>
      <c r="HC19" s="42"/>
      <c r="HD19" s="42"/>
      <c r="HE19" s="42"/>
      <c r="HF19" s="42"/>
      <c r="HG19" s="43"/>
      <c r="HH19" s="40">
        <f t="shared" si="42"/>
        <v>200</v>
      </c>
      <c r="HI19" s="40">
        <f t="shared" si="43"/>
        <v>200</v>
      </c>
      <c r="HJ19" s="41" t="b">
        <f t="shared" si="9"/>
        <v>1</v>
      </c>
      <c r="HL19" s="29">
        <f t="shared" si="44"/>
        <v>200</v>
      </c>
      <c r="HM19" s="29">
        <f>GetTransactionTotal(AggregateTable2024[], AggregateTable2024[Start], HL$1, AggregateTable2024[#Headers], $D19)</f>
        <v>0</v>
      </c>
      <c r="HN19" s="29">
        <f>Buckets_4_24[[#This Row],[Start]]+Buckets_4_24[[#This Row],[Transactions]]</f>
        <v>200</v>
      </c>
      <c r="HO19" s="29">
        <f t="shared" si="45"/>
        <v>200</v>
      </c>
      <c r="HP19" s="29">
        <f>Buckets_4_24[[#This Row],[Capacity]]-Buckets_4_24[[#This Row],[After T]]</f>
        <v>0</v>
      </c>
      <c r="HQ19" s="29">
        <f>MAX(-Buckets_4_24[[#This Row],[Cap Diff]], 0)</f>
        <v>0</v>
      </c>
      <c r="HR19" s="29">
        <f>Buckets_4_24[[#This Row],[After T]]-Buckets_4_24[[#This Row],[Slush]]</f>
        <v>200</v>
      </c>
      <c r="HS19" s="29">
        <f>Buckets_4_24[[#This Row],[Capacity]]-Buckets_4_24[[#This Row],[Before Fill]]</f>
        <v>0</v>
      </c>
      <c r="HT19" t="b">
        <f>OR(HJ19, Buckets_4_24[[#This Row],[After T]]&lt;0)</f>
        <v>1</v>
      </c>
      <c r="HU19" s="29">
        <f>IF(Buckets_4_24[[#This Row],[Is Crit]], Buckets_4_24[[#This Row],[S Cap Diff]], 0)</f>
        <v>0</v>
      </c>
      <c r="HV19" s="29">
        <f>Buckets_4_24[[#This Row],[Before Fill]]+Buckets_4_24[[#This Row],[Crit To Fill]]</f>
        <v>200</v>
      </c>
      <c r="HW19" s="29">
        <f>IF(NOT(Buckets_4_24[[#This Row],[Is Crit]]), Buckets_4_24[[#This Row],[S Cap Diff]], 0)</f>
        <v>0</v>
      </c>
      <c r="HX19" s="31">
        <f>HV$41/Buckets_4_24[[#Totals],[NC To Fill]]*Buckets_4_24[[#This Row],[NC To Fill]]</f>
        <v>0</v>
      </c>
      <c r="HY19" s="31">
        <f>Buckets_4_24[[#This Row],[Crit Filled]]+Buckets_4_24[[#This Row],[Scaled]]</f>
        <v>200</v>
      </c>
      <c r="HZ19" s="31">
        <f>Buckets_4_24[[#This Row],[NC Filled]]</f>
        <v>200</v>
      </c>
      <c r="IA19" s="31">
        <f>Buckets_4_24[[#This Row],[Capacity]]-Buckets_4_24[[#This Row],[Final]]</f>
        <v>0</v>
      </c>
      <c r="IB19" s="33">
        <f>IF(Buckets_4_24[[#This Row],[Capacity]]=0, 1, Buckets_4_24[[#This Row],[Final]]/Buckets_4_24[[#This Row],[Capacity]])</f>
        <v>1</v>
      </c>
      <c r="ID19" s="40">
        <f>Buckets_4_24[[#This Row],[Final]]</f>
        <v>200</v>
      </c>
      <c r="IE19" s="40">
        <f>Buckets_4_24[[#This Row],[Capacity]]</f>
        <v>200</v>
      </c>
      <c r="IF19" s="41" t="b">
        <f t="shared" si="46"/>
        <v>1</v>
      </c>
      <c r="IG19" s="42"/>
      <c r="IH19" s="42"/>
      <c r="II19" s="42"/>
      <c r="IJ19" s="42"/>
      <c r="IK19" s="43"/>
      <c r="IL19" s="40">
        <f t="shared" si="47"/>
        <v>200</v>
      </c>
      <c r="IM19" s="40">
        <f t="shared" si="48"/>
        <v>200</v>
      </c>
      <c r="IN19" s="41" t="b">
        <f t="shared" si="10"/>
        <v>1</v>
      </c>
    </row>
    <row r="20" spans="1:248" x14ac:dyDescent="0.25">
      <c r="A20" s="49"/>
      <c r="B20" t="s">
        <v>324</v>
      </c>
      <c r="C20" t="s">
        <v>321</v>
      </c>
      <c r="D20" t="s">
        <v>295</v>
      </c>
      <c r="F20" s="30">
        <v>0</v>
      </c>
      <c r="G20" s="38">
        <v>1000</v>
      </c>
      <c r="H20" t="b">
        <v>0</v>
      </c>
      <c r="J20" s="29">
        <f t="shared" si="11"/>
        <v>0</v>
      </c>
      <c r="K20" s="29">
        <f>GetTransactionTotal(AggregateTable2023[], AggregateTable2023[Start], J$1, AggregateTable2023[#Headers], $D20)</f>
        <v>-1085.93</v>
      </c>
      <c r="L20" s="29">
        <f>Buckets_9_23[[#This Row],[Start]]+Buckets_9_23[[#This Row],[Transactions]]</f>
        <v>-1085.93</v>
      </c>
      <c r="M20" s="29">
        <f t="shared" si="12"/>
        <v>1000</v>
      </c>
      <c r="N20" s="29">
        <f>Buckets_9_23[[#This Row],[Capacity]]-Buckets_9_23[[#This Row],[After T]]</f>
        <v>2085.9300000000003</v>
      </c>
      <c r="O20" s="29">
        <f>IF(Buckets_9_23[[#This Row],[After T]]&lt;0, Buckets_9_23[[#This Row],[After T]], IF(Buckets_9_23[[#This Row],[Cap Diff]]&lt;0, -Buckets_9_23[[#This Row],[Cap Diff]], 0))</f>
        <v>-1085.93</v>
      </c>
      <c r="P20" s="29">
        <f>Buckets_9_23[[#This Row],[After T]]-Buckets_9_23[[#This Row],[Slush]]</f>
        <v>0</v>
      </c>
      <c r="Q20" s="29">
        <f>Buckets_9_23[[#This Row],[Capacity]]-Buckets_9_23[[#This Row],[Before Fill]]</f>
        <v>1000</v>
      </c>
      <c r="R20" t="b">
        <f t="shared" si="0"/>
        <v>0</v>
      </c>
      <c r="S20" s="29">
        <f>IF(Buckets_9_23[[#This Row],[Is Crit]], Buckets_9_23[[#This Row],[S Cap Diff]], 0)</f>
        <v>0</v>
      </c>
      <c r="T20" s="29">
        <f>Buckets_9_23[[#This Row],[Before Fill]]+Buckets_9_23[[#This Row],[Crit To Fill]]</f>
        <v>0</v>
      </c>
      <c r="U20" s="29">
        <f>IF(NOT(Buckets_9_23[[#This Row],[Is Crit]]), Buckets_9_23[[#This Row],[S Cap Diff]], 0)</f>
        <v>1000</v>
      </c>
      <c r="V20" s="31">
        <f>T$41/Buckets_9_23[[#Totals],[NC To Fill]]*Buckets_9_23[[#This Row],[NC To Fill]]</f>
        <v>872.81759709663925</v>
      </c>
      <c r="W20" s="31">
        <f>Buckets_9_23[[#This Row],[Crit Filled]]+Buckets_9_23[[#This Row],[Scaled]]</f>
        <v>872.81759709663925</v>
      </c>
      <c r="X20" s="31">
        <f>Buckets_9_23[[#This Row],[NC Filled]]</f>
        <v>872.81759709663925</v>
      </c>
      <c r="Y20" s="31">
        <f>Buckets_9_23[[#This Row],[Capacity]]-Buckets_9_23[[#This Row],[Final]]</f>
        <v>127.18240290336075</v>
      </c>
      <c r="Z20" s="33">
        <f>IF(Buckets_9_23[[#This Row],[Capacity]]=0, 1, Buckets_9_23[[#This Row],[Final]]/Buckets_9_23[[#This Row],[Capacity]])</f>
        <v>0.8728175970966392</v>
      </c>
      <c r="AB20" s="31">
        <f>Buckets_9_23[[#This Row],[Final]]</f>
        <v>872.81759709663925</v>
      </c>
      <c r="AC20" s="31">
        <f>Buckets_9_23[[#This Row],[Capacity]]</f>
        <v>1000</v>
      </c>
      <c r="AD20" t="b">
        <f t="shared" si="13"/>
        <v>0</v>
      </c>
      <c r="AE20" s="43" t="e">
        <f>NA()</f>
        <v>#N/A</v>
      </c>
      <c r="AF20" s="42"/>
      <c r="AG20" s="43" t="e">
        <f>NA()</f>
        <v>#N/A</v>
      </c>
      <c r="AH20" s="42"/>
      <c r="AI20" s="43"/>
      <c r="AJ20" s="31">
        <f t="shared" si="14"/>
        <v>872.81759709663925</v>
      </c>
      <c r="AK20" s="31">
        <f t="shared" si="15"/>
        <v>1000</v>
      </c>
      <c r="AL20" t="b">
        <f t="shared" si="16"/>
        <v>0</v>
      </c>
      <c r="AN20" s="29">
        <f t="shared" si="17"/>
        <v>872.81759709663925</v>
      </c>
      <c r="AO20" s="29">
        <f>GetTransactionTotal(AggregateTable2023[], AggregateTable2023[Start], AN$1, AggregateTable2023[#Headers], $D20)</f>
        <v>-35.380000000000003</v>
      </c>
      <c r="AP20" s="29">
        <f>Buckets_10_23[[#This Row],[Start]]+Buckets_10_23[[#This Row],[Transactions]]</f>
        <v>837.43759709663925</v>
      </c>
      <c r="AQ20" s="29">
        <f t="shared" si="18"/>
        <v>1000</v>
      </c>
      <c r="AR20" s="29">
        <f>Buckets_10_23[[#This Row],[Capacity]]-Buckets_10_23[[#This Row],[After T]]</f>
        <v>162.56240290336075</v>
      </c>
      <c r="AS20" s="29">
        <f>MAX(-Buckets_10_23[[#This Row],[Cap Diff]], 0)</f>
        <v>0</v>
      </c>
      <c r="AT20" s="29">
        <f>Buckets_10_23[[#This Row],[After T]]-Buckets_10_23[[#This Row],[Slush]]</f>
        <v>837.43759709663925</v>
      </c>
      <c r="AU20" s="29">
        <f>Buckets_10_23[[#This Row],[Capacity]]-Buckets_10_23[[#This Row],[Before Fill]]</f>
        <v>162.56240290336075</v>
      </c>
      <c r="AV20" t="b">
        <f>OR(AL20, Buckets_10_23[[#This Row],[After T]]&lt;0)</f>
        <v>0</v>
      </c>
      <c r="AW20" s="29">
        <f>IF(Buckets_10_23[[#This Row],[Is Crit]], Buckets_10_23[[#This Row],[S Cap Diff]], 0)</f>
        <v>0</v>
      </c>
      <c r="AX20" s="29">
        <f>Buckets_10_23[[#This Row],[Before Fill]]+Buckets_10_23[[#This Row],[Crit To Fill]]</f>
        <v>837.43759709663925</v>
      </c>
      <c r="AY20" s="29">
        <f>IF(NOT(Buckets_10_23[[#This Row],[Is Crit]]), Buckets_10_23[[#This Row],[S Cap Diff]], 0)</f>
        <v>162.56240290336075</v>
      </c>
      <c r="AZ20" s="31">
        <f>AX$41/Buckets_10_23[[#Totals],[NC To Fill]]*Buckets_10_23[[#This Row],[NC To Fill]]</f>
        <v>96.557570532223778</v>
      </c>
      <c r="BA20" s="31">
        <f>Buckets_10_23[[#This Row],[Crit Filled]]+Buckets_10_23[[#This Row],[Scaled]]</f>
        <v>933.99516762886299</v>
      </c>
      <c r="BB20" s="31">
        <f>Buckets_10_23[[#This Row],[NC Filled]]</f>
        <v>933.99516762886299</v>
      </c>
      <c r="BC20" s="31">
        <f>Buckets_10_23[[#This Row],[Capacity]]-Buckets_10_23[[#This Row],[Final]]</f>
        <v>66.004832371137013</v>
      </c>
      <c r="BD20" s="33">
        <f>IF(Buckets_10_23[[#This Row],[Capacity]]=0, 1, Buckets_10_23[[#This Row],[Final]]/Buckets_10_23[[#This Row],[Capacity]])</f>
        <v>0.93399516762886303</v>
      </c>
      <c r="BF20" s="31">
        <f>Buckets_10_23[[#This Row],[Final]]</f>
        <v>933.99516762886299</v>
      </c>
      <c r="BG20" s="31">
        <f>Buckets_10_23[[#This Row],[Capacity]]</f>
        <v>1000</v>
      </c>
      <c r="BH20" t="b">
        <f t="shared" si="19"/>
        <v>0</v>
      </c>
      <c r="BI20" s="43" t="e">
        <f>NA()</f>
        <v>#N/A</v>
      </c>
      <c r="BJ20" s="42"/>
      <c r="BK20" s="43" t="e">
        <f>NA()</f>
        <v>#N/A</v>
      </c>
      <c r="BL20" s="42"/>
      <c r="BM20" s="43"/>
      <c r="BN20" s="31">
        <f t="shared" si="20"/>
        <v>933.99516762886299</v>
      </c>
      <c r="BO20" s="31">
        <f t="shared" si="1"/>
        <v>1000</v>
      </c>
      <c r="BP20" t="b">
        <f t="shared" si="2"/>
        <v>0</v>
      </c>
      <c r="BR20" s="29">
        <f t="shared" si="21"/>
        <v>933.99516762886299</v>
      </c>
      <c r="BS20" s="29">
        <f>GetTransactionTotal(AggregateTable2023[], AggregateTable2023[Start], BR$1, AggregateTable2023[#Headers], $D20)</f>
        <v>-757.69</v>
      </c>
      <c r="BT20" s="29">
        <f>Buckets_11_23[[#This Row],[Start]]+Buckets_11_23[[#This Row],[Transactions]]</f>
        <v>176.30516762886293</v>
      </c>
      <c r="BU20" s="29">
        <f t="shared" si="22"/>
        <v>1000</v>
      </c>
      <c r="BV20" s="29">
        <f>Buckets_11_23[[#This Row],[Capacity]]-Buckets_11_23[[#This Row],[After T]]</f>
        <v>823.69483237113707</v>
      </c>
      <c r="BW20" s="29">
        <f>MAX(-Buckets_11_23[[#This Row],[Cap Diff]], 0)</f>
        <v>0</v>
      </c>
      <c r="BX20" s="29">
        <f>Buckets_11_23[[#This Row],[After T]]-Buckets_11_23[[#This Row],[Slush]]</f>
        <v>176.30516762886293</v>
      </c>
      <c r="BY20" s="29">
        <f>Buckets_11_23[[#This Row],[Capacity]]-Buckets_11_23[[#This Row],[Before Fill]]</f>
        <v>823.69483237113707</v>
      </c>
      <c r="BZ20" t="b">
        <f>OR(BP20, Buckets_11_23[[#This Row],[After T]]&lt;0)</f>
        <v>0</v>
      </c>
      <c r="CA20" s="29">
        <f>IF(Buckets_11_23[[#This Row],[Is Crit]], Buckets_11_23[[#This Row],[S Cap Diff]], 0)</f>
        <v>0</v>
      </c>
      <c r="CB20" s="29">
        <f>Buckets_11_23[[#This Row],[Before Fill]]+Buckets_11_23[[#This Row],[Crit To Fill]]</f>
        <v>176.30516762886293</v>
      </c>
      <c r="CC20" s="29">
        <f>IF(NOT(Buckets_11_23[[#This Row],[Is Crit]]), Buckets_11_23[[#This Row],[S Cap Diff]], 0)</f>
        <v>823.69483237113707</v>
      </c>
      <c r="CD20" s="31">
        <f>CB$41/Buckets_11_23[[#Totals],[NC To Fill]]*Buckets_11_23[[#This Row],[NC To Fill]]</f>
        <v>812.33034869009066</v>
      </c>
      <c r="CE20" s="31">
        <f>Buckets_11_23[[#This Row],[Crit Filled]]+Buckets_11_23[[#This Row],[Scaled]]</f>
        <v>988.63551631895359</v>
      </c>
      <c r="CF20" s="31">
        <f>Buckets_11_23[[#This Row],[NC Filled]]</f>
        <v>988.63551631895359</v>
      </c>
      <c r="CG20" s="31">
        <f>Buckets_11_23[[#This Row],[Capacity]]-Buckets_11_23[[#This Row],[Final]]</f>
        <v>11.364483681046408</v>
      </c>
      <c r="CH20" s="33">
        <f>IF(Buckets_11_23[[#This Row],[Capacity]]=0, 1, Buckets_11_23[[#This Row],[Final]]/Buckets_11_23[[#This Row],[Capacity]])</f>
        <v>0.98863551631895363</v>
      </c>
      <c r="CJ20" s="40">
        <f>Buckets_11_23[[#This Row],[Final]]</f>
        <v>988.63551631895359</v>
      </c>
      <c r="CK20" s="40">
        <f>Buckets_11_23[[#This Row],[Capacity]]</f>
        <v>1000</v>
      </c>
      <c r="CL20" s="41" t="b">
        <f t="shared" si="23"/>
        <v>0</v>
      </c>
      <c r="CM20" s="42">
        <v>-500</v>
      </c>
      <c r="CN20" s="42"/>
      <c r="CO20" s="42" t="e">
        <f>NA()</f>
        <v>#N/A</v>
      </c>
      <c r="CP20" s="42">
        <v>500</v>
      </c>
      <c r="CQ20" s="43"/>
      <c r="CR20" s="40">
        <f t="shared" si="24"/>
        <v>488.63551631895359</v>
      </c>
      <c r="CS20" s="40">
        <f t="shared" si="3"/>
        <v>500</v>
      </c>
      <c r="CT20" s="41" t="b">
        <f t="shared" si="4"/>
        <v>0</v>
      </c>
      <c r="CV20" s="29">
        <f t="shared" si="25"/>
        <v>488.63551631895359</v>
      </c>
      <c r="CW20" s="29">
        <f>GetTransactionTotal(AggregateTable2023[], AggregateTable2023[Start], CV$1, AggregateTable2023[#Headers], $D20)</f>
        <v>0</v>
      </c>
      <c r="CX20" s="29">
        <f>Buckets_12_23[[#This Row],[Start]]+Buckets_12_23[[#This Row],[Transactions]]</f>
        <v>488.63551631895359</v>
      </c>
      <c r="CY20" s="29">
        <f t="shared" si="26"/>
        <v>500</v>
      </c>
      <c r="CZ20" s="29">
        <f>Buckets_12_23[[#This Row],[Capacity]]-Buckets_12_23[[#This Row],[After T]]</f>
        <v>11.364483681046408</v>
      </c>
      <c r="DA20" s="29">
        <f>MAX(-Buckets_12_23[[#This Row],[Cap Diff]], 0)</f>
        <v>0</v>
      </c>
      <c r="DB20" s="29">
        <f>Buckets_12_23[[#This Row],[After T]]-Buckets_12_23[[#This Row],[Slush]]</f>
        <v>488.63551631895359</v>
      </c>
      <c r="DC20" s="29">
        <f>Buckets_12_23[[#This Row],[Capacity]]-Buckets_12_23[[#This Row],[Before Fill]]</f>
        <v>11.364483681046408</v>
      </c>
      <c r="DD20" t="b">
        <f>OR(CT20, Buckets_12_23[[#This Row],[After T]]&lt;0)</f>
        <v>0</v>
      </c>
      <c r="DE20" s="29">
        <f>IF(Buckets_12_23[[#This Row],[Is Crit]], Buckets_12_23[[#This Row],[S Cap Diff]], 0)</f>
        <v>0</v>
      </c>
      <c r="DF20" s="29">
        <f>Buckets_12_23[[#This Row],[Before Fill]]+Buckets_12_23[[#This Row],[Crit To Fill]]</f>
        <v>488.63551631895359</v>
      </c>
      <c r="DG20" s="29">
        <f>IF(NOT(Buckets_12_23[[#This Row],[Is Crit]]), Buckets_12_23[[#This Row],[S Cap Diff]], 0)</f>
        <v>11.364483681046408</v>
      </c>
      <c r="DH20" s="31">
        <f>DF$41/Buckets_12_23[[#Totals],[NC To Fill]]*Buckets_12_23[[#This Row],[NC To Fill]]</f>
        <v>5.1960699505097665</v>
      </c>
      <c r="DI20" s="31">
        <f>Buckets_12_23[[#This Row],[Crit Filled]]+Buckets_12_23[[#This Row],[Scaled]]</f>
        <v>493.83158626946334</v>
      </c>
      <c r="DJ20" s="31">
        <f>Buckets_12_23[[#This Row],[NC Filled]]</f>
        <v>493.83158626946334</v>
      </c>
      <c r="DK20" s="31">
        <f>Buckets_12_23[[#This Row],[Capacity]]-Buckets_12_23[[#This Row],[Final]]</f>
        <v>6.1684137305366562</v>
      </c>
      <c r="DL20" s="33">
        <f>IF(Buckets_12_23[[#This Row],[Capacity]]=0, 1, Buckets_12_23[[#This Row],[Final]]/Buckets_12_23[[#This Row],[Capacity]])</f>
        <v>0.98766317253892666</v>
      </c>
      <c r="DN20" s="40">
        <f>Buckets_12_23[[#This Row],[Final]]</f>
        <v>493.83158626946334</v>
      </c>
      <c r="DO20" s="40">
        <f>Buckets_12_23[[#This Row],[Capacity]]</f>
        <v>500</v>
      </c>
      <c r="DP20" s="41" t="b">
        <f t="shared" si="27"/>
        <v>0</v>
      </c>
      <c r="DQ20" s="42"/>
      <c r="DR20" s="42"/>
      <c r="DS20" s="42" t="e">
        <f>NA()</f>
        <v>#N/A</v>
      </c>
      <c r="DT20" s="42"/>
      <c r="DU20" s="43"/>
      <c r="DV20" s="40">
        <f t="shared" si="28"/>
        <v>493.83158626946334</v>
      </c>
      <c r="DW20" s="40">
        <f t="shared" si="5"/>
        <v>500</v>
      </c>
      <c r="DX20" s="41" t="b">
        <f t="shared" si="6"/>
        <v>0</v>
      </c>
      <c r="DZ20" s="29">
        <f t="shared" si="29"/>
        <v>493.83158626946334</v>
      </c>
      <c r="EA20" s="29">
        <f>GetTransactionTotal(AggregateTable2024[], AggregateTable2024[Start], DZ$1, AggregateTable2024[#Headers], $D20)</f>
        <v>0</v>
      </c>
      <c r="EB20" s="29">
        <f>Buckets_1_24[[#This Row],[Start]]+Buckets_1_24[[#This Row],[Transactions]]</f>
        <v>493.83158626946334</v>
      </c>
      <c r="EC20" s="29">
        <f t="shared" si="30"/>
        <v>500</v>
      </c>
      <c r="ED20" s="29">
        <f>Buckets_1_24[[#This Row],[Capacity]]-Buckets_1_24[[#This Row],[After T]]</f>
        <v>6.1684137305366562</v>
      </c>
      <c r="EE20" s="29">
        <f>MAX(-Buckets_1_24[[#This Row],[Cap Diff]], 0)</f>
        <v>0</v>
      </c>
      <c r="EF20" s="29">
        <f>Buckets_1_24[[#This Row],[After T]]-Buckets_1_24[[#This Row],[Slush]]</f>
        <v>493.83158626946334</v>
      </c>
      <c r="EG20" s="29">
        <f>Buckets_1_24[[#This Row],[Capacity]]-Buckets_1_24[[#This Row],[Before Fill]]</f>
        <v>6.1684137305366562</v>
      </c>
      <c r="EH20" t="b">
        <f>OR(DX20, Buckets_1_24[[#This Row],[After T]]&lt;0)</f>
        <v>0</v>
      </c>
      <c r="EI20" s="29">
        <f>IF(Buckets_1_24[[#This Row],[Is Crit]], Buckets_1_24[[#This Row],[S Cap Diff]], 0)</f>
        <v>0</v>
      </c>
      <c r="EJ20" s="29">
        <f>Buckets_1_24[[#This Row],[Before Fill]]+Buckets_1_24[[#This Row],[Crit To Fill]]</f>
        <v>493.83158626946334</v>
      </c>
      <c r="EK20" s="29">
        <f>IF(NOT(Buckets_1_24[[#This Row],[Is Crit]]), Buckets_1_24[[#This Row],[S Cap Diff]], 0)</f>
        <v>6.1684137305366562</v>
      </c>
      <c r="EL20" s="31">
        <f>EJ$41/Buckets_1_24[[#Totals],[NC To Fill]]*Buckets_1_24[[#This Row],[NC To Fill]]</f>
        <v>3.787359275607634</v>
      </c>
      <c r="EM20" s="31">
        <f>Buckets_1_24[[#This Row],[Crit Filled]]+Buckets_1_24[[#This Row],[Scaled]]</f>
        <v>497.61894554507097</v>
      </c>
      <c r="EN20" s="31">
        <f>Buckets_1_24[[#This Row],[NC Filled]]</f>
        <v>497.61894554507097</v>
      </c>
      <c r="EO20" s="31">
        <f>Buckets_1_24[[#This Row],[Capacity]]-Buckets_1_24[[#This Row],[Final]]</f>
        <v>2.3810544549290285</v>
      </c>
      <c r="EP20" s="33">
        <f>IF(Buckets_1_24[[#This Row],[Capacity]]=0, 1, Buckets_1_24[[#This Row],[Final]]/Buckets_1_24[[#This Row],[Capacity]])</f>
        <v>0.99523789109014194</v>
      </c>
      <c r="ER20" s="40">
        <f>Buckets_1_24[[#This Row],[Final]]</f>
        <v>497.61894554507097</v>
      </c>
      <c r="ES20" s="40">
        <f>Buckets_1_24[[#This Row],[Capacity]]</f>
        <v>500</v>
      </c>
      <c r="ET20" s="41" t="b">
        <f t="shared" si="31"/>
        <v>0</v>
      </c>
      <c r="EU20" s="42"/>
      <c r="EV20" s="42"/>
      <c r="EW20" s="42"/>
      <c r="EX20" s="42"/>
      <c r="EY20" s="43"/>
      <c r="EZ20" s="40">
        <f t="shared" si="32"/>
        <v>497.61894554507097</v>
      </c>
      <c r="FA20" s="40">
        <f t="shared" si="33"/>
        <v>500</v>
      </c>
      <c r="FB20" s="41" t="b">
        <f t="shared" si="7"/>
        <v>0</v>
      </c>
      <c r="FD20" s="29">
        <f t="shared" si="34"/>
        <v>497.61894554507097</v>
      </c>
      <c r="FE20" s="29">
        <f>GetTransactionTotal(AggregateTable2024[], AggregateTable2024[Start], FD$1, AggregateTable2024[#Headers], $D20)</f>
        <v>0</v>
      </c>
      <c r="FF20" s="29">
        <f>Buckets_2_24[[#This Row],[Start]]+Buckets_2_24[[#This Row],[Transactions]]</f>
        <v>497.61894554507097</v>
      </c>
      <c r="FG20" s="29">
        <f t="shared" si="35"/>
        <v>500</v>
      </c>
      <c r="FH20" s="29">
        <f>Buckets_2_24[[#This Row],[Capacity]]-Buckets_2_24[[#This Row],[After T]]</f>
        <v>2.3810544549290285</v>
      </c>
      <c r="FI20" s="29">
        <f>MAX(-Buckets_2_24[[#This Row],[Cap Diff]], 0)</f>
        <v>0</v>
      </c>
      <c r="FJ20" s="29">
        <f>Buckets_2_24[[#This Row],[After T]]-Buckets_2_24[[#This Row],[Slush]]</f>
        <v>497.61894554507097</v>
      </c>
      <c r="FK20" s="29">
        <f>Buckets_2_24[[#This Row],[Capacity]]-Buckets_2_24[[#This Row],[Before Fill]]</f>
        <v>2.3810544549290285</v>
      </c>
      <c r="FL20" t="b">
        <f>OR(FB20, Buckets_2_24[[#This Row],[After T]]&lt;0)</f>
        <v>0</v>
      </c>
      <c r="FM20" s="29">
        <f>IF(Buckets_2_24[[#This Row],[Is Crit]], Buckets_2_24[[#This Row],[S Cap Diff]], 0)</f>
        <v>0</v>
      </c>
      <c r="FN20" s="29">
        <f>Buckets_2_24[[#This Row],[Before Fill]]+Buckets_2_24[[#This Row],[Crit To Fill]]</f>
        <v>497.61894554507097</v>
      </c>
      <c r="FO20" s="29">
        <f>IF(NOT(Buckets_2_24[[#This Row],[Is Crit]]), Buckets_2_24[[#This Row],[S Cap Diff]], 0)</f>
        <v>2.3810544549290285</v>
      </c>
      <c r="FP20" s="31">
        <f>FN$41/Buckets_2_24[[#Totals],[NC To Fill]]*Buckets_2_24[[#This Row],[NC To Fill]]</f>
        <v>2.2937786491412848</v>
      </c>
      <c r="FQ20" s="31">
        <f>Buckets_2_24[[#This Row],[Crit Filled]]+Buckets_2_24[[#This Row],[Scaled]]</f>
        <v>499.91272419421227</v>
      </c>
      <c r="FR20" s="31">
        <f>Buckets_2_24[[#This Row],[NC Filled]]</f>
        <v>499.91272419421227</v>
      </c>
      <c r="FS20" s="31">
        <f>Buckets_2_24[[#This Row],[Capacity]]-Buckets_2_24[[#This Row],[Final]]</f>
        <v>8.7275805787726313E-2</v>
      </c>
      <c r="FT20" s="33">
        <f>IF(Buckets_2_24[[#This Row],[Capacity]]=0, 1, Buckets_2_24[[#This Row],[Final]]/Buckets_2_24[[#This Row],[Capacity]])</f>
        <v>0.99982544838842458</v>
      </c>
      <c r="FV20" s="40">
        <f>Buckets_2_24[[#This Row],[Final]]</f>
        <v>499.91272419421227</v>
      </c>
      <c r="FW20" s="40">
        <f>Buckets_2_24[[#This Row],[Capacity]]</f>
        <v>500</v>
      </c>
      <c r="FX20" s="41" t="b">
        <f t="shared" si="36"/>
        <v>0</v>
      </c>
      <c r="FY20" s="42"/>
      <c r="FZ20" s="42"/>
      <c r="GA20" s="42"/>
      <c r="GB20" s="42">
        <v>1000</v>
      </c>
      <c r="GC20" s="43"/>
      <c r="GD20" s="40">
        <f t="shared" si="37"/>
        <v>499.91272419421227</v>
      </c>
      <c r="GE20" s="40">
        <f t="shared" si="38"/>
        <v>1000</v>
      </c>
      <c r="GF20" s="41" t="b">
        <f t="shared" si="8"/>
        <v>0</v>
      </c>
      <c r="GH20" s="29">
        <f t="shared" si="39"/>
        <v>499.91272419421227</v>
      </c>
      <c r="GI20" s="29">
        <f>GetTransactionTotal(AggregateTable2024[], AggregateTable2024[Start], GH$1, AggregateTable2024[#Headers], $D20)</f>
        <v>0</v>
      </c>
      <c r="GJ20" s="29">
        <f>Buckets_3_24[[#This Row],[Start]]+Buckets_3_24[[#This Row],[Transactions]]</f>
        <v>499.91272419421227</v>
      </c>
      <c r="GK20" s="29">
        <f t="shared" si="40"/>
        <v>1000</v>
      </c>
      <c r="GL20" s="29">
        <f>Buckets_3_24[[#This Row],[Capacity]]-Buckets_3_24[[#This Row],[After T]]</f>
        <v>500.08727580578773</v>
      </c>
      <c r="GM20" s="29">
        <f>MAX(-Buckets_3_24[[#This Row],[Cap Diff]], 0)</f>
        <v>0</v>
      </c>
      <c r="GN20" s="29">
        <f>Buckets_3_24[[#This Row],[After T]]-Buckets_3_24[[#This Row],[Slush]]</f>
        <v>499.91272419421227</v>
      </c>
      <c r="GO20" s="29">
        <f>Buckets_3_24[[#This Row],[Capacity]]-Buckets_3_24[[#This Row],[Before Fill]]</f>
        <v>500.08727580578773</v>
      </c>
      <c r="GP20" t="b">
        <f>OR(GF20, Buckets_3_24[[#This Row],[After T]]&lt;0)</f>
        <v>0</v>
      </c>
      <c r="GQ20" s="29">
        <f>IF(Buckets_3_24[[#This Row],[Is Crit]], Buckets_3_24[[#This Row],[S Cap Diff]], 0)</f>
        <v>0</v>
      </c>
      <c r="GR20" s="29">
        <f>Buckets_3_24[[#This Row],[Before Fill]]+Buckets_3_24[[#This Row],[Crit To Fill]]</f>
        <v>499.91272419421227</v>
      </c>
      <c r="GS20" s="29">
        <f>IF(NOT(Buckets_3_24[[#This Row],[Is Crit]]), Buckets_3_24[[#This Row],[S Cap Diff]], 0)</f>
        <v>500.08727580578773</v>
      </c>
      <c r="GT20" s="31">
        <f>GR$41/Buckets_3_24[[#Totals],[NC To Fill]]*Buckets_3_24[[#This Row],[NC To Fill]]</f>
        <v>485.7041597420781</v>
      </c>
      <c r="GU20" s="31">
        <f>Buckets_3_24[[#This Row],[Crit Filled]]+Buckets_3_24[[#This Row],[Scaled]]</f>
        <v>985.61688393629038</v>
      </c>
      <c r="GV20" s="31">
        <f>Buckets_3_24[[#This Row],[NC Filled]]</f>
        <v>985.61688393629038</v>
      </c>
      <c r="GW20" s="31">
        <f>Buckets_3_24[[#This Row],[Capacity]]-Buckets_3_24[[#This Row],[Final]]</f>
        <v>14.383116063709622</v>
      </c>
      <c r="GX20" s="33">
        <f>IF(Buckets_3_24[[#This Row],[Capacity]]=0, 1, Buckets_3_24[[#This Row],[Final]]/Buckets_3_24[[#This Row],[Capacity]])</f>
        <v>0.98561688393629043</v>
      </c>
      <c r="GZ20" s="40">
        <f>Buckets_3_24[[#This Row],[Final]]</f>
        <v>985.61688393629038</v>
      </c>
      <c r="HA20" s="40">
        <f>Buckets_3_24[[#This Row],[Capacity]]</f>
        <v>1000</v>
      </c>
      <c r="HB20" s="41" t="b">
        <f t="shared" si="41"/>
        <v>0</v>
      </c>
      <c r="HC20" s="42"/>
      <c r="HD20" s="42"/>
      <c r="HE20" s="42"/>
      <c r="HF20" s="42"/>
      <c r="HG20" s="43"/>
      <c r="HH20" s="40">
        <f t="shared" si="42"/>
        <v>985.61688393629038</v>
      </c>
      <c r="HI20" s="40">
        <f t="shared" si="43"/>
        <v>1000</v>
      </c>
      <c r="HJ20" s="41" t="b">
        <f t="shared" si="9"/>
        <v>0</v>
      </c>
      <c r="HL20" s="29">
        <f t="shared" si="44"/>
        <v>985.61688393629038</v>
      </c>
      <c r="HM20" s="29">
        <f>GetTransactionTotal(AggregateTable2024[], AggregateTable2024[Start], HL$1, AggregateTable2024[#Headers], $D20)</f>
        <v>0</v>
      </c>
      <c r="HN20" s="29">
        <f>Buckets_4_24[[#This Row],[Start]]+Buckets_4_24[[#This Row],[Transactions]]</f>
        <v>985.61688393629038</v>
      </c>
      <c r="HO20" s="29">
        <f t="shared" si="45"/>
        <v>1000</v>
      </c>
      <c r="HP20" s="29">
        <f>Buckets_4_24[[#This Row],[Capacity]]-Buckets_4_24[[#This Row],[After T]]</f>
        <v>14.383116063709622</v>
      </c>
      <c r="HQ20" s="29">
        <f>MAX(-Buckets_4_24[[#This Row],[Cap Diff]], 0)</f>
        <v>0</v>
      </c>
      <c r="HR20" s="29">
        <f>Buckets_4_24[[#This Row],[After T]]-Buckets_4_24[[#This Row],[Slush]]</f>
        <v>985.61688393629038</v>
      </c>
      <c r="HS20" s="29">
        <f>Buckets_4_24[[#This Row],[Capacity]]-Buckets_4_24[[#This Row],[Before Fill]]</f>
        <v>14.383116063709622</v>
      </c>
      <c r="HT20" t="b">
        <f>OR(HJ20, Buckets_4_24[[#This Row],[After T]]&lt;0)</f>
        <v>0</v>
      </c>
      <c r="HU20" s="29">
        <f>IF(Buckets_4_24[[#This Row],[Is Crit]], Buckets_4_24[[#This Row],[S Cap Diff]], 0)</f>
        <v>0</v>
      </c>
      <c r="HV20" s="29">
        <f>Buckets_4_24[[#This Row],[Before Fill]]+Buckets_4_24[[#This Row],[Crit To Fill]]</f>
        <v>985.61688393629038</v>
      </c>
      <c r="HW20" s="29">
        <f>IF(NOT(Buckets_4_24[[#This Row],[Is Crit]]), Buckets_4_24[[#This Row],[S Cap Diff]], 0)</f>
        <v>14.383116063709622</v>
      </c>
      <c r="HX20" s="31">
        <f>HV$41/Buckets_4_24[[#Totals],[NC To Fill]]*Buckets_4_24[[#This Row],[NC To Fill]]</f>
        <v>9.3861282186382589</v>
      </c>
      <c r="HY20" s="31">
        <f>Buckets_4_24[[#This Row],[Crit Filled]]+Buckets_4_24[[#This Row],[Scaled]]</f>
        <v>995.00301215492868</v>
      </c>
      <c r="HZ20" s="31">
        <f>Buckets_4_24[[#This Row],[NC Filled]]</f>
        <v>995.00301215492868</v>
      </c>
      <c r="IA20" s="31">
        <f>Buckets_4_24[[#This Row],[Capacity]]-Buckets_4_24[[#This Row],[Final]]</f>
        <v>4.9969878450713168</v>
      </c>
      <c r="IB20" s="33">
        <f>IF(Buckets_4_24[[#This Row],[Capacity]]=0, 1, Buckets_4_24[[#This Row],[Final]]/Buckets_4_24[[#This Row],[Capacity]])</f>
        <v>0.9950030121549287</v>
      </c>
      <c r="ID20" s="40">
        <f>Buckets_4_24[[#This Row],[Final]]</f>
        <v>995.00301215492868</v>
      </c>
      <c r="IE20" s="40">
        <f>Buckets_4_24[[#This Row],[Capacity]]</f>
        <v>1000</v>
      </c>
      <c r="IF20" s="41" t="b">
        <f t="shared" si="46"/>
        <v>0</v>
      </c>
      <c r="IG20" s="42"/>
      <c r="IH20" s="42"/>
      <c r="II20" s="42"/>
      <c r="IJ20" s="42"/>
      <c r="IK20" s="43"/>
      <c r="IL20" s="40">
        <f t="shared" si="47"/>
        <v>995.00301215492868</v>
      </c>
      <c r="IM20" s="40">
        <f t="shared" si="48"/>
        <v>1000</v>
      </c>
      <c r="IN20" s="41" t="b">
        <f t="shared" si="10"/>
        <v>0</v>
      </c>
    </row>
    <row r="21" spans="1:248" x14ac:dyDescent="0.25">
      <c r="A21" s="49"/>
      <c r="B21" t="s">
        <v>324</v>
      </c>
      <c r="C21" t="s">
        <v>296</v>
      </c>
      <c r="D21" t="s">
        <v>296</v>
      </c>
      <c r="F21" s="30">
        <v>0</v>
      </c>
      <c r="G21" s="38">
        <v>0</v>
      </c>
      <c r="H21" t="b">
        <v>0</v>
      </c>
      <c r="J21" s="29">
        <f t="shared" si="11"/>
        <v>0</v>
      </c>
      <c r="K21" s="29">
        <f>GetTransactionTotal(AggregateTable2023[], AggregateTable2023[Start], J$1, AggregateTable2023[#Headers], $D21)</f>
        <v>0</v>
      </c>
      <c r="L21" s="29">
        <f>Buckets_9_23[[#This Row],[Start]]+Buckets_9_23[[#This Row],[Transactions]]</f>
        <v>0</v>
      </c>
      <c r="M21" s="29">
        <f t="shared" si="12"/>
        <v>0</v>
      </c>
      <c r="N21" s="29">
        <f>Buckets_9_23[[#This Row],[Capacity]]-Buckets_9_23[[#This Row],[After T]]</f>
        <v>0</v>
      </c>
      <c r="O21" s="29">
        <f>IF(Buckets_9_23[[#This Row],[After T]]&lt;0, Buckets_9_23[[#This Row],[After T]], IF(Buckets_9_23[[#This Row],[Cap Diff]]&lt;0, -Buckets_9_23[[#This Row],[Cap Diff]], 0))</f>
        <v>0</v>
      </c>
      <c r="P21" s="29">
        <f>Buckets_9_23[[#This Row],[After T]]-Buckets_9_23[[#This Row],[Slush]]</f>
        <v>0</v>
      </c>
      <c r="Q21" s="29">
        <f>Buckets_9_23[[#This Row],[Capacity]]-Buckets_9_23[[#This Row],[Before Fill]]</f>
        <v>0</v>
      </c>
      <c r="R21" t="b">
        <f t="shared" si="0"/>
        <v>0</v>
      </c>
      <c r="S21" s="29">
        <f>IF(Buckets_9_23[[#This Row],[Is Crit]], Buckets_9_23[[#This Row],[S Cap Diff]], 0)</f>
        <v>0</v>
      </c>
      <c r="T21" s="29">
        <f>Buckets_9_23[[#This Row],[Before Fill]]+Buckets_9_23[[#This Row],[Crit To Fill]]</f>
        <v>0</v>
      </c>
      <c r="U21" s="29">
        <f>IF(NOT(Buckets_9_23[[#This Row],[Is Crit]]), Buckets_9_23[[#This Row],[S Cap Diff]], 0)</f>
        <v>0</v>
      </c>
      <c r="V21" s="31">
        <f>T$41/Buckets_9_23[[#Totals],[NC To Fill]]*Buckets_9_23[[#This Row],[NC To Fill]]</f>
        <v>0</v>
      </c>
      <c r="W21" s="31">
        <f>Buckets_9_23[[#This Row],[Crit Filled]]+Buckets_9_23[[#This Row],[Scaled]]</f>
        <v>0</v>
      </c>
      <c r="X21" s="31">
        <f>Buckets_9_23[[#This Row],[NC Filled]]</f>
        <v>0</v>
      </c>
      <c r="Y21" s="31">
        <f>Buckets_9_23[[#This Row],[Capacity]]-Buckets_9_23[[#This Row],[Final]]</f>
        <v>0</v>
      </c>
      <c r="Z21" s="33">
        <f>IF(Buckets_9_23[[#This Row],[Capacity]]=0, 1, Buckets_9_23[[#This Row],[Final]]/Buckets_9_23[[#This Row],[Capacity]])</f>
        <v>1</v>
      </c>
      <c r="AB21" s="31">
        <f>Buckets_9_23[[#This Row],[Final]]</f>
        <v>0</v>
      </c>
      <c r="AC21" s="31">
        <f>Buckets_9_23[[#This Row],[Capacity]]</f>
        <v>0</v>
      </c>
      <c r="AD21" t="b">
        <f t="shared" si="13"/>
        <v>0</v>
      </c>
      <c r="AE21" s="43" t="e">
        <f>NA()</f>
        <v>#N/A</v>
      </c>
      <c r="AF21" s="42"/>
      <c r="AG21" s="43" t="e">
        <f>NA()</f>
        <v>#N/A</v>
      </c>
      <c r="AH21" s="42">
        <v>500</v>
      </c>
      <c r="AI21" s="43"/>
      <c r="AJ21" s="31">
        <f t="shared" si="14"/>
        <v>0</v>
      </c>
      <c r="AK21" s="31">
        <f t="shared" si="15"/>
        <v>500</v>
      </c>
      <c r="AL21" t="b">
        <f t="shared" si="16"/>
        <v>0</v>
      </c>
      <c r="AN21" s="29">
        <f t="shared" si="17"/>
        <v>0</v>
      </c>
      <c r="AO21" s="29">
        <f>GetTransactionTotal(AggregateTable2023[], AggregateTable2023[Start], AN$1, AggregateTable2023[#Headers], $D21)</f>
        <v>0</v>
      </c>
      <c r="AP21" s="29">
        <f>Buckets_10_23[[#This Row],[Start]]+Buckets_10_23[[#This Row],[Transactions]]</f>
        <v>0</v>
      </c>
      <c r="AQ21" s="29">
        <f t="shared" si="18"/>
        <v>500</v>
      </c>
      <c r="AR21" s="29">
        <f>Buckets_10_23[[#This Row],[Capacity]]-Buckets_10_23[[#This Row],[After T]]</f>
        <v>500</v>
      </c>
      <c r="AS21" s="29">
        <f>MAX(-Buckets_10_23[[#This Row],[Cap Diff]], 0)</f>
        <v>0</v>
      </c>
      <c r="AT21" s="29">
        <f>Buckets_10_23[[#This Row],[After T]]-Buckets_10_23[[#This Row],[Slush]]</f>
        <v>0</v>
      </c>
      <c r="AU21" s="29">
        <f>Buckets_10_23[[#This Row],[Capacity]]-Buckets_10_23[[#This Row],[Before Fill]]</f>
        <v>500</v>
      </c>
      <c r="AV21" t="b">
        <f>OR(AL21, Buckets_10_23[[#This Row],[After T]]&lt;0)</f>
        <v>0</v>
      </c>
      <c r="AW21" s="29">
        <f>IF(Buckets_10_23[[#This Row],[Is Crit]], Buckets_10_23[[#This Row],[S Cap Diff]], 0)</f>
        <v>0</v>
      </c>
      <c r="AX21" s="29">
        <f>Buckets_10_23[[#This Row],[Before Fill]]+Buckets_10_23[[#This Row],[Crit To Fill]]</f>
        <v>0</v>
      </c>
      <c r="AY21" s="29">
        <f>IF(NOT(Buckets_10_23[[#This Row],[Is Crit]]), Buckets_10_23[[#This Row],[S Cap Diff]], 0)</f>
        <v>500</v>
      </c>
      <c r="AZ21" s="31">
        <f>AX$41/Buckets_10_23[[#Totals],[NC To Fill]]*Buckets_10_23[[#This Row],[NC To Fill]]</f>
        <v>296.98616902711763</v>
      </c>
      <c r="BA21" s="31">
        <f>Buckets_10_23[[#This Row],[Crit Filled]]+Buckets_10_23[[#This Row],[Scaled]]</f>
        <v>296.98616902711763</v>
      </c>
      <c r="BB21" s="31">
        <f>Buckets_10_23[[#This Row],[NC Filled]]</f>
        <v>296.98616902711763</v>
      </c>
      <c r="BC21" s="31">
        <f>Buckets_10_23[[#This Row],[Capacity]]-Buckets_10_23[[#This Row],[Final]]</f>
        <v>203.01383097288237</v>
      </c>
      <c r="BD21" s="33">
        <f>IF(Buckets_10_23[[#This Row],[Capacity]]=0, 1, Buckets_10_23[[#This Row],[Final]]/Buckets_10_23[[#This Row],[Capacity]])</f>
        <v>0.59397233805423522</v>
      </c>
      <c r="BF21" s="31">
        <f>Buckets_10_23[[#This Row],[Final]]</f>
        <v>296.98616902711763</v>
      </c>
      <c r="BG21" s="31">
        <f>Buckets_10_23[[#This Row],[Capacity]]</f>
        <v>500</v>
      </c>
      <c r="BH21" t="b">
        <f t="shared" si="19"/>
        <v>0</v>
      </c>
      <c r="BI21" s="43" t="e">
        <f>NA()</f>
        <v>#N/A</v>
      </c>
      <c r="BJ21" s="42"/>
      <c r="BK21" s="43" t="e">
        <f>NA()</f>
        <v>#N/A</v>
      </c>
      <c r="BL21" s="42"/>
      <c r="BM21" s="43"/>
      <c r="BN21" s="31">
        <f t="shared" si="20"/>
        <v>296.98616902711763</v>
      </c>
      <c r="BO21" s="31">
        <f t="shared" si="1"/>
        <v>500</v>
      </c>
      <c r="BP21" t="b">
        <f t="shared" si="2"/>
        <v>0</v>
      </c>
      <c r="BR21" s="29">
        <f t="shared" si="21"/>
        <v>296.98616902711763</v>
      </c>
      <c r="BS21" s="29">
        <f>GetTransactionTotal(AggregateTable2023[], AggregateTable2023[Start], BR$1, AggregateTable2023[#Headers], $D21)</f>
        <v>0</v>
      </c>
      <c r="BT21" s="29">
        <f>Buckets_11_23[[#This Row],[Start]]+Buckets_11_23[[#This Row],[Transactions]]</f>
        <v>296.98616902711763</v>
      </c>
      <c r="BU21" s="29">
        <f t="shared" si="22"/>
        <v>500</v>
      </c>
      <c r="BV21" s="29">
        <f>Buckets_11_23[[#This Row],[Capacity]]-Buckets_11_23[[#This Row],[After T]]</f>
        <v>203.01383097288237</v>
      </c>
      <c r="BW21" s="29">
        <f>MAX(-Buckets_11_23[[#This Row],[Cap Diff]], 0)</f>
        <v>0</v>
      </c>
      <c r="BX21" s="29">
        <f>Buckets_11_23[[#This Row],[After T]]-Buckets_11_23[[#This Row],[Slush]]</f>
        <v>296.98616902711763</v>
      </c>
      <c r="BY21" s="29">
        <f>Buckets_11_23[[#This Row],[Capacity]]-Buckets_11_23[[#This Row],[Before Fill]]</f>
        <v>203.01383097288237</v>
      </c>
      <c r="BZ21" t="b">
        <f>OR(BP21, Buckets_11_23[[#This Row],[After T]]&lt;0)</f>
        <v>0</v>
      </c>
      <c r="CA21" s="29">
        <f>IF(Buckets_11_23[[#This Row],[Is Crit]], Buckets_11_23[[#This Row],[S Cap Diff]], 0)</f>
        <v>0</v>
      </c>
      <c r="CB21" s="29">
        <f>Buckets_11_23[[#This Row],[Before Fill]]+Buckets_11_23[[#This Row],[Crit To Fill]]</f>
        <v>296.98616902711763</v>
      </c>
      <c r="CC21" s="29">
        <f>IF(NOT(Buckets_11_23[[#This Row],[Is Crit]]), Buckets_11_23[[#This Row],[S Cap Diff]], 0)</f>
        <v>203.01383097288237</v>
      </c>
      <c r="CD21" s="31">
        <f>CB$41/Buckets_11_23[[#Totals],[NC To Fill]]*Buckets_11_23[[#This Row],[NC To Fill]]</f>
        <v>200.21285750741029</v>
      </c>
      <c r="CE21" s="31">
        <f>Buckets_11_23[[#This Row],[Crit Filled]]+Buckets_11_23[[#This Row],[Scaled]]</f>
        <v>497.19902653452789</v>
      </c>
      <c r="CF21" s="31">
        <f>Buckets_11_23[[#This Row],[NC Filled]]</f>
        <v>497.19902653452789</v>
      </c>
      <c r="CG21" s="31">
        <f>Buckets_11_23[[#This Row],[Capacity]]-Buckets_11_23[[#This Row],[Final]]</f>
        <v>2.8009734654721115</v>
      </c>
      <c r="CH21" s="33">
        <f>IF(Buckets_11_23[[#This Row],[Capacity]]=0, 1, Buckets_11_23[[#This Row],[Final]]/Buckets_11_23[[#This Row],[Capacity]])</f>
        <v>0.99439805306905582</v>
      </c>
      <c r="CJ21" s="40">
        <f>Buckets_11_23[[#This Row],[Final]]</f>
        <v>497.19902653452789</v>
      </c>
      <c r="CK21" s="40">
        <f>Buckets_11_23[[#This Row],[Capacity]]</f>
        <v>500</v>
      </c>
      <c r="CL21" s="41" t="b">
        <f t="shared" si="23"/>
        <v>0</v>
      </c>
      <c r="CM21" s="42"/>
      <c r="CN21" s="42"/>
      <c r="CO21" s="42" t="e">
        <f>NA()</f>
        <v>#N/A</v>
      </c>
      <c r="CP21" s="42">
        <v>1000</v>
      </c>
      <c r="CQ21" s="43"/>
      <c r="CR21" s="40">
        <f t="shared" si="24"/>
        <v>497.19902653452789</v>
      </c>
      <c r="CS21" s="40">
        <f t="shared" si="3"/>
        <v>1000</v>
      </c>
      <c r="CT21" s="41" t="b">
        <f t="shared" si="4"/>
        <v>0</v>
      </c>
      <c r="CV21" s="29">
        <f t="shared" si="25"/>
        <v>497.19902653452789</v>
      </c>
      <c r="CW21" s="29">
        <f>GetTransactionTotal(AggregateTable2023[], AggregateTable2023[Start], CV$1, AggregateTable2023[#Headers], $D21)</f>
        <v>0</v>
      </c>
      <c r="CX21" s="29">
        <f>Buckets_12_23[[#This Row],[Start]]+Buckets_12_23[[#This Row],[Transactions]]</f>
        <v>497.19902653452789</v>
      </c>
      <c r="CY21" s="29">
        <f t="shared" si="26"/>
        <v>1000</v>
      </c>
      <c r="CZ21" s="29">
        <f>Buckets_12_23[[#This Row],[Capacity]]-Buckets_12_23[[#This Row],[After T]]</f>
        <v>502.80097346547211</v>
      </c>
      <c r="DA21" s="29">
        <f>MAX(-Buckets_12_23[[#This Row],[Cap Diff]], 0)</f>
        <v>0</v>
      </c>
      <c r="DB21" s="29">
        <f>Buckets_12_23[[#This Row],[After T]]-Buckets_12_23[[#This Row],[Slush]]</f>
        <v>497.19902653452789</v>
      </c>
      <c r="DC21" s="29">
        <f>Buckets_12_23[[#This Row],[Capacity]]-Buckets_12_23[[#This Row],[Before Fill]]</f>
        <v>502.80097346547211</v>
      </c>
      <c r="DD21" t="b">
        <f>OR(CT21, Buckets_12_23[[#This Row],[After T]]&lt;0)</f>
        <v>0</v>
      </c>
      <c r="DE21" s="29">
        <f>IF(Buckets_12_23[[#This Row],[Is Crit]], Buckets_12_23[[#This Row],[S Cap Diff]], 0)</f>
        <v>0</v>
      </c>
      <c r="DF21" s="29">
        <f>Buckets_12_23[[#This Row],[Before Fill]]+Buckets_12_23[[#This Row],[Crit To Fill]]</f>
        <v>497.19902653452789</v>
      </c>
      <c r="DG21" s="29">
        <f>IF(NOT(Buckets_12_23[[#This Row],[Is Crit]]), Buckets_12_23[[#This Row],[S Cap Diff]], 0)</f>
        <v>502.80097346547211</v>
      </c>
      <c r="DH21" s="31">
        <f>DF$41/Buckets_12_23[[#Totals],[NC To Fill]]*Buckets_12_23[[#This Row],[NC To Fill]]</f>
        <v>229.89069302534637</v>
      </c>
      <c r="DI21" s="31">
        <f>Buckets_12_23[[#This Row],[Crit Filled]]+Buckets_12_23[[#This Row],[Scaled]]</f>
        <v>727.08971955987431</v>
      </c>
      <c r="DJ21" s="31">
        <f>Buckets_12_23[[#This Row],[NC Filled]]</f>
        <v>727.08971955987431</v>
      </c>
      <c r="DK21" s="31">
        <f>Buckets_12_23[[#This Row],[Capacity]]-Buckets_12_23[[#This Row],[Final]]</f>
        <v>272.91028044012569</v>
      </c>
      <c r="DL21" s="33">
        <f>IF(Buckets_12_23[[#This Row],[Capacity]]=0, 1, Buckets_12_23[[#This Row],[Final]]/Buckets_12_23[[#This Row],[Capacity]])</f>
        <v>0.72708971955987434</v>
      </c>
      <c r="DN21" s="40">
        <f>Buckets_12_23[[#This Row],[Final]]</f>
        <v>727.08971955987431</v>
      </c>
      <c r="DO21" s="40">
        <f>Buckets_12_23[[#This Row],[Capacity]]</f>
        <v>1000</v>
      </c>
      <c r="DP21" s="41" t="b">
        <f t="shared" si="27"/>
        <v>0</v>
      </c>
      <c r="DQ21" s="42"/>
      <c r="DR21" s="42"/>
      <c r="DS21" s="42" t="e">
        <f>NA()</f>
        <v>#N/A</v>
      </c>
      <c r="DT21" s="42"/>
      <c r="DU21" s="43"/>
      <c r="DV21" s="40">
        <f t="shared" si="28"/>
        <v>727.08971955987431</v>
      </c>
      <c r="DW21" s="40">
        <f t="shared" si="5"/>
        <v>1000</v>
      </c>
      <c r="DX21" s="41" t="b">
        <f t="shared" si="6"/>
        <v>0</v>
      </c>
      <c r="DZ21" s="29">
        <f t="shared" si="29"/>
        <v>727.08971955987431</v>
      </c>
      <c r="EA21" s="29">
        <f>GetTransactionTotal(AggregateTable2024[], AggregateTable2024[Start], DZ$1, AggregateTable2024[#Headers], $D21)</f>
        <v>0</v>
      </c>
      <c r="EB21" s="29">
        <f>Buckets_1_24[[#This Row],[Start]]+Buckets_1_24[[#This Row],[Transactions]]</f>
        <v>727.08971955987431</v>
      </c>
      <c r="EC21" s="29">
        <f t="shared" si="30"/>
        <v>1000</v>
      </c>
      <c r="ED21" s="29">
        <f>Buckets_1_24[[#This Row],[Capacity]]-Buckets_1_24[[#This Row],[After T]]</f>
        <v>272.91028044012569</v>
      </c>
      <c r="EE21" s="29">
        <f>MAX(-Buckets_1_24[[#This Row],[Cap Diff]], 0)</f>
        <v>0</v>
      </c>
      <c r="EF21" s="29">
        <f>Buckets_1_24[[#This Row],[After T]]-Buckets_1_24[[#This Row],[Slush]]</f>
        <v>727.08971955987431</v>
      </c>
      <c r="EG21" s="29">
        <f>Buckets_1_24[[#This Row],[Capacity]]-Buckets_1_24[[#This Row],[Before Fill]]</f>
        <v>272.91028044012569</v>
      </c>
      <c r="EH21" t="b">
        <f>OR(DX21, Buckets_1_24[[#This Row],[After T]]&lt;0)</f>
        <v>0</v>
      </c>
      <c r="EI21" s="29">
        <f>IF(Buckets_1_24[[#This Row],[Is Crit]], Buckets_1_24[[#This Row],[S Cap Diff]], 0)</f>
        <v>0</v>
      </c>
      <c r="EJ21" s="29">
        <f>Buckets_1_24[[#This Row],[Before Fill]]+Buckets_1_24[[#This Row],[Crit To Fill]]</f>
        <v>727.08971955987431</v>
      </c>
      <c r="EK21" s="29">
        <f>IF(NOT(Buckets_1_24[[#This Row],[Is Crit]]), Buckets_1_24[[#This Row],[S Cap Diff]], 0)</f>
        <v>272.91028044012569</v>
      </c>
      <c r="EL21" s="31">
        <f>EJ$41/Buckets_1_24[[#Totals],[NC To Fill]]*Buckets_1_24[[#This Row],[NC To Fill]]</f>
        <v>167.56484360261385</v>
      </c>
      <c r="EM21" s="31">
        <f>Buckets_1_24[[#This Row],[Crit Filled]]+Buckets_1_24[[#This Row],[Scaled]]</f>
        <v>894.6545631624881</v>
      </c>
      <c r="EN21" s="31">
        <f>Buckets_1_24[[#This Row],[NC Filled]]</f>
        <v>894.6545631624881</v>
      </c>
      <c r="EO21" s="31">
        <f>Buckets_1_24[[#This Row],[Capacity]]-Buckets_1_24[[#This Row],[Final]]</f>
        <v>105.3454368375119</v>
      </c>
      <c r="EP21" s="33">
        <f>IF(Buckets_1_24[[#This Row],[Capacity]]=0, 1, Buckets_1_24[[#This Row],[Final]]/Buckets_1_24[[#This Row],[Capacity]])</f>
        <v>0.89465456316248815</v>
      </c>
      <c r="ER21" s="40">
        <f>Buckets_1_24[[#This Row],[Final]]</f>
        <v>894.6545631624881</v>
      </c>
      <c r="ES21" s="40">
        <f>Buckets_1_24[[#This Row],[Capacity]]</f>
        <v>1000</v>
      </c>
      <c r="ET21" s="41" t="b">
        <f t="shared" si="31"/>
        <v>0</v>
      </c>
      <c r="EU21" s="42"/>
      <c r="EV21" s="42"/>
      <c r="EW21" s="42"/>
      <c r="EX21" s="42"/>
      <c r="EY21" s="43"/>
      <c r="EZ21" s="40">
        <f t="shared" si="32"/>
        <v>894.6545631624881</v>
      </c>
      <c r="FA21" s="40">
        <f t="shared" si="33"/>
        <v>1000</v>
      </c>
      <c r="FB21" s="41" t="b">
        <f t="shared" si="7"/>
        <v>0</v>
      </c>
      <c r="FD21" s="29">
        <f t="shared" si="34"/>
        <v>894.6545631624881</v>
      </c>
      <c r="FE21" s="29">
        <f>GetTransactionTotal(AggregateTable2024[], AggregateTable2024[Start], FD$1, AggregateTable2024[#Headers], $D21)</f>
        <v>0</v>
      </c>
      <c r="FF21" s="29">
        <f>Buckets_2_24[[#This Row],[Start]]+Buckets_2_24[[#This Row],[Transactions]]</f>
        <v>894.6545631624881</v>
      </c>
      <c r="FG21" s="29">
        <f t="shared" si="35"/>
        <v>1000</v>
      </c>
      <c r="FH21" s="29">
        <f>Buckets_2_24[[#This Row],[Capacity]]-Buckets_2_24[[#This Row],[After T]]</f>
        <v>105.3454368375119</v>
      </c>
      <c r="FI21" s="29">
        <f>MAX(-Buckets_2_24[[#This Row],[Cap Diff]], 0)</f>
        <v>0</v>
      </c>
      <c r="FJ21" s="29">
        <f>Buckets_2_24[[#This Row],[After T]]-Buckets_2_24[[#This Row],[Slush]]</f>
        <v>894.6545631624881</v>
      </c>
      <c r="FK21" s="29">
        <f>Buckets_2_24[[#This Row],[Capacity]]-Buckets_2_24[[#This Row],[Before Fill]]</f>
        <v>105.3454368375119</v>
      </c>
      <c r="FL21" t="b">
        <f>OR(FB21, Buckets_2_24[[#This Row],[After T]]&lt;0)</f>
        <v>0</v>
      </c>
      <c r="FM21" s="29">
        <f>IF(Buckets_2_24[[#This Row],[Is Crit]], Buckets_2_24[[#This Row],[S Cap Diff]], 0)</f>
        <v>0</v>
      </c>
      <c r="FN21" s="29">
        <f>Buckets_2_24[[#This Row],[Before Fill]]+Buckets_2_24[[#This Row],[Crit To Fill]]</f>
        <v>894.6545631624881</v>
      </c>
      <c r="FO21" s="29">
        <f>IF(NOT(Buckets_2_24[[#This Row],[Is Crit]]), Buckets_2_24[[#This Row],[S Cap Diff]], 0)</f>
        <v>105.3454368375119</v>
      </c>
      <c r="FP21" s="31">
        <f>FN$41/Buckets_2_24[[#Totals],[NC To Fill]]*Buckets_2_24[[#This Row],[NC To Fill]]</f>
        <v>101.48407706599431</v>
      </c>
      <c r="FQ21" s="31">
        <f>Buckets_2_24[[#This Row],[Crit Filled]]+Buckets_2_24[[#This Row],[Scaled]]</f>
        <v>996.13864022848247</v>
      </c>
      <c r="FR21" s="31">
        <f>Buckets_2_24[[#This Row],[NC Filled]]</f>
        <v>996.13864022848247</v>
      </c>
      <c r="FS21" s="31">
        <f>Buckets_2_24[[#This Row],[Capacity]]-Buckets_2_24[[#This Row],[Final]]</f>
        <v>3.8613597715175274</v>
      </c>
      <c r="FT21" s="33">
        <f>IF(Buckets_2_24[[#This Row],[Capacity]]=0, 1, Buckets_2_24[[#This Row],[Final]]/Buckets_2_24[[#This Row],[Capacity]])</f>
        <v>0.99613864022848242</v>
      </c>
      <c r="FV21" s="40">
        <f>Buckets_2_24[[#This Row],[Final]]</f>
        <v>996.13864022848247</v>
      </c>
      <c r="FW21" s="40">
        <f>Buckets_2_24[[#This Row],[Capacity]]</f>
        <v>1000</v>
      </c>
      <c r="FX21" s="41" t="b">
        <f t="shared" si="36"/>
        <v>0</v>
      </c>
      <c r="FY21" s="42"/>
      <c r="FZ21" s="42"/>
      <c r="GA21" s="42"/>
      <c r="GB21" s="42"/>
      <c r="GC21" s="43"/>
      <c r="GD21" s="40">
        <f t="shared" si="37"/>
        <v>996.13864022848247</v>
      </c>
      <c r="GE21" s="40">
        <f t="shared" si="38"/>
        <v>1000</v>
      </c>
      <c r="GF21" s="41" t="b">
        <f t="shared" si="8"/>
        <v>0</v>
      </c>
      <c r="GH21" s="29">
        <f t="shared" si="39"/>
        <v>996.13864022848247</v>
      </c>
      <c r="GI21" s="29">
        <f>GetTransactionTotal(AggregateTable2024[], AggregateTable2024[Start], GH$1, AggregateTable2024[#Headers], $D21)</f>
        <v>0</v>
      </c>
      <c r="GJ21" s="29">
        <f>Buckets_3_24[[#This Row],[Start]]+Buckets_3_24[[#This Row],[Transactions]]</f>
        <v>996.13864022848247</v>
      </c>
      <c r="GK21" s="29">
        <f t="shared" si="40"/>
        <v>1000</v>
      </c>
      <c r="GL21" s="29">
        <f>Buckets_3_24[[#This Row],[Capacity]]-Buckets_3_24[[#This Row],[After T]]</f>
        <v>3.8613597715175274</v>
      </c>
      <c r="GM21" s="29">
        <f>MAX(-Buckets_3_24[[#This Row],[Cap Diff]], 0)</f>
        <v>0</v>
      </c>
      <c r="GN21" s="29">
        <f>Buckets_3_24[[#This Row],[After T]]-Buckets_3_24[[#This Row],[Slush]]</f>
        <v>996.13864022848247</v>
      </c>
      <c r="GO21" s="29">
        <f>Buckets_3_24[[#This Row],[Capacity]]-Buckets_3_24[[#This Row],[Before Fill]]</f>
        <v>3.8613597715175274</v>
      </c>
      <c r="GP21" t="b">
        <f>OR(GF21, Buckets_3_24[[#This Row],[After T]]&lt;0)</f>
        <v>0</v>
      </c>
      <c r="GQ21" s="29">
        <f>IF(Buckets_3_24[[#This Row],[Is Crit]], Buckets_3_24[[#This Row],[S Cap Diff]], 0)</f>
        <v>0</v>
      </c>
      <c r="GR21" s="29">
        <f>Buckets_3_24[[#This Row],[Before Fill]]+Buckets_3_24[[#This Row],[Crit To Fill]]</f>
        <v>996.13864022848247</v>
      </c>
      <c r="GS21" s="29">
        <f>IF(NOT(Buckets_3_24[[#This Row],[Is Crit]]), Buckets_3_24[[#This Row],[S Cap Diff]], 0)</f>
        <v>3.8613597715175274</v>
      </c>
      <c r="GT21" s="31">
        <f>GR$41/Buckets_3_24[[#Totals],[NC To Fill]]*Buckets_3_24[[#This Row],[NC To Fill]]</f>
        <v>3.7503023852483262</v>
      </c>
      <c r="GU21" s="31">
        <f>Buckets_3_24[[#This Row],[Crit Filled]]+Buckets_3_24[[#This Row],[Scaled]]</f>
        <v>999.88894261373082</v>
      </c>
      <c r="GV21" s="31">
        <f>Buckets_3_24[[#This Row],[NC Filled]]</f>
        <v>999.88894261373082</v>
      </c>
      <c r="GW21" s="31">
        <f>Buckets_3_24[[#This Row],[Capacity]]-Buckets_3_24[[#This Row],[Final]]</f>
        <v>0.11105738626918082</v>
      </c>
      <c r="GX21" s="33">
        <f>IF(Buckets_3_24[[#This Row],[Capacity]]=0, 1, Buckets_3_24[[#This Row],[Final]]/Buckets_3_24[[#This Row],[Capacity]])</f>
        <v>0.99988894261373085</v>
      </c>
      <c r="GZ21" s="40">
        <f>Buckets_3_24[[#This Row],[Final]]</f>
        <v>999.88894261373082</v>
      </c>
      <c r="HA21" s="40">
        <f>Buckets_3_24[[#This Row],[Capacity]]</f>
        <v>1000</v>
      </c>
      <c r="HB21" s="41" t="b">
        <f t="shared" si="41"/>
        <v>0</v>
      </c>
      <c r="HC21" s="42"/>
      <c r="HD21" s="42"/>
      <c r="HE21" s="42"/>
      <c r="HF21" s="42"/>
      <c r="HG21" s="43"/>
      <c r="HH21" s="40">
        <f t="shared" si="42"/>
        <v>999.88894261373082</v>
      </c>
      <c r="HI21" s="40">
        <f t="shared" si="43"/>
        <v>1000</v>
      </c>
      <c r="HJ21" s="41" t="b">
        <f t="shared" si="9"/>
        <v>0</v>
      </c>
      <c r="HL21" s="29">
        <f t="shared" si="44"/>
        <v>999.88894261373082</v>
      </c>
      <c r="HM21" s="29">
        <f>GetTransactionTotal(AggregateTable2024[], AggregateTable2024[Start], HL$1, AggregateTable2024[#Headers], $D21)</f>
        <v>0</v>
      </c>
      <c r="HN21" s="29">
        <f>Buckets_4_24[[#This Row],[Start]]+Buckets_4_24[[#This Row],[Transactions]]</f>
        <v>999.88894261373082</v>
      </c>
      <c r="HO21" s="29">
        <f t="shared" si="45"/>
        <v>1000</v>
      </c>
      <c r="HP21" s="29">
        <f>Buckets_4_24[[#This Row],[Capacity]]-Buckets_4_24[[#This Row],[After T]]</f>
        <v>0.11105738626918082</v>
      </c>
      <c r="HQ21" s="29">
        <f>MAX(-Buckets_4_24[[#This Row],[Cap Diff]], 0)</f>
        <v>0</v>
      </c>
      <c r="HR21" s="29">
        <f>Buckets_4_24[[#This Row],[After T]]-Buckets_4_24[[#This Row],[Slush]]</f>
        <v>999.88894261373082</v>
      </c>
      <c r="HS21" s="29">
        <f>Buckets_4_24[[#This Row],[Capacity]]-Buckets_4_24[[#This Row],[Before Fill]]</f>
        <v>0.11105738626918082</v>
      </c>
      <c r="HT21" t="b">
        <f>OR(HJ21, Buckets_4_24[[#This Row],[After T]]&lt;0)</f>
        <v>0</v>
      </c>
      <c r="HU21" s="29">
        <f>IF(Buckets_4_24[[#This Row],[Is Crit]], Buckets_4_24[[#This Row],[S Cap Diff]], 0)</f>
        <v>0</v>
      </c>
      <c r="HV21" s="29">
        <f>Buckets_4_24[[#This Row],[Before Fill]]+Buckets_4_24[[#This Row],[Crit To Fill]]</f>
        <v>999.88894261373082</v>
      </c>
      <c r="HW21" s="29">
        <f>IF(NOT(Buckets_4_24[[#This Row],[Is Crit]]), Buckets_4_24[[#This Row],[S Cap Diff]], 0)</f>
        <v>0.11105738626918082</v>
      </c>
      <c r="HX21" s="31">
        <f>HV$41/Buckets_4_24[[#Totals],[NC To Fill]]*Buckets_4_24[[#This Row],[NC To Fill]]</f>
        <v>7.2473785411456715E-2</v>
      </c>
      <c r="HY21" s="31">
        <f>Buckets_4_24[[#This Row],[Crit Filled]]+Buckets_4_24[[#This Row],[Scaled]]</f>
        <v>999.96141639914231</v>
      </c>
      <c r="HZ21" s="31">
        <f>Buckets_4_24[[#This Row],[NC Filled]]</f>
        <v>999.96141639914231</v>
      </c>
      <c r="IA21" s="31">
        <f>Buckets_4_24[[#This Row],[Capacity]]-Buckets_4_24[[#This Row],[Final]]</f>
        <v>3.8583600857691636E-2</v>
      </c>
      <c r="IB21" s="33">
        <f>IF(Buckets_4_24[[#This Row],[Capacity]]=0, 1, Buckets_4_24[[#This Row],[Final]]/Buckets_4_24[[#This Row],[Capacity]])</f>
        <v>0.99996141639914227</v>
      </c>
      <c r="ID21" s="40">
        <f>Buckets_4_24[[#This Row],[Final]]</f>
        <v>999.96141639914231</v>
      </c>
      <c r="IE21" s="40">
        <f>Buckets_4_24[[#This Row],[Capacity]]</f>
        <v>1000</v>
      </c>
      <c r="IF21" s="41" t="b">
        <f t="shared" si="46"/>
        <v>0</v>
      </c>
      <c r="IG21" s="42"/>
      <c r="IH21" s="42"/>
      <c r="II21" s="42"/>
      <c r="IJ21" s="42"/>
      <c r="IK21" s="43"/>
      <c r="IL21" s="40">
        <f t="shared" si="47"/>
        <v>999.96141639914231</v>
      </c>
      <c r="IM21" s="40">
        <f t="shared" si="48"/>
        <v>1000</v>
      </c>
      <c r="IN21" s="41" t="b">
        <f t="shared" si="10"/>
        <v>0</v>
      </c>
    </row>
    <row r="22" spans="1:248" x14ac:dyDescent="0.25">
      <c r="A22" s="49"/>
      <c r="B22" t="s">
        <v>325</v>
      </c>
      <c r="C22" t="s">
        <v>297</v>
      </c>
      <c r="D22" t="s">
        <v>297</v>
      </c>
      <c r="F22" s="30">
        <v>0</v>
      </c>
      <c r="G22" s="38">
        <v>0</v>
      </c>
      <c r="H22" t="b">
        <v>0</v>
      </c>
      <c r="J22" s="29">
        <f t="shared" si="11"/>
        <v>0</v>
      </c>
      <c r="K22" s="29">
        <f>GetTransactionTotal(AggregateTable2023[], AggregateTable2023[Start], J$1, AggregateTable2023[#Headers], $D22)</f>
        <v>0</v>
      </c>
      <c r="L22" s="29">
        <f>Buckets_9_23[[#This Row],[Start]]+Buckets_9_23[[#This Row],[Transactions]]</f>
        <v>0</v>
      </c>
      <c r="M22" s="29">
        <f t="shared" si="12"/>
        <v>0</v>
      </c>
      <c r="N22" s="29">
        <f>Buckets_9_23[[#This Row],[Capacity]]-Buckets_9_23[[#This Row],[After T]]</f>
        <v>0</v>
      </c>
      <c r="O22" s="29">
        <f>IF(Buckets_9_23[[#This Row],[After T]]&lt;0, Buckets_9_23[[#This Row],[After T]], IF(Buckets_9_23[[#This Row],[Cap Diff]]&lt;0, -Buckets_9_23[[#This Row],[Cap Diff]], 0))</f>
        <v>0</v>
      </c>
      <c r="P22" s="29">
        <f>Buckets_9_23[[#This Row],[After T]]-Buckets_9_23[[#This Row],[Slush]]</f>
        <v>0</v>
      </c>
      <c r="Q22" s="29">
        <f>Buckets_9_23[[#This Row],[Capacity]]-Buckets_9_23[[#This Row],[Before Fill]]</f>
        <v>0</v>
      </c>
      <c r="R22" t="b">
        <f t="shared" si="0"/>
        <v>0</v>
      </c>
      <c r="S22" s="29">
        <f>IF(Buckets_9_23[[#This Row],[Is Crit]], Buckets_9_23[[#This Row],[S Cap Diff]], 0)</f>
        <v>0</v>
      </c>
      <c r="T22" s="29">
        <f>Buckets_9_23[[#This Row],[Before Fill]]+Buckets_9_23[[#This Row],[Crit To Fill]]</f>
        <v>0</v>
      </c>
      <c r="U22" s="29">
        <f>IF(NOT(Buckets_9_23[[#This Row],[Is Crit]]), Buckets_9_23[[#This Row],[S Cap Diff]], 0)</f>
        <v>0</v>
      </c>
      <c r="V22" s="31">
        <f>T$41/Buckets_9_23[[#Totals],[NC To Fill]]*Buckets_9_23[[#This Row],[NC To Fill]]</f>
        <v>0</v>
      </c>
      <c r="W22" s="31">
        <f>Buckets_9_23[[#This Row],[Crit Filled]]+Buckets_9_23[[#This Row],[Scaled]]</f>
        <v>0</v>
      </c>
      <c r="X22" s="31">
        <f>Buckets_9_23[[#This Row],[NC Filled]]</f>
        <v>0</v>
      </c>
      <c r="Y22" s="31">
        <f>Buckets_9_23[[#This Row],[Capacity]]-Buckets_9_23[[#This Row],[Final]]</f>
        <v>0</v>
      </c>
      <c r="Z22" s="33">
        <f>IF(Buckets_9_23[[#This Row],[Capacity]]=0, 1, Buckets_9_23[[#This Row],[Final]]/Buckets_9_23[[#This Row],[Capacity]])</f>
        <v>1</v>
      </c>
      <c r="AB22" s="31">
        <f>Buckets_9_23[[#This Row],[Final]]</f>
        <v>0</v>
      </c>
      <c r="AC22" s="31">
        <f>Buckets_9_23[[#This Row],[Capacity]]</f>
        <v>0</v>
      </c>
      <c r="AD22" t="b">
        <f t="shared" si="13"/>
        <v>0</v>
      </c>
      <c r="AE22" s="43" t="e">
        <f>NA()</f>
        <v>#N/A</v>
      </c>
      <c r="AF22" s="42"/>
      <c r="AG22" s="43" t="e">
        <f>NA()</f>
        <v>#N/A</v>
      </c>
      <c r="AH22" s="42"/>
      <c r="AI22" s="43"/>
      <c r="AJ22" s="31">
        <f t="shared" si="14"/>
        <v>0</v>
      </c>
      <c r="AK22" s="31">
        <f t="shared" si="15"/>
        <v>0</v>
      </c>
      <c r="AL22" t="b">
        <f t="shared" si="16"/>
        <v>0</v>
      </c>
      <c r="AN22" s="29">
        <f t="shared" si="17"/>
        <v>0</v>
      </c>
      <c r="AO22" s="29">
        <f>GetTransactionTotal(AggregateTable2023[], AggregateTable2023[Start], AN$1, AggregateTable2023[#Headers], $D22)</f>
        <v>0</v>
      </c>
      <c r="AP22" s="29">
        <f>Buckets_10_23[[#This Row],[Start]]+Buckets_10_23[[#This Row],[Transactions]]</f>
        <v>0</v>
      </c>
      <c r="AQ22" s="29">
        <f t="shared" si="18"/>
        <v>0</v>
      </c>
      <c r="AR22" s="29">
        <f>Buckets_10_23[[#This Row],[Capacity]]-Buckets_10_23[[#This Row],[After T]]</f>
        <v>0</v>
      </c>
      <c r="AS22" s="29">
        <f>MAX(-Buckets_10_23[[#This Row],[Cap Diff]], 0)</f>
        <v>0</v>
      </c>
      <c r="AT22" s="29">
        <f>Buckets_10_23[[#This Row],[After T]]-Buckets_10_23[[#This Row],[Slush]]</f>
        <v>0</v>
      </c>
      <c r="AU22" s="29">
        <f>Buckets_10_23[[#This Row],[Capacity]]-Buckets_10_23[[#This Row],[Before Fill]]</f>
        <v>0</v>
      </c>
      <c r="AV22" t="b">
        <f>OR(AL22, Buckets_10_23[[#This Row],[After T]]&lt;0)</f>
        <v>0</v>
      </c>
      <c r="AW22" s="29">
        <f>IF(Buckets_10_23[[#This Row],[Is Crit]], Buckets_10_23[[#This Row],[S Cap Diff]], 0)</f>
        <v>0</v>
      </c>
      <c r="AX22" s="29">
        <f>Buckets_10_23[[#This Row],[Before Fill]]+Buckets_10_23[[#This Row],[Crit To Fill]]</f>
        <v>0</v>
      </c>
      <c r="AY22" s="29">
        <f>IF(NOT(Buckets_10_23[[#This Row],[Is Crit]]), Buckets_10_23[[#This Row],[S Cap Diff]], 0)</f>
        <v>0</v>
      </c>
      <c r="AZ22" s="31">
        <f>AX$41/Buckets_10_23[[#Totals],[NC To Fill]]*Buckets_10_23[[#This Row],[NC To Fill]]</f>
        <v>0</v>
      </c>
      <c r="BA22" s="31">
        <f>Buckets_10_23[[#This Row],[Crit Filled]]+Buckets_10_23[[#This Row],[Scaled]]</f>
        <v>0</v>
      </c>
      <c r="BB22" s="31">
        <f>Buckets_10_23[[#This Row],[NC Filled]]</f>
        <v>0</v>
      </c>
      <c r="BC22" s="31">
        <f>Buckets_10_23[[#This Row],[Capacity]]-Buckets_10_23[[#This Row],[Final]]</f>
        <v>0</v>
      </c>
      <c r="BD22" s="33">
        <f>IF(Buckets_10_23[[#This Row],[Capacity]]=0, 1, Buckets_10_23[[#This Row],[Final]]/Buckets_10_23[[#This Row],[Capacity]])</f>
        <v>1</v>
      </c>
      <c r="BF22" s="31">
        <f>Buckets_10_23[[#This Row],[Final]]</f>
        <v>0</v>
      </c>
      <c r="BG22" s="31">
        <f>Buckets_10_23[[#This Row],[Capacity]]</f>
        <v>0</v>
      </c>
      <c r="BH22" t="b">
        <f t="shared" si="19"/>
        <v>0</v>
      </c>
      <c r="BI22" s="43" t="e">
        <f>NA()</f>
        <v>#N/A</v>
      </c>
      <c r="BJ22" s="42"/>
      <c r="BK22" s="43" t="e">
        <f>NA()</f>
        <v>#N/A</v>
      </c>
      <c r="BL22" s="42"/>
      <c r="BM22" s="43"/>
      <c r="BN22" s="31">
        <f t="shared" si="20"/>
        <v>0</v>
      </c>
      <c r="BO22" s="31">
        <f t="shared" si="1"/>
        <v>0</v>
      </c>
      <c r="BP22" t="b">
        <f t="shared" si="2"/>
        <v>0</v>
      </c>
      <c r="BR22" s="29">
        <f t="shared" si="21"/>
        <v>0</v>
      </c>
      <c r="BS22" s="29">
        <f>GetTransactionTotal(AggregateTable2023[], AggregateTable2023[Start], BR$1, AggregateTable2023[#Headers], $D22)</f>
        <v>0</v>
      </c>
      <c r="BT22" s="29">
        <f>Buckets_11_23[[#This Row],[Start]]+Buckets_11_23[[#This Row],[Transactions]]</f>
        <v>0</v>
      </c>
      <c r="BU22" s="29">
        <f t="shared" si="22"/>
        <v>0</v>
      </c>
      <c r="BV22" s="29">
        <f>Buckets_11_23[[#This Row],[Capacity]]-Buckets_11_23[[#This Row],[After T]]</f>
        <v>0</v>
      </c>
      <c r="BW22" s="29">
        <f>MAX(-Buckets_11_23[[#This Row],[Cap Diff]], 0)</f>
        <v>0</v>
      </c>
      <c r="BX22" s="29">
        <f>Buckets_11_23[[#This Row],[After T]]-Buckets_11_23[[#This Row],[Slush]]</f>
        <v>0</v>
      </c>
      <c r="BY22" s="29">
        <f>Buckets_11_23[[#This Row],[Capacity]]-Buckets_11_23[[#This Row],[Before Fill]]</f>
        <v>0</v>
      </c>
      <c r="BZ22" t="b">
        <f>OR(BP22, Buckets_11_23[[#This Row],[After T]]&lt;0)</f>
        <v>0</v>
      </c>
      <c r="CA22" s="29">
        <f>IF(Buckets_11_23[[#This Row],[Is Crit]], Buckets_11_23[[#This Row],[S Cap Diff]], 0)</f>
        <v>0</v>
      </c>
      <c r="CB22" s="29">
        <f>Buckets_11_23[[#This Row],[Before Fill]]+Buckets_11_23[[#This Row],[Crit To Fill]]</f>
        <v>0</v>
      </c>
      <c r="CC22" s="29">
        <f>IF(NOT(Buckets_11_23[[#This Row],[Is Crit]]), Buckets_11_23[[#This Row],[S Cap Diff]], 0)</f>
        <v>0</v>
      </c>
      <c r="CD22" s="31">
        <f>CB$41/Buckets_11_23[[#Totals],[NC To Fill]]*Buckets_11_23[[#This Row],[NC To Fill]]</f>
        <v>0</v>
      </c>
      <c r="CE22" s="31">
        <f>Buckets_11_23[[#This Row],[Crit Filled]]+Buckets_11_23[[#This Row],[Scaled]]</f>
        <v>0</v>
      </c>
      <c r="CF22" s="31">
        <f>Buckets_11_23[[#This Row],[NC Filled]]</f>
        <v>0</v>
      </c>
      <c r="CG22" s="31">
        <f>Buckets_11_23[[#This Row],[Capacity]]-Buckets_11_23[[#This Row],[Final]]</f>
        <v>0</v>
      </c>
      <c r="CH22" s="33">
        <f>IF(Buckets_11_23[[#This Row],[Capacity]]=0, 1, Buckets_11_23[[#This Row],[Final]]/Buckets_11_23[[#This Row],[Capacity]])</f>
        <v>1</v>
      </c>
      <c r="CJ22" s="40">
        <f>Buckets_11_23[[#This Row],[Final]]</f>
        <v>0</v>
      </c>
      <c r="CK22" s="40">
        <f>Buckets_11_23[[#This Row],[Capacity]]</f>
        <v>0</v>
      </c>
      <c r="CL22" s="41" t="b">
        <f t="shared" si="23"/>
        <v>0</v>
      </c>
      <c r="CM22" s="42"/>
      <c r="CN22" s="42"/>
      <c r="CO22" s="42" t="e">
        <f>NA()</f>
        <v>#N/A</v>
      </c>
      <c r="CP22" s="42"/>
      <c r="CQ22" s="43"/>
      <c r="CR22" s="40">
        <f t="shared" si="24"/>
        <v>0</v>
      </c>
      <c r="CS22" s="40">
        <f t="shared" si="3"/>
        <v>0</v>
      </c>
      <c r="CT22" s="41" t="b">
        <f t="shared" si="4"/>
        <v>0</v>
      </c>
      <c r="CV22" s="29">
        <f t="shared" si="25"/>
        <v>0</v>
      </c>
      <c r="CW22" s="29">
        <f>GetTransactionTotal(AggregateTable2023[], AggregateTable2023[Start], CV$1, AggregateTable2023[#Headers], $D22)</f>
        <v>0</v>
      </c>
      <c r="CX22" s="29">
        <f>Buckets_12_23[[#This Row],[Start]]+Buckets_12_23[[#This Row],[Transactions]]</f>
        <v>0</v>
      </c>
      <c r="CY22" s="29">
        <f t="shared" si="26"/>
        <v>0</v>
      </c>
      <c r="CZ22" s="29">
        <f>Buckets_12_23[[#This Row],[Capacity]]-Buckets_12_23[[#This Row],[After T]]</f>
        <v>0</v>
      </c>
      <c r="DA22" s="29">
        <f>MAX(-Buckets_12_23[[#This Row],[Cap Diff]], 0)</f>
        <v>0</v>
      </c>
      <c r="DB22" s="29">
        <f>Buckets_12_23[[#This Row],[After T]]-Buckets_12_23[[#This Row],[Slush]]</f>
        <v>0</v>
      </c>
      <c r="DC22" s="29">
        <f>Buckets_12_23[[#This Row],[Capacity]]-Buckets_12_23[[#This Row],[Before Fill]]</f>
        <v>0</v>
      </c>
      <c r="DD22" t="b">
        <f>OR(CT22, Buckets_12_23[[#This Row],[After T]]&lt;0)</f>
        <v>0</v>
      </c>
      <c r="DE22" s="29">
        <f>IF(Buckets_12_23[[#This Row],[Is Crit]], Buckets_12_23[[#This Row],[S Cap Diff]], 0)</f>
        <v>0</v>
      </c>
      <c r="DF22" s="29">
        <f>Buckets_12_23[[#This Row],[Before Fill]]+Buckets_12_23[[#This Row],[Crit To Fill]]</f>
        <v>0</v>
      </c>
      <c r="DG22" s="29">
        <f>IF(NOT(Buckets_12_23[[#This Row],[Is Crit]]), Buckets_12_23[[#This Row],[S Cap Diff]], 0)</f>
        <v>0</v>
      </c>
      <c r="DH22" s="31">
        <f>DF$41/Buckets_12_23[[#Totals],[NC To Fill]]*Buckets_12_23[[#This Row],[NC To Fill]]</f>
        <v>0</v>
      </c>
      <c r="DI22" s="31">
        <f>Buckets_12_23[[#This Row],[Crit Filled]]+Buckets_12_23[[#This Row],[Scaled]]</f>
        <v>0</v>
      </c>
      <c r="DJ22" s="31">
        <f>Buckets_12_23[[#This Row],[NC Filled]]</f>
        <v>0</v>
      </c>
      <c r="DK22" s="31">
        <f>Buckets_12_23[[#This Row],[Capacity]]-Buckets_12_23[[#This Row],[Final]]</f>
        <v>0</v>
      </c>
      <c r="DL22" s="33">
        <f>IF(Buckets_12_23[[#This Row],[Capacity]]=0, 1, Buckets_12_23[[#This Row],[Final]]/Buckets_12_23[[#This Row],[Capacity]])</f>
        <v>1</v>
      </c>
      <c r="DN22" s="40">
        <f>Buckets_12_23[[#This Row],[Final]]</f>
        <v>0</v>
      </c>
      <c r="DO22" s="40">
        <f>Buckets_12_23[[#This Row],[Capacity]]</f>
        <v>0</v>
      </c>
      <c r="DP22" s="41" t="b">
        <f t="shared" si="27"/>
        <v>0</v>
      </c>
      <c r="DQ22" s="42"/>
      <c r="DR22" s="42"/>
      <c r="DS22" s="42" t="e">
        <f>NA()</f>
        <v>#N/A</v>
      </c>
      <c r="DT22" s="42"/>
      <c r="DU22" s="43"/>
      <c r="DV22" s="40">
        <f t="shared" si="28"/>
        <v>0</v>
      </c>
      <c r="DW22" s="40">
        <f t="shared" si="5"/>
        <v>0</v>
      </c>
      <c r="DX22" s="41" t="b">
        <f t="shared" si="6"/>
        <v>0</v>
      </c>
      <c r="DZ22" s="29">
        <f t="shared" si="29"/>
        <v>0</v>
      </c>
      <c r="EA22" s="29">
        <f>GetTransactionTotal(AggregateTable2024[], AggregateTable2024[Start], DZ$1, AggregateTable2024[#Headers], $D22)</f>
        <v>0</v>
      </c>
      <c r="EB22" s="29">
        <f>Buckets_1_24[[#This Row],[Start]]+Buckets_1_24[[#This Row],[Transactions]]</f>
        <v>0</v>
      </c>
      <c r="EC22" s="29">
        <f t="shared" si="30"/>
        <v>0</v>
      </c>
      <c r="ED22" s="29">
        <f>Buckets_1_24[[#This Row],[Capacity]]-Buckets_1_24[[#This Row],[After T]]</f>
        <v>0</v>
      </c>
      <c r="EE22" s="29">
        <f>MAX(-Buckets_1_24[[#This Row],[Cap Diff]], 0)</f>
        <v>0</v>
      </c>
      <c r="EF22" s="29">
        <f>Buckets_1_24[[#This Row],[After T]]-Buckets_1_24[[#This Row],[Slush]]</f>
        <v>0</v>
      </c>
      <c r="EG22" s="29">
        <f>Buckets_1_24[[#This Row],[Capacity]]-Buckets_1_24[[#This Row],[Before Fill]]</f>
        <v>0</v>
      </c>
      <c r="EH22" t="b">
        <f>OR(DX22, Buckets_1_24[[#This Row],[After T]]&lt;0)</f>
        <v>0</v>
      </c>
      <c r="EI22" s="29">
        <f>IF(Buckets_1_24[[#This Row],[Is Crit]], Buckets_1_24[[#This Row],[S Cap Diff]], 0)</f>
        <v>0</v>
      </c>
      <c r="EJ22" s="29">
        <f>Buckets_1_24[[#This Row],[Before Fill]]+Buckets_1_24[[#This Row],[Crit To Fill]]</f>
        <v>0</v>
      </c>
      <c r="EK22" s="29">
        <f>IF(NOT(Buckets_1_24[[#This Row],[Is Crit]]), Buckets_1_24[[#This Row],[S Cap Diff]], 0)</f>
        <v>0</v>
      </c>
      <c r="EL22" s="31">
        <f>EJ$41/Buckets_1_24[[#Totals],[NC To Fill]]*Buckets_1_24[[#This Row],[NC To Fill]]</f>
        <v>0</v>
      </c>
      <c r="EM22" s="31">
        <f>Buckets_1_24[[#This Row],[Crit Filled]]+Buckets_1_24[[#This Row],[Scaled]]</f>
        <v>0</v>
      </c>
      <c r="EN22" s="31">
        <f>Buckets_1_24[[#This Row],[NC Filled]]</f>
        <v>0</v>
      </c>
      <c r="EO22" s="31">
        <f>Buckets_1_24[[#This Row],[Capacity]]-Buckets_1_24[[#This Row],[Final]]</f>
        <v>0</v>
      </c>
      <c r="EP22" s="33">
        <f>IF(Buckets_1_24[[#This Row],[Capacity]]=0, 1, Buckets_1_24[[#This Row],[Final]]/Buckets_1_24[[#This Row],[Capacity]])</f>
        <v>1</v>
      </c>
      <c r="ER22" s="40">
        <f>Buckets_1_24[[#This Row],[Final]]</f>
        <v>0</v>
      </c>
      <c r="ES22" s="40">
        <f>Buckets_1_24[[#This Row],[Capacity]]</f>
        <v>0</v>
      </c>
      <c r="ET22" s="41" t="b">
        <f t="shared" si="31"/>
        <v>0</v>
      </c>
      <c r="EU22" s="42"/>
      <c r="EV22" s="42"/>
      <c r="EW22" s="42"/>
      <c r="EX22" s="42"/>
      <c r="EY22" s="43"/>
      <c r="EZ22" s="40">
        <f t="shared" si="32"/>
        <v>0</v>
      </c>
      <c r="FA22" s="40">
        <f t="shared" si="33"/>
        <v>0</v>
      </c>
      <c r="FB22" s="41" t="b">
        <f t="shared" si="7"/>
        <v>0</v>
      </c>
      <c r="FD22" s="29">
        <f t="shared" si="34"/>
        <v>0</v>
      </c>
      <c r="FE22" s="29">
        <f>GetTransactionTotal(AggregateTable2024[], AggregateTable2024[Start], FD$1, AggregateTable2024[#Headers], $D22)</f>
        <v>0</v>
      </c>
      <c r="FF22" s="29">
        <f>Buckets_2_24[[#This Row],[Start]]+Buckets_2_24[[#This Row],[Transactions]]</f>
        <v>0</v>
      </c>
      <c r="FG22" s="29">
        <f t="shared" si="35"/>
        <v>0</v>
      </c>
      <c r="FH22" s="29">
        <f>Buckets_2_24[[#This Row],[Capacity]]-Buckets_2_24[[#This Row],[After T]]</f>
        <v>0</v>
      </c>
      <c r="FI22" s="29">
        <f>MAX(-Buckets_2_24[[#This Row],[Cap Diff]], 0)</f>
        <v>0</v>
      </c>
      <c r="FJ22" s="29">
        <f>Buckets_2_24[[#This Row],[After T]]-Buckets_2_24[[#This Row],[Slush]]</f>
        <v>0</v>
      </c>
      <c r="FK22" s="29">
        <f>Buckets_2_24[[#This Row],[Capacity]]-Buckets_2_24[[#This Row],[Before Fill]]</f>
        <v>0</v>
      </c>
      <c r="FL22" t="b">
        <f>OR(FB22, Buckets_2_24[[#This Row],[After T]]&lt;0)</f>
        <v>0</v>
      </c>
      <c r="FM22" s="29">
        <f>IF(Buckets_2_24[[#This Row],[Is Crit]], Buckets_2_24[[#This Row],[S Cap Diff]], 0)</f>
        <v>0</v>
      </c>
      <c r="FN22" s="29">
        <f>Buckets_2_24[[#This Row],[Before Fill]]+Buckets_2_24[[#This Row],[Crit To Fill]]</f>
        <v>0</v>
      </c>
      <c r="FO22" s="29">
        <f>IF(NOT(Buckets_2_24[[#This Row],[Is Crit]]), Buckets_2_24[[#This Row],[S Cap Diff]], 0)</f>
        <v>0</v>
      </c>
      <c r="FP22" s="31">
        <f>FN$41/Buckets_2_24[[#Totals],[NC To Fill]]*Buckets_2_24[[#This Row],[NC To Fill]]</f>
        <v>0</v>
      </c>
      <c r="FQ22" s="31">
        <f>Buckets_2_24[[#This Row],[Crit Filled]]+Buckets_2_24[[#This Row],[Scaled]]</f>
        <v>0</v>
      </c>
      <c r="FR22" s="31">
        <f>Buckets_2_24[[#This Row],[NC Filled]]</f>
        <v>0</v>
      </c>
      <c r="FS22" s="31">
        <f>Buckets_2_24[[#This Row],[Capacity]]-Buckets_2_24[[#This Row],[Final]]</f>
        <v>0</v>
      </c>
      <c r="FT22" s="33">
        <f>IF(Buckets_2_24[[#This Row],[Capacity]]=0, 1, Buckets_2_24[[#This Row],[Final]]/Buckets_2_24[[#This Row],[Capacity]])</f>
        <v>1</v>
      </c>
      <c r="FV22" s="40">
        <f>Buckets_2_24[[#This Row],[Final]]</f>
        <v>0</v>
      </c>
      <c r="FW22" s="40">
        <f>Buckets_2_24[[#This Row],[Capacity]]</f>
        <v>0</v>
      </c>
      <c r="FX22" s="41" t="b">
        <f t="shared" si="36"/>
        <v>0</v>
      </c>
      <c r="FY22" s="42"/>
      <c r="FZ22" s="42"/>
      <c r="GA22" s="42"/>
      <c r="GB22" s="42"/>
      <c r="GC22" s="43"/>
      <c r="GD22" s="40">
        <f t="shared" si="37"/>
        <v>0</v>
      </c>
      <c r="GE22" s="40">
        <f t="shared" si="38"/>
        <v>0</v>
      </c>
      <c r="GF22" s="41" t="b">
        <f t="shared" si="8"/>
        <v>0</v>
      </c>
      <c r="GH22" s="29">
        <f t="shared" si="39"/>
        <v>0</v>
      </c>
      <c r="GI22" s="29">
        <f>GetTransactionTotal(AggregateTable2024[], AggregateTable2024[Start], GH$1, AggregateTable2024[#Headers], $D22)</f>
        <v>0</v>
      </c>
      <c r="GJ22" s="29">
        <f>Buckets_3_24[[#This Row],[Start]]+Buckets_3_24[[#This Row],[Transactions]]</f>
        <v>0</v>
      </c>
      <c r="GK22" s="29">
        <f t="shared" si="40"/>
        <v>0</v>
      </c>
      <c r="GL22" s="29">
        <f>Buckets_3_24[[#This Row],[Capacity]]-Buckets_3_24[[#This Row],[After T]]</f>
        <v>0</v>
      </c>
      <c r="GM22" s="29">
        <f>MAX(-Buckets_3_24[[#This Row],[Cap Diff]], 0)</f>
        <v>0</v>
      </c>
      <c r="GN22" s="29">
        <f>Buckets_3_24[[#This Row],[After T]]-Buckets_3_24[[#This Row],[Slush]]</f>
        <v>0</v>
      </c>
      <c r="GO22" s="29">
        <f>Buckets_3_24[[#This Row],[Capacity]]-Buckets_3_24[[#This Row],[Before Fill]]</f>
        <v>0</v>
      </c>
      <c r="GP22" t="b">
        <f>OR(GF22, Buckets_3_24[[#This Row],[After T]]&lt;0)</f>
        <v>0</v>
      </c>
      <c r="GQ22" s="29">
        <f>IF(Buckets_3_24[[#This Row],[Is Crit]], Buckets_3_24[[#This Row],[S Cap Diff]], 0)</f>
        <v>0</v>
      </c>
      <c r="GR22" s="29">
        <f>Buckets_3_24[[#This Row],[Before Fill]]+Buckets_3_24[[#This Row],[Crit To Fill]]</f>
        <v>0</v>
      </c>
      <c r="GS22" s="29">
        <f>IF(NOT(Buckets_3_24[[#This Row],[Is Crit]]), Buckets_3_24[[#This Row],[S Cap Diff]], 0)</f>
        <v>0</v>
      </c>
      <c r="GT22" s="31">
        <f>GR$41/Buckets_3_24[[#Totals],[NC To Fill]]*Buckets_3_24[[#This Row],[NC To Fill]]</f>
        <v>0</v>
      </c>
      <c r="GU22" s="31">
        <f>Buckets_3_24[[#This Row],[Crit Filled]]+Buckets_3_24[[#This Row],[Scaled]]</f>
        <v>0</v>
      </c>
      <c r="GV22" s="31">
        <f>Buckets_3_24[[#This Row],[NC Filled]]</f>
        <v>0</v>
      </c>
      <c r="GW22" s="31">
        <f>Buckets_3_24[[#This Row],[Capacity]]-Buckets_3_24[[#This Row],[Final]]</f>
        <v>0</v>
      </c>
      <c r="GX22" s="33">
        <f>IF(Buckets_3_24[[#This Row],[Capacity]]=0, 1, Buckets_3_24[[#This Row],[Final]]/Buckets_3_24[[#This Row],[Capacity]])</f>
        <v>1</v>
      </c>
      <c r="GZ22" s="40">
        <f>Buckets_3_24[[#This Row],[Final]]</f>
        <v>0</v>
      </c>
      <c r="HA22" s="40">
        <f>Buckets_3_24[[#This Row],[Capacity]]</f>
        <v>0</v>
      </c>
      <c r="HB22" s="41" t="b">
        <f t="shared" si="41"/>
        <v>0</v>
      </c>
      <c r="HC22" s="42"/>
      <c r="HD22" s="42"/>
      <c r="HE22" s="42"/>
      <c r="HF22" s="42"/>
      <c r="HG22" s="43"/>
      <c r="HH22" s="40">
        <f t="shared" si="42"/>
        <v>0</v>
      </c>
      <c r="HI22" s="40">
        <f t="shared" si="43"/>
        <v>0</v>
      </c>
      <c r="HJ22" s="41" t="b">
        <f t="shared" si="9"/>
        <v>0</v>
      </c>
      <c r="HL22" s="29">
        <f t="shared" si="44"/>
        <v>0</v>
      </c>
      <c r="HM22" s="29">
        <f>GetTransactionTotal(AggregateTable2024[], AggregateTable2024[Start], HL$1, AggregateTable2024[#Headers], $D22)</f>
        <v>-6500</v>
      </c>
      <c r="HN22" s="29">
        <f>Buckets_4_24[[#This Row],[Start]]+Buckets_4_24[[#This Row],[Transactions]]</f>
        <v>-6500</v>
      </c>
      <c r="HO22" s="29">
        <f t="shared" si="45"/>
        <v>0</v>
      </c>
      <c r="HP22" s="29">
        <f>Buckets_4_24[[#This Row],[Capacity]]-Buckets_4_24[[#This Row],[After T]]</f>
        <v>6500</v>
      </c>
      <c r="HQ22" s="29">
        <f>MAX(-Buckets_4_24[[#This Row],[Cap Diff]], 0)</f>
        <v>0</v>
      </c>
      <c r="HR22" s="29">
        <f>Buckets_4_24[[#This Row],[After T]]-Buckets_4_24[[#This Row],[Slush]]</f>
        <v>-6500</v>
      </c>
      <c r="HS22" s="29">
        <f>Buckets_4_24[[#This Row],[Capacity]]-Buckets_4_24[[#This Row],[Before Fill]]</f>
        <v>6500</v>
      </c>
      <c r="HT22" t="b">
        <f>OR(HJ22, Buckets_4_24[[#This Row],[After T]]&lt;0)</f>
        <v>1</v>
      </c>
      <c r="HU22" s="29">
        <f>IF(Buckets_4_24[[#This Row],[Is Crit]], Buckets_4_24[[#This Row],[S Cap Diff]], 0)</f>
        <v>6500</v>
      </c>
      <c r="HV22" s="29">
        <f>Buckets_4_24[[#This Row],[Before Fill]]+Buckets_4_24[[#This Row],[Crit To Fill]]</f>
        <v>0</v>
      </c>
      <c r="HW22" s="29">
        <f>IF(NOT(Buckets_4_24[[#This Row],[Is Crit]]), Buckets_4_24[[#This Row],[S Cap Diff]], 0)</f>
        <v>0</v>
      </c>
      <c r="HX22" s="31">
        <f>HV$41/Buckets_4_24[[#Totals],[NC To Fill]]*Buckets_4_24[[#This Row],[NC To Fill]]</f>
        <v>0</v>
      </c>
      <c r="HY22" s="31">
        <f>Buckets_4_24[[#This Row],[Crit Filled]]+Buckets_4_24[[#This Row],[Scaled]]</f>
        <v>0</v>
      </c>
      <c r="HZ22" s="31">
        <f>Buckets_4_24[[#This Row],[NC Filled]]</f>
        <v>0</v>
      </c>
      <c r="IA22" s="31">
        <f>Buckets_4_24[[#This Row],[Capacity]]-Buckets_4_24[[#This Row],[Final]]</f>
        <v>0</v>
      </c>
      <c r="IB22" s="33">
        <f>IF(Buckets_4_24[[#This Row],[Capacity]]=0, 1, Buckets_4_24[[#This Row],[Final]]/Buckets_4_24[[#This Row],[Capacity]])</f>
        <v>1</v>
      </c>
      <c r="ID22" s="40">
        <f>Buckets_4_24[[#This Row],[Final]]</f>
        <v>0</v>
      </c>
      <c r="IE22" s="40">
        <f>Buckets_4_24[[#This Row],[Capacity]]</f>
        <v>0</v>
      </c>
      <c r="IF22" s="41" t="b">
        <f t="shared" si="46"/>
        <v>0</v>
      </c>
      <c r="IG22" s="42"/>
      <c r="IH22" s="42"/>
      <c r="II22" s="42"/>
      <c r="IJ22" s="42"/>
      <c r="IK22" s="43"/>
      <c r="IL22" s="40">
        <f t="shared" si="47"/>
        <v>0</v>
      </c>
      <c r="IM22" s="40">
        <f t="shared" si="48"/>
        <v>0</v>
      </c>
      <c r="IN22" s="41" t="b">
        <f t="shared" si="10"/>
        <v>0</v>
      </c>
    </row>
    <row r="23" spans="1:248" x14ac:dyDescent="0.25">
      <c r="A23" s="49"/>
      <c r="B23" t="s">
        <v>325</v>
      </c>
      <c r="C23" t="s">
        <v>298</v>
      </c>
      <c r="D23" t="s">
        <v>298</v>
      </c>
      <c r="F23" s="30">
        <v>0</v>
      </c>
      <c r="G23" s="38">
        <v>0</v>
      </c>
      <c r="H23" t="b">
        <v>0</v>
      </c>
      <c r="J23" s="29">
        <f t="shared" si="11"/>
        <v>0</v>
      </c>
      <c r="K23" s="29">
        <f>GetTransactionTotal(AggregateTable2023[], AggregateTable2023[Start], J$1, AggregateTable2023[#Headers], $D23)</f>
        <v>0</v>
      </c>
      <c r="L23" s="29">
        <f>Buckets_9_23[[#This Row],[Start]]+Buckets_9_23[[#This Row],[Transactions]]</f>
        <v>0</v>
      </c>
      <c r="M23" s="29">
        <f t="shared" si="12"/>
        <v>0</v>
      </c>
      <c r="N23" s="29">
        <f>Buckets_9_23[[#This Row],[Capacity]]-Buckets_9_23[[#This Row],[After T]]</f>
        <v>0</v>
      </c>
      <c r="O23" s="29">
        <f>IF(Buckets_9_23[[#This Row],[After T]]&lt;0, Buckets_9_23[[#This Row],[After T]], IF(Buckets_9_23[[#This Row],[Cap Diff]]&lt;0, -Buckets_9_23[[#This Row],[Cap Diff]], 0))</f>
        <v>0</v>
      </c>
      <c r="P23" s="29">
        <f>Buckets_9_23[[#This Row],[After T]]-Buckets_9_23[[#This Row],[Slush]]</f>
        <v>0</v>
      </c>
      <c r="Q23" s="29">
        <f>Buckets_9_23[[#This Row],[Capacity]]-Buckets_9_23[[#This Row],[Before Fill]]</f>
        <v>0</v>
      </c>
      <c r="R23" t="b">
        <f t="shared" si="0"/>
        <v>0</v>
      </c>
      <c r="S23" s="29">
        <f>IF(Buckets_9_23[[#This Row],[Is Crit]], Buckets_9_23[[#This Row],[S Cap Diff]], 0)</f>
        <v>0</v>
      </c>
      <c r="T23" s="29">
        <f>Buckets_9_23[[#This Row],[Before Fill]]+Buckets_9_23[[#This Row],[Crit To Fill]]</f>
        <v>0</v>
      </c>
      <c r="U23" s="29">
        <f>IF(NOT(Buckets_9_23[[#This Row],[Is Crit]]), Buckets_9_23[[#This Row],[S Cap Diff]], 0)</f>
        <v>0</v>
      </c>
      <c r="V23" s="31">
        <f>T$41/Buckets_9_23[[#Totals],[NC To Fill]]*Buckets_9_23[[#This Row],[NC To Fill]]</f>
        <v>0</v>
      </c>
      <c r="W23" s="31">
        <f>Buckets_9_23[[#This Row],[Crit Filled]]+Buckets_9_23[[#This Row],[Scaled]]</f>
        <v>0</v>
      </c>
      <c r="X23" s="31">
        <f>Buckets_9_23[[#This Row],[NC Filled]]</f>
        <v>0</v>
      </c>
      <c r="Y23" s="31">
        <f>Buckets_9_23[[#This Row],[Capacity]]-Buckets_9_23[[#This Row],[Final]]</f>
        <v>0</v>
      </c>
      <c r="Z23" s="33">
        <f>IF(Buckets_9_23[[#This Row],[Capacity]]=0, 1, Buckets_9_23[[#This Row],[Final]]/Buckets_9_23[[#This Row],[Capacity]])</f>
        <v>1</v>
      </c>
      <c r="AB23" s="31">
        <f>Buckets_9_23[[#This Row],[Final]]</f>
        <v>0</v>
      </c>
      <c r="AC23" s="31">
        <f>Buckets_9_23[[#This Row],[Capacity]]</f>
        <v>0</v>
      </c>
      <c r="AD23" t="b">
        <f t="shared" si="13"/>
        <v>0</v>
      </c>
      <c r="AE23" s="43" t="e">
        <f>NA()</f>
        <v>#N/A</v>
      </c>
      <c r="AF23" s="42"/>
      <c r="AG23" s="43" t="e">
        <f>NA()</f>
        <v>#N/A</v>
      </c>
      <c r="AH23" s="42"/>
      <c r="AI23" s="43"/>
      <c r="AJ23" s="31">
        <f t="shared" si="14"/>
        <v>0</v>
      </c>
      <c r="AK23" s="31">
        <f t="shared" si="15"/>
        <v>0</v>
      </c>
      <c r="AL23" t="b">
        <f t="shared" si="16"/>
        <v>0</v>
      </c>
      <c r="AN23" s="29">
        <f t="shared" si="17"/>
        <v>0</v>
      </c>
      <c r="AO23" s="29">
        <f>GetTransactionTotal(AggregateTable2023[], AggregateTable2023[Start], AN$1, AggregateTable2023[#Headers], $D23)</f>
        <v>0</v>
      </c>
      <c r="AP23" s="29">
        <f>Buckets_10_23[[#This Row],[Start]]+Buckets_10_23[[#This Row],[Transactions]]</f>
        <v>0</v>
      </c>
      <c r="AQ23" s="29">
        <f t="shared" si="18"/>
        <v>0</v>
      </c>
      <c r="AR23" s="29">
        <f>Buckets_10_23[[#This Row],[Capacity]]-Buckets_10_23[[#This Row],[After T]]</f>
        <v>0</v>
      </c>
      <c r="AS23" s="29">
        <f>MAX(-Buckets_10_23[[#This Row],[Cap Diff]], 0)</f>
        <v>0</v>
      </c>
      <c r="AT23" s="29">
        <f>Buckets_10_23[[#This Row],[After T]]-Buckets_10_23[[#This Row],[Slush]]</f>
        <v>0</v>
      </c>
      <c r="AU23" s="29">
        <f>Buckets_10_23[[#This Row],[Capacity]]-Buckets_10_23[[#This Row],[Before Fill]]</f>
        <v>0</v>
      </c>
      <c r="AV23" t="b">
        <f>OR(AL23, Buckets_10_23[[#This Row],[After T]]&lt;0)</f>
        <v>0</v>
      </c>
      <c r="AW23" s="29">
        <f>IF(Buckets_10_23[[#This Row],[Is Crit]], Buckets_10_23[[#This Row],[S Cap Diff]], 0)</f>
        <v>0</v>
      </c>
      <c r="AX23" s="29">
        <f>Buckets_10_23[[#This Row],[Before Fill]]+Buckets_10_23[[#This Row],[Crit To Fill]]</f>
        <v>0</v>
      </c>
      <c r="AY23" s="29">
        <f>IF(NOT(Buckets_10_23[[#This Row],[Is Crit]]), Buckets_10_23[[#This Row],[S Cap Diff]], 0)</f>
        <v>0</v>
      </c>
      <c r="AZ23" s="31">
        <f>AX$41/Buckets_10_23[[#Totals],[NC To Fill]]*Buckets_10_23[[#This Row],[NC To Fill]]</f>
        <v>0</v>
      </c>
      <c r="BA23" s="31">
        <f>Buckets_10_23[[#This Row],[Crit Filled]]+Buckets_10_23[[#This Row],[Scaled]]</f>
        <v>0</v>
      </c>
      <c r="BB23" s="31">
        <f>Buckets_10_23[[#This Row],[NC Filled]]</f>
        <v>0</v>
      </c>
      <c r="BC23" s="31">
        <f>Buckets_10_23[[#This Row],[Capacity]]-Buckets_10_23[[#This Row],[Final]]</f>
        <v>0</v>
      </c>
      <c r="BD23" s="33">
        <f>IF(Buckets_10_23[[#This Row],[Capacity]]=0, 1, Buckets_10_23[[#This Row],[Final]]/Buckets_10_23[[#This Row],[Capacity]])</f>
        <v>1</v>
      </c>
      <c r="BF23" s="31">
        <f>Buckets_10_23[[#This Row],[Final]]</f>
        <v>0</v>
      </c>
      <c r="BG23" s="31">
        <f>Buckets_10_23[[#This Row],[Capacity]]</f>
        <v>0</v>
      </c>
      <c r="BH23" t="b">
        <f t="shared" si="19"/>
        <v>0</v>
      </c>
      <c r="BI23" s="43" t="e">
        <f>NA()</f>
        <v>#N/A</v>
      </c>
      <c r="BJ23" s="42"/>
      <c r="BK23" s="43" t="e">
        <f>NA()</f>
        <v>#N/A</v>
      </c>
      <c r="BL23" s="42"/>
      <c r="BM23" s="43"/>
      <c r="BN23" s="31">
        <f t="shared" si="20"/>
        <v>0</v>
      </c>
      <c r="BO23" s="31">
        <f t="shared" si="1"/>
        <v>0</v>
      </c>
      <c r="BP23" t="b">
        <f t="shared" si="2"/>
        <v>0</v>
      </c>
      <c r="BR23" s="29">
        <f t="shared" si="21"/>
        <v>0</v>
      </c>
      <c r="BS23" s="29">
        <f>GetTransactionTotal(AggregateTable2023[], AggregateTable2023[Start], BR$1, AggregateTable2023[#Headers], $D23)</f>
        <v>0</v>
      </c>
      <c r="BT23" s="29">
        <f>Buckets_11_23[[#This Row],[Start]]+Buckets_11_23[[#This Row],[Transactions]]</f>
        <v>0</v>
      </c>
      <c r="BU23" s="29">
        <f t="shared" si="22"/>
        <v>0</v>
      </c>
      <c r="BV23" s="29">
        <f>Buckets_11_23[[#This Row],[Capacity]]-Buckets_11_23[[#This Row],[After T]]</f>
        <v>0</v>
      </c>
      <c r="BW23" s="29">
        <f>MAX(-Buckets_11_23[[#This Row],[Cap Diff]], 0)</f>
        <v>0</v>
      </c>
      <c r="BX23" s="29">
        <f>Buckets_11_23[[#This Row],[After T]]-Buckets_11_23[[#This Row],[Slush]]</f>
        <v>0</v>
      </c>
      <c r="BY23" s="29">
        <f>Buckets_11_23[[#This Row],[Capacity]]-Buckets_11_23[[#This Row],[Before Fill]]</f>
        <v>0</v>
      </c>
      <c r="BZ23" t="b">
        <f>OR(BP23, Buckets_11_23[[#This Row],[After T]]&lt;0)</f>
        <v>0</v>
      </c>
      <c r="CA23" s="29">
        <f>IF(Buckets_11_23[[#This Row],[Is Crit]], Buckets_11_23[[#This Row],[S Cap Diff]], 0)</f>
        <v>0</v>
      </c>
      <c r="CB23" s="29">
        <f>Buckets_11_23[[#This Row],[Before Fill]]+Buckets_11_23[[#This Row],[Crit To Fill]]</f>
        <v>0</v>
      </c>
      <c r="CC23" s="29">
        <f>IF(NOT(Buckets_11_23[[#This Row],[Is Crit]]), Buckets_11_23[[#This Row],[S Cap Diff]], 0)</f>
        <v>0</v>
      </c>
      <c r="CD23" s="31">
        <f>CB$41/Buckets_11_23[[#Totals],[NC To Fill]]*Buckets_11_23[[#This Row],[NC To Fill]]</f>
        <v>0</v>
      </c>
      <c r="CE23" s="31">
        <f>Buckets_11_23[[#This Row],[Crit Filled]]+Buckets_11_23[[#This Row],[Scaled]]</f>
        <v>0</v>
      </c>
      <c r="CF23" s="31">
        <f>Buckets_11_23[[#This Row],[NC Filled]]</f>
        <v>0</v>
      </c>
      <c r="CG23" s="31">
        <f>Buckets_11_23[[#This Row],[Capacity]]-Buckets_11_23[[#This Row],[Final]]</f>
        <v>0</v>
      </c>
      <c r="CH23" s="33">
        <f>IF(Buckets_11_23[[#This Row],[Capacity]]=0, 1, Buckets_11_23[[#This Row],[Final]]/Buckets_11_23[[#This Row],[Capacity]])</f>
        <v>1</v>
      </c>
      <c r="CJ23" s="40">
        <f>Buckets_11_23[[#This Row],[Final]]</f>
        <v>0</v>
      </c>
      <c r="CK23" s="40">
        <f>Buckets_11_23[[#This Row],[Capacity]]</f>
        <v>0</v>
      </c>
      <c r="CL23" s="41" t="b">
        <f t="shared" si="23"/>
        <v>0</v>
      </c>
      <c r="CM23" s="42"/>
      <c r="CN23" s="42"/>
      <c r="CO23" s="42" t="e">
        <f>NA()</f>
        <v>#N/A</v>
      </c>
      <c r="CP23" s="42"/>
      <c r="CQ23" s="43"/>
      <c r="CR23" s="40">
        <f t="shared" si="24"/>
        <v>0</v>
      </c>
      <c r="CS23" s="40">
        <f t="shared" si="3"/>
        <v>0</v>
      </c>
      <c r="CT23" s="41" t="b">
        <f t="shared" si="4"/>
        <v>0</v>
      </c>
      <c r="CV23" s="29">
        <f t="shared" si="25"/>
        <v>0</v>
      </c>
      <c r="CW23" s="29">
        <f>GetTransactionTotal(AggregateTable2023[], AggregateTable2023[Start], CV$1, AggregateTable2023[#Headers], $D23)</f>
        <v>0</v>
      </c>
      <c r="CX23" s="29">
        <f>Buckets_12_23[[#This Row],[Start]]+Buckets_12_23[[#This Row],[Transactions]]</f>
        <v>0</v>
      </c>
      <c r="CY23" s="29">
        <f t="shared" si="26"/>
        <v>0</v>
      </c>
      <c r="CZ23" s="29">
        <f>Buckets_12_23[[#This Row],[Capacity]]-Buckets_12_23[[#This Row],[After T]]</f>
        <v>0</v>
      </c>
      <c r="DA23" s="29">
        <f>MAX(-Buckets_12_23[[#This Row],[Cap Diff]], 0)</f>
        <v>0</v>
      </c>
      <c r="DB23" s="29">
        <f>Buckets_12_23[[#This Row],[After T]]-Buckets_12_23[[#This Row],[Slush]]</f>
        <v>0</v>
      </c>
      <c r="DC23" s="29">
        <f>Buckets_12_23[[#This Row],[Capacity]]-Buckets_12_23[[#This Row],[Before Fill]]</f>
        <v>0</v>
      </c>
      <c r="DD23" t="b">
        <f>OR(CT23, Buckets_12_23[[#This Row],[After T]]&lt;0)</f>
        <v>0</v>
      </c>
      <c r="DE23" s="29">
        <f>IF(Buckets_12_23[[#This Row],[Is Crit]], Buckets_12_23[[#This Row],[S Cap Diff]], 0)</f>
        <v>0</v>
      </c>
      <c r="DF23" s="29">
        <f>Buckets_12_23[[#This Row],[Before Fill]]+Buckets_12_23[[#This Row],[Crit To Fill]]</f>
        <v>0</v>
      </c>
      <c r="DG23" s="29">
        <f>IF(NOT(Buckets_12_23[[#This Row],[Is Crit]]), Buckets_12_23[[#This Row],[S Cap Diff]], 0)</f>
        <v>0</v>
      </c>
      <c r="DH23" s="31">
        <f>DF$41/Buckets_12_23[[#Totals],[NC To Fill]]*Buckets_12_23[[#This Row],[NC To Fill]]</f>
        <v>0</v>
      </c>
      <c r="DI23" s="31">
        <f>Buckets_12_23[[#This Row],[Crit Filled]]+Buckets_12_23[[#This Row],[Scaled]]</f>
        <v>0</v>
      </c>
      <c r="DJ23" s="31">
        <f>Buckets_12_23[[#This Row],[NC Filled]]</f>
        <v>0</v>
      </c>
      <c r="DK23" s="31">
        <f>Buckets_12_23[[#This Row],[Capacity]]-Buckets_12_23[[#This Row],[Final]]</f>
        <v>0</v>
      </c>
      <c r="DL23" s="33">
        <f>IF(Buckets_12_23[[#This Row],[Capacity]]=0, 1, Buckets_12_23[[#This Row],[Final]]/Buckets_12_23[[#This Row],[Capacity]])</f>
        <v>1</v>
      </c>
      <c r="DN23" s="40">
        <f>Buckets_12_23[[#This Row],[Final]]</f>
        <v>0</v>
      </c>
      <c r="DO23" s="40">
        <f>Buckets_12_23[[#This Row],[Capacity]]</f>
        <v>0</v>
      </c>
      <c r="DP23" s="41" t="b">
        <f t="shared" si="27"/>
        <v>0</v>
      </c>
      <c r="DQ23" s="42"/>
      <c r="DR23" s="42"/>
      <c r="DS23" s="42" t="e">
        <f>NA()</f>
        <v>#N/A</v>
      </c>
      <c r="DT23" s="42"/>
      <c r="DU23" s="43"/>
      <c r="DV23" s="40">
        <f t="shared" si="28"/>
        <v>0</v>
      </c>
      <c r="DW23" s="40">
        <f t="shared" si="5"/>
        <v>0</v>
      </c>
      <c r="DX23" s="41" t="b">
        <f t="shared" si="6"/>
        <v>0</v>
      </c>
      <c r="DZ23" s="29">
        <f t="shared" si="29"/>
        <v>0</v>
      </c>
      <c r="EA23" s="29">
        <f>GetTransactionTotal(AggregateTable2024[], AggregateTable2024[Start], DZ$1, AggregateTable2024[#Headers], $D23)</f>
        <v>0</v>
      </c>
      <c r="EB23" s="29">
        <f>Buckets_1_24[[#This Row],[Start]]+Buckets_1_24[[#This Row],[Transactions]]</f>
        <v>0</v>
      </c>
      <c r="EC23" s="29">
        <f t="shared" si="30"/>
        <v>0</v>
      </c>
      <c r="ED23" s="29">
        <f>Buckets_1_24[[#This Row],[Capacity]]-Buckets_1_24[[#This Row],[After T]]</f>
        <v>0</v>
      </c>
      <c r="EE23" s="29">
        <f>MAX(-Buckets_1_24[[#This Row],[Cap Diff]], 0)</f>
        <v>0</v>
      </c>
      <c r="EF23" s="29">
        <f>Buckets_1_24[[#This Row],[After T]]-Buckets_1_24[[#This Row],[Slush]]</f>
        <v>0</v>
      </c>
      <c r="EG23" s="29">
        <f>Buckets_1_24[[#This Row],[Capacity]]-Buckets_1_24[[#This Row],[Before Fill]]</f>
        <v>0</v>
      </c>
      <c r="EH23" t="b">
        <f>OR(DX23, Buckets_1_24[[#This Row],[After T]]&lt;0)</f>
        <v>0</v>
      </c>
      <c r="EI23" s="29">
        <f>IF(Buckets_1_24[[#This Row],[Is Crit]], Buckets_1_24[[#This Row],[S Cap Diff]], 0)</f>
        <v>0</v>
      </c>
      <c r="EJ23" s="29">
        <f>Buckets_1_24[[#This Row],[Before Fill]]+Buckets_1_24[[#This Row],[Crit To Fill]]</f>
        <v>0</v>
      </c>
      <c r="EK23" s="29">
        <f>IF(NOT(Buckets_1_24[[#This Row],[Is Crit]]), Buckets_1_24[[#This Row],[S Cap Diff]], 0)</f>
        <v>0</v>
      </c>
      <c r="EL23" s="31">
        <f>EJ$41/Buckets_1_24[[#Totals],[NC To Fill]]*Buckets_1_24[[#This Row],[NC To Fill]]</f>
        <v>0</v>
      </c>
      <c r="EM23" s="31">
        <f>Buckets_1_24[[#This Row],[Crit Filled]]+Buckets_1_24[[#This Row],[Scaled]]</f>
        <v>0</v>
      </c>
      <c r="EN23" s="31">
        <f>Buckets_1_24[[#This Row],[NC Filled]]</f>
        <v>0</v>
      </c>
      <c r="EO23" s="31">
        <f>Buckets_1_24[[#This Row],[Capacity]]-Buckets_1_24[[#This Row],[Final]]</f>
        <v>0</v>
      </c>
      <c r="EP23" s="33">
        <f>IF(Buckets_1_24[[#This Row],[Capacity]]=0, 1, Buckets_1_24[[#This Row],[Final]]/Buckets_1_24[[#This Row],[Capacity]])</f>
        <v>1</v>
      </c>
      <c r="ER23" s="40">
        <f>Buckets_1_24[[#This Row],[Final]]</f>
        <v>0</v>
      </c>
      <c r="ES23" s="40">
        <f>Buckets_1_24[[#This Row],[Capacity]]</f>
        <v>0</v>
      </c>
      <c r="ET23" s="41" t="b">
        <f t="shared" si="31"/>
        <v>0</v>
      </c>
      <c r="EU23" s="42"/>
      <c r="EV23" s="42"/>
      <c r="EW23" s="42"/>
      <c r="EX23" s="42"/>
      <c r="EY23" s="43"/>
      <c r="EZ23" s="40">
        <f t="shared" si="32"/>
        <v>0</v>
      </c>
      <c r="FA23" s="40">
        <f t="shared" si="33"/>
        <v>0</v>
      </c>
      <c r="FB23" s="41" t="b">
        <f t="shared" si="7"/>
        <v>0</v>
      </c>
      <c r="FD23" s="29">
        <f t="shared" si="34"/>
        <v>0</v>
      </c>
      <c r="FE23" s="29">
        <f>GetTransactionTotal(AggregateTable2024[], AggregateTable2024[Start], FD$1, AggregateTable2024[#Headers], $D23)</f>
        <v>0</v>
      </c>
      <c r="FF23" s="29">
        <f>Buckets_2_24[[#This Row],[Start]]+Buckets_2_24[[#This Row],[Transactions]]</f>
        <v>0</v>
      </c>
      <c r="FG23" s="29">
        <f t="shared" si="35"/>
        <v>0</v>
      </c>
      <c r="FH23" s="29">
        <f>Buckets_2_24[[#This Row],[Capacity]]-Buckets_2_24[[#This Row],[After T]]</f>
        <v>0</v>
      </c>
      <c r="FI23" s="29">
        <f>MAX(-Buckets_2_24[[#This Row],[Cap Diff]], 0)</f>
        <v>0</v>
      </c>
      <c r="FJ23" s="29">
        <f>Buckets_2_24[[#This Row],[After T]]-Buckets_2_24[[#This Row],[Slush]]</f>
        <v>0</v>
      </c>
      <c r="FK23" s="29">
        <f>Buckets_2_24[[#This Row],[Capacity]]-Buckets_2_24[[#This Row],[Before Fill]]</f>
        <v>0</v>
      </c>
      <c r="FL23" t="b">
        <f>OR(FB23, Buckets_2_24[[#This Row],[After T]]&lt;0)</f>
        <v>0</v>
      </c>
      <c r="FM23" s="29">
        <f>IF(Buckets_2_24[[#This Row],[Is Crit]], Buckets_2_24[[#This Row],[S Cap Diff]], 0)</f>
        <v>0</v>
      </c>
      <c r="FN23" s="29">
        <f>Buckets_2_24[[#This Row],[Before Fill]]+Buckets_2_24[[#This Row],[Crit To Fill]]</f>
        <v>0</v>
      </c>
      <c r="FO23" s="29">
        <f>IF(NOT(Buckets_2_24[[#This Row],[Is Crit]]), Buckets_2_24[[#This Row],[S Cap Diff]], 0)</f>
        <v>0</v>
      </c>
      <c r="FP23" s="31">
        <f>FN$41/Buckets_2_24[[#Totals],[NC To Fill]]*Buckets_2_24[[#This Row],[NC To Fill]]</f>
        <v>0</v>
      </c>
      <c r="FQ23" s="31">
        <f>Buckets_2_24[[#This Row],[Crit Filled]]+Buckets_2_24[[#This Row],[Scaled]]</f>
        <v>0</v>
      </c>
      <c r="FR23" s="31">
        <f>Buckets_2_24[[#This Row],[NC Filled]]</f>
        <v>0</v>
      </c>
      <c r="FS23" s="31">
        <f>Buckets_2_24[[#This Row],[Capacity]]-Buckets_2_24[[#This Row],[Final]]</f>
        <v>0</v>
      </c>
      <c r="FT23" s="33">
        <f>IF(Buckets_2_24[[#This Row],[Capacity]]=0, 1, Buckets_2_24[[#This Row],[Final]]/Buckets_2_24[[#This Row],[Capacity]])</f>
        <v>1</v>
      </c>
      <c r="FV23" s="40">
        <f>Buckets_2_24[[#This Row],[Final]]</f>
        <v>0</v>
      </c>
      <c r="FW23" s="40">
        <f>Buckets_2_24[[#This Row],[Capacity]]</f>
        <v>0</v>
      </c>
      <c r="FX23" s="41" t="b">
        <f t="shared" si="36"/>
        <v>0</v>
      </c>
      <c r="FY23" s="42"/>
      <c r="FZ23" s="42"/>
      <c r="GA23" s="42"/>
      <c r="GB23" s="42"/>
      <c r="GC23" s="43"/>
      <c r="GD23" s="40">
        <f t="shared" si="37"/>
        <v>0</v>
      </c>
      <c r="GE23" s="40">
        <f t="shared" si="38"/>
        <v>0</v>
      </c>
      <c r="GF23" s="41" t="b">
        <f t="shared" si="8"/>
        <v>0</v>
      </c>
      <c r="GH23" s="29">
        <f t="shared" si="39"/>
        <v>0</v>
      </c>
      <c r="GI23" s="29">
        <f>GetTransactionTotal(AggregateTable2024[], AggregateTable2024[Start], GH$1, AggregateTable2024[#Headers], $D23)</f>
        <v>0</v>
      </c>
      <c r="GJ23" s="29">
        <f>Buckets_3_24[[#This Row],[Start]]+Buckets_3_24[[#This Row],[Transactions]]</f>
        <v>0</v>
      </c>
      <c r="GK23" s="29">
        <f t="shared" si="40"/>
        <v>0</v>
      </c>
      <c r="GL23" s="29">
        <f>Buckets_3_24[[#This Row],[Capacity]]-Buckets_3_24[[#This Row],[After T]]</f>
        <v>0</v>
      </c>
      <c r="GM23" s="29">
        <f>MAX(-Buckets_3_24[[#This Row],[Cap Diff]], 0)</f>
        <v>0</v>
      </c>
      <c r="GN23" s="29">
        <f>Buckets_3_24[[#This Row],[After T]]-Buckets_3_24[[#This Row],[Slush]]</f>
        <v>0</v>
      </c>
      <c r="GO23" s="29">
        <f>Buckets_3_24[[#This Row],[Capacity]]-Buckets_3_24[[#This Row],[Before Fill]]</f>
        <v>0</v>
      </c>
      <c r="GP23" t="b">
        <f>OR(GF23, Buckets_3_24[[#This Row],[After T]]&lt;0)</f>
        <v>0</v>
      </c>
      <c r="GQ23" s="29">
        <f>IF(Buckets_3_24[[#This Row],[Is Crit]], Buckets_3_24[[#This Row],[S Cap Diff]], 0)</f>
        <v>0</v>
      </c>
      <c r="GR23" s="29">
        <f>Buckets_3_24[[#This Row],[Before Fill]]+Buckets_3_24[[#This Row],[Crit To Fill]]</f>
        <v>0</v>
      </c>
      <c r="GS23" s="29">
        <f>IF(NOT(Buckets_3_24[[#This Row],[Is Crit]]), Buckets_3_24[[#This Row],[S Cap Diff]], 0)</f>
        <v>0</v>
      </c>
      <c r="GT23" s="31">
        <f>GR$41/Buckets_3_24[[#Totals],[NC To Fill]]*Buckets_3_24[[#This Row],[NC To Fill]]</f>
        <v>0</v>
      </c>
      <c r="GU23" s="31">
        <f>Buckets_3_24[[#This Row],[Crit Filled]]+Buckets_3_24[[#This Row],[Scaled]]</f>
        <v>0</v>
      </c>
      <c r="GV23" s="31">
        <f>Buckets_3_24[[#This Row],[NC Filled]]</f>
        <v>0</v>
      </c>
      <c r="GW23" s="31">
        <f>Buckets_3_24[[#This Row],[Capacity]]-Buckets_3_24[[#This Row],[Final]]</f>
        <v>0</v>
      </c>
      <c r="GX23" s="33">
        <f>IF(Buckets_3_24[[#This Row],[Capacity]]=0, 1, Buckets_3_24[[#This Row],[Final]]/Buckets_3_24[[#This Row],[Capacity]])</f>
        <v>1</v>
      </c>
      <c r="GZ23" s="40">
        <f>Buckets_3_24[[#This Row],[Final]]</f>
        <v>0</v>
      </c>
      <c r="HA23" s="40">
        <f>Buckets_3_24[[#This Row],[Capacity]]</f>
        <v>0</v>
      </c>
      <c r="HB23" s="41" t="b">
        <f t="shared" si="41"/>
        <v>0</v>
      </c>
      <c r="HC23" s="42"/>
      <c r="HD23" s="42"/>
      <c r="HE23" s="42"/>
      <c r="HF23" s="42"/>
      <c r="HG23" s="43"/>
      <c r="HH23" s="40">
        <f t="shared" si="42"/>
        <v>0</v>
      </c>
      <c r="HI23" s="40">
        <f t="shared" si="43"/>
        <v>0</v>
      </c>
      <c r="HJ23" s="41" t="b">
        <f t="shared" si="9"/>
        <v>0</v>
      </c>
      <c r="HL23" s="29">
        <f t="shared" si="44"/>
        <v>0</v>
      </c>
      <c r="HM23" s="29">
        <f>GetTransactionTotal(AggregateTable2024[], AggregateTable2024[Start], HL$1, AggregateTable2024[#Headers], $D23)</f>
        <v>0</v>
      </c>
      <c r="HN23" s="29">
        <f>Buckets_4_24[[#This Row],[Start]]+Buckets_4_24[[#This Row],[Transactions]]</f>
        <v>0</v>
      </c>
      <c r="HO23" s="29">
        <f t="shared" si="45"/>
        <v>0</v>
      </c>
      <c r="HP23" s="29">
        <f>Buckets_4_24[[#This Row],[Capacity]]-Buckets_4_24[[#This Row],[After T]]</f>
        <v>0</v>
      </c>
      <c r="HQ23" s="29">
        <f>MAX(-Buckets_4_24[[#This Row],[Cap Diff]], 0)</f>
        <v>0</v>
      </c>
      <c r="HR23" s="29">
        <f>Buckets_4_24[[#This Row],[After T]]-Buckets_4_24[[#This Row],[Slush]]</f>
        <v>0</v>
      </c>
      <c r="HS23" s="29">
        <f>Buckets_4_24[[#This Row],[Capacity]]-Buckets_4_24[[#This Row],[Before Fill]]</f>
        <v>0</v>
      </c>
      <c r="HT23" t="b">
        <f>OR(HJ23, Buckets_4_24[[#This Row],[After T]]&lt;0)</f>
        <v>0</v>
      </c>
      <c r="HU23" s="29">
        <f>IF(Buckets_4_24[[#This Row],[Is Crit]], Buckets_4_24[[#This Row],[S Cap Diff]], 0)</f>
        <v>0</v>
      </c>
      <c r="HV23" s="29">
        <f>Buckets_4_24[[#This Row],[Before Fill]]+Buckets_4_24[[#This Row],[Crit To Fill]]</f>
        <v>0</v>
      </c>
      <c r="HW23" s="29">
        <f>IF(NOT(Buckets_4_24[[#This Row],[Is Crit]]), Buckets_4_24[[#This Row],[S Cap Diff]], 0)</f>
        <v>0</v>
      </c>
      <c r="HX23" s="31">
        <f>HV$41/Buckets_4_24[[#Totals],[NC To Fill]]*Buckets_4_24[[#This Row],[NC To Fill]]</f>
        <v>0</v>
      </c>
      <c r="HY23" s="31">
        <f>Buckets_4_24[[#This Row],[Crit Filled]]+Buckets_4_24[[#This Row],[Scaled]]</f>
        <v>0</v>
      </c>
      <c r="HZ23" s="31">
        <f>Buckets_4_24[[#This Row],[NC Filled]]</f>
        <v>0</v>
      </c>
      <c r="IA23" s="31">
        <f>Buckets_4_24[[#This Row],[Capacity]]-Buckets_4_24[[#This Row],[Final]]</f>
        <v>0</v>
      </c>
      <c r="IB23" s="33">
        <f>IF(Buckets_4_24[[#This Row],[Capacity]]=0, 1, Buckets_4_24[[#This Row],[Final]]/Buckets_4_24[[#This Row],[Capacity]])</f>
        <v>1</v>
      </c>
      <c r="ID23" s="40">
        <f>Buckets_4_24[[#This Row],[Final]]</f>
        <v>0</v>
      </c>
      <c r="IE23" s="40">
        <f>Buckets_4_24[[#This Row],[Capacity]]</f>
        <v>0</v>
      </c>
      <c r="IF23" s="41" t="b">
        <f t="shared" si="46"/>
        <v>0</v>
      </c>
      <c r="IG23" s="42"/>
      <c r="IH23" s="42"/>
      <c r="II23" s="42"/>
      <c r="IJ23" s="42"/>
      <c r="IK23" s="43"/>
      <c r="IL23" s="40">
        <f t="shared" si="47"/>
        <v>0</v>
      </c>
      <c r="IM23" s="40">
        <f t="shared" si="48"/>
        <v>0</v>
      </c>
      <c r="IN23" s="41" t="b">
        <f t="shared" si="10"/>
        <v>0</v>
      </c>
    </row>
    <row r="24" spans="1:248" x14ac:dyDescent="0.25">
      <c r="A24" s="49"/>
      <c r="B24" t="s">
        <v>325</v>
      </c>
      <c r="C24" t="s">
        <v>299</v>
      </c>
      <c r="D24" t="s">
        <v>299</v>
      </c>
      <c r="F24" s="30">
        <v>0</v>
      </c>
      <c r="G24" s="38">
        <v>0</v>
      </c>
      <c r="H24" t="b">
        <v>0</v>
      </c>
      <c r="J24" s="29">
        <f t="shared" si="11"/>
        <v>0</v>
      </c>
      <c r="K24" s="29">
        <f>GetTransactionTotal(AggregateTable2023[], AggregateTable2023[Start], J$1, AggregateTable2023[#Headers], $D24)</f>
        <v>0</v>
      </c>
      <c r="L24" s="29">
        <f>Buckets_9_23[[#This Row],[Start]]+Buckets_9_23[[#This Row],[Transactions]]</f>
        <v>0</v>
      </c>
      <c r="M24" s="29">
        <f t="shared" si="12"/>
        <v>0</v>
      </c>
      <c r="N24" s="29">
        <f>Buckets_9_23[[#This Row],[Capacity]]-Buckets_9_23[[#This Row],[After T]]</f>
        <v>0</v>
      </c>
      <c r="O24" s="29">
        <f>IF(Buckets_9_23[[#This Row],[After T]]&lt;0, Buckets_9_23[[#This Row],[After T]], IF(Buckets_9_23[[#This Row],[Cap Diff]]&lt;0, -Buckets_9_23[[#This Row],[Cap Diff]], 0))</f>
        <v>0</v>
      </c>
      <c r="P24" s="29">
        <f>Buckets_9_23[[#This Row],[After T]]-Buckets_9_23[[#This Row],[Slush]]</f>
        <v>0</v>
      </c>
      <c r="Q24" s="29">
        <f>Buckets_9_23[[#This Row],[Capacity]]-Buckets_9_23[[#This Row],[Before Fill]]</f>
        <v>0</v>
      </c>
      <c r="R24" t="b">
        <f t="shared" si="0"/>
        <v>0</v>
      </c>
      <c r="S24" s="29">
        <f>IF(Buckets_9_23[[#This Row],[Is Crit]], Buckets_9_23[[#This Row],[S Cap Diff]], 0)</f>
        <v>0</v>
      </c>
      <c r="T24" s="29">
        <f>Buckets_9_23[[#This Row],[Before Fill]]+Buckets_9_23[[#This Row],[Crit To Fill]]</f>
        <v>0</v>
      </c>
      <c r="U24" s="29">
        <f>IF(NOT(Buckets_9_23[[#This Row],[Is Crit]]), Buckets_9_23[[#This Row],[S Cap Diff]], 0)</f>
        <v>0</v>
      </c>
      <c r="V24" s="31">
        <f>T$41/Buckets_9_23[[#Totals],[NC To Fill]]*Buckets_9_23[[#This Row],[NC To Fill]]</f>
        <v>0</v>
      </c>
      <c r="W24" s="31">
        <f>Buckets_9_23[[#This Row],[Crit Filled]]+Buckets_9_23[[#This Row],[Scaled]]</f>
        <v>0</v>
      </c>
      <c r="X24" s="31">
        <f>Buckets_9_23[[#This Row],[NC Filled]]</f>
        <v>0</v>
      </c>
      <c r="Y24" s="31">
        <f>Buckets_9_23[[#This Row],[Capacity]]-Buckets_9_23[[#This Row],[Final]]</f>
        <v>0</v>
      </c>
      <c r="Z24" s="33">
        <f>IF(Buckets_9_23[[#This Row],[Capacity]]=0, 1, Buckets_9_23[[#This Row],[Final]]/Buckets_9_23[[#This Row],[Capacity]])</f>
        <v>1</v>
      </c>
      <c r="AB24" s="31">
        <f>Buckets_9_23[[#This Row],[Final]]</f>
        <v>0</v>
      </c>
      <c r="AC24" s="31">
        <f>Buckets_9_23[[#This Row],[Capacity]]</f>
        <v>0</v>
      </c>
      <c r="AD24" t="b">
        <f t="shared" si="13"/>
        <v>0</v>
      </c>
      <c r="AE24" s="43" t="e">
        <f>NA()</f>
        <v>#N/A</v>
      </c>
      <c r="AF24" s="42"/>
      <c r="AG24" s="43" t="e">
        <f>NA()</f>
        <v>#N/A</v>
      </c>
      <c r="AH24" s="42"/>
      <c r="AI24" s="43"/>
      <c r="AJ24" s="31">
        <f t="shared" si="14"/>
        <v>0</v>
      </c>
      <c r="AK24" s="31">
        <f t="shared" si="15"/>
        <v>0</v>
      </c>
      <c r="AL24" t="b">
        <f t="shared" si="16"/>
        <v>0</v>
      </c>
      <c r="AN24" s="29">
        <f t="shared" si="17"/>
        <v>0</v>
      </c>
      <c r="AO24" s="29">
        <f>GetTransactionTotal(AggregateTable2023[], AggregateTable2023[Start], AN$1, AggregateTable2023[#Headers], $D24)</f>
        <v>0</v>
      </c>
      <c r="AP24" s="29">
        <f>Buckets_10_23[[#This Row],[Start]]+Buckets_10_23[[#This Row],[Transactions]]</f>
        <v>0</v>
      </c>
      <c r="AQ24" s="29">
        <f t="shared" si="18"/>
        <v>0</v>
      </c>
      <c r="AR24" s="29">
        <f>Buckets_10_23[[#This Row],[Capacity]]-Buckets_10_23[[#This Row],[After T]]</f>
        <v>0</v>
      </c>
      <c r="AS24" s="29">
        <f>MAX(-Buckets_10_23[[#This Row],[Cap Diff]], 0)</f>
        <v>0</v>
      </c>
      <c r="AT24" s="29">
        <f>Buckets_10_23[[#This Row],[After T]]-Buckets_10_23[[#This Row],[Slush]]</f>
        <v>0</v>
      </c>
      <c r="AU24" s="29">
        <f>Buckets_10_23[[#This Row],[Capacity]]-Buckets_10_23[[#This Row],[Before Fill]]</f>
        <v>0</v>
      </c>
      <c r="AV24" t="b">
        <f>OR(AL24, Buckets_10_23[[#This Row],[After T]]&lt;0)</f>
        <v>0</v>
      </c>
      <c r="AW24" s="29">
        <f>IF(Buckets_10_23[[#This Row],[Is Crit]], Buckets_10_23[[#This Row],[S Cap Diff]], 0)</f>
        <v>0</v>
      </c>
      <c r="AX24" s="29">
        <f>Buckets_10_23[[#This Row],[Before Fill]]+Buckets_10_23[[#This Row],[Crit To Fill]]</f>
        <v>0</v>
      </c>
      <c r="AY24" s="29">
        <f>IF(NOT(Buckets_10_23[[#This Row],[Is Crit]]), Buckets_10_23[[#This Row],[S Cap Diff]], 0)</f>
        <v>0</v>
      </c>
      <c r="AZ24" s="31">
        <f>AX$41/Buckets_10_23[[#Totals],[NC To Fill]]*Buckets_10_23[[#This Row],[NC To Fill]]</f>
        <v>0</v>
      </c>
      <c r="BA24" s="31">
        <f>Buckets_10_23[[#This Row],[Crit Filled]]+Buckets_10_23[[#This Row],[Scaled]]</f>
        <v>0</v>
      </c>
      <c r="BB24" s="31">
        <f>Buckets_10_23[[#This Row],[NC Filled]]</f>
        <v>0</v>
      </c>
      <c r="BC24" s="31">
        <f>Buckets_10_23[[#This Row],[Capacity]]-Buckets_10_23[[#This Row],[Final]]</f>
        <v>0</v>
      </c>
      <c r="BD24" s="33">
        <f>IF(Buckets_10_23[[#This Row],[Capacity]]=0, 1, Buckets_10_23[[#This Row],[Final]]/Buckets_10_23[[#This Row],[Capacity]])</f>
        <v>1</v>
      </c>
      <c r="BF24" s="31">
        <f>Buckets_10_23[[#This Row],[Final]]</f>
        <v>0</v>
      </c>
      <c r="BG24" s="31">
        <f>Buckets_10_23[[#This Row],[Capacity]]</f>
        <v>0</v>
      </c>
      <c r="BH24" t="b">
        <f t="shared" si="19"/>
        <v>0</v>
      </c>
      <c r="BI24" s="43" t="e">
        <f>NA()</f>
        <v>#N/A</v>
      </c>
      <c r="BJ24" s="42"/>
      <c r="BK24" s="43" t="e">
        <f>NA()</f>
        <v>#N/A</v>
      </c>
      <c r="BL24" s="42"/>
      <c r="BM24" s="43"/>
      <c r="BN24" s="31">
        <f t="shared" si="20"/>
        <v>0</v>
      </c>
      <c r="BO24" s="31">
        <f t="shared" si="1"/>
        <v>0</v>
      </c>
      <c r="BP24" t="b">
        <f t="shared" si="2"/>
        <v>0</v>
      </c>
      <c r="BR24" s="29">
        <f t="shared" si="21"/>
        <v>0</v>
      </c>
      <c r="BS24" s="29">
        <f>GetTransactionTotal(AggregateTable2023[], AggregateTable2023[Start], BR$1, AggregateTable2023[#Headers], $D24)</f>
        <v>0</v>
      </c>
      <c r="BT24" s="29">
        <f>Buckets_11_23[[#This Row],[Start]]+Buckets_11_23[[#This Row],[Transactions]]</f>
        <v>0</v>
      </c>
      <c r="BU24" s="29">
        <f t="shared" si="22"/>
        <v>0</v>
      </c>
      <c r="BV24" s="29">
        <f>Buckets_11_23[[#This Row],[Capacity]]-Buckets_11_23[[#This Row],[After T]]</f>
        <v>0</v>
      </c>
      <c r="BW24" s="29">
        <f>MAX(-Buckets_11_23[[#This Row],[Cap Diff]], 0)</f>
        <v>0</v>
      </c>
      <c r="BX24" s="29">
        <f>Buckets_11_23[[#This Row],[After T]]-Buckets_11_23[[#This Row],[Slush]]</f>
        <v>0</v>
      </c>
      <c r="BY24" s="29">
        <f>Buckets_11_23[[#This Row],[Capacity]]-Buckets_11_23[[#This Row],[Before Fill]]</f>
        <v>0</v>
      </c>
      <c r="BZ24" t="b">
        <f>OR(BP24, Buckets_11_23[[#This Row],[After T]]&lt;0)</f>
        <v>0</v>
      </c>
      <c r="CA24" s="29">
        <f>IF(Buckets_11_23[[#This Row],[Is Crit]], Buckets_11_23[[#This Row],[S Cap Diff]], 0)</f>
        <v>0</v>
      </c>
      <c r="CB24" s="29">
        <f>Buckets_11_23[[#This Row],[Before Fill]]+Buckets_11_23[[#This Row],[Crit To Fill]]</f>
        <v>0</v>
      </c>
      <c r="CC24" s="29">
        <f>IF(NOT(Buckets_11_23[[#This Row],[Is Crit]]), Buckets_11_23[[#This Row],[S Cap Diff]], 0)</f>
        <v>0</v>
      </c>
      <c r="CD24" s="31">
        <f>CB$41/Buckets_11_23[[#Totals],[NC To Fill]]*Buckets_11_23[[#This Row],[NC To Fill]]</f>
        <v>0</v>
      </c>
      <c r="CE24" s="31">
        <f>Buckets_11_23[[#This Row],[Crit Filled]]+Buckets_11_23[[#This Row],[Scaled]]</f>
        <v>0</v>
      </c>
      <c r="CF24" s="31">
        <f>Buckets_11_23[[#This Row],[NC Filled]]</f>
        <v>0</v>
      </c>
      <c r="CG24" s="31">
        <f>Buckets_11_23[[#This Row],[Capacity]]-Buckets_11_23[[#This Row],[Final]]</f>
        <v>0</v>
      </c>
      <c r="CH24" s="33">
        <f>IF(Buckets_11_23[[#This Row],[Capacity]]=0, 1, Buckets_11_23[[#This Row],[Final]]/Buckets_11_23[[#This Row],[Capacity]])</f>
        <v>1</v>
      </c>
      <c r="CJ24" s="40">
        <f>Buckets_11_23[[#This Row],[Final]]</f>
        <v>0</v>
      </c>
      <c r="CK24" s="40">
        <f>Buckets_11_23[[#This Row],[Capacity]]</f>
        <v>0</v>
      </c>
      <c r="CL24" s="41" t="b">
        <f t="shared" si="23"/>
        <v>0</v>
      </c>
      <c r="CM24" s="42"/>
      <c r="CN24" s="42"/>
      <c r="CO24" s="42" t="e">
        <f>NA()</f>
        <v>#N/A</v>
      </c>
      <c r="CP24" s="42"/>
      <c r="CQ24" s="43"/>
      <c r="CR24" s="40">
        <f t="shared" si="24"/>
        <v>0</v>
      </c>
      <c r="CS24" s="40">
        <f t="shared" si="3"/>
        <v>0</v>
      </c>
      <c r="CT24" s="41" t="b">
        <f t="shared" si="4"/>
        <v>0</v>
      </c>
      <c r="CV24" s="29">
        <f t="shared" si="25"/>
        <v>0</v>
      </c>
      <c r="CW24" s="29">
        <f>GetTransactionTotal(AggregateTable2023[], AggregateTable2023[Start], CV$1, AggregateTable2023[#Headers], $D24)</f>
        <v>0</v>
      </c>
      <c r="CX24" s="29">
        <f>Buckets_12_23[[#This Row],[Start]]+Buckets_12_23[[#This Row],[Transactions]]</f>
        <v>0</v>
      </c>
      <c r="CY24" s="29">
        <f t="shared" si="26"/>
        <v>0</v>
      </c>
      <c r="CZ24" s="29">
        <f>Buckets_12_23[[#This Row],[Capacity]]-Buckets_12_23[[#This Row],[After T]]</f>
        <v>0</v>
      </c>
      <c r="DA24" s="29">
        <f>MAX(-Buckets_12_23[[#This Row],[Cap Diff]], 0)</f>
        <v>0</v>
      </c>
      <c r="DB24" s="29">
        <f>Buckets_12_23[[#This Row],[After T]]-Buckets_12_23[[#This Row],[Slush]]</f>
        <v>0</v>
      </c>
      <c r="DC24" s="29">
        <f>Buckets_12_23[[#This Row],[Capacity]]-Buckets_12_23[[#This Row],[Before Fill]]</f>
        <v>0</v>
      </c>
      <c r="DD24" t="b">
        <f>OR(CT24, Buckets_12_23[[#This Row],[After T]]&lt;0)</f>
        <v>0</v>
      </c>
      <c r="DE24" s="29">
        <f>IF(Buckets_12_23[[#This Row],[Is Crit]], Buckets_12_23[[#This Row],[S Cap Diff]], 0)</f>
        <v>0</v>
      </c>
      <c r="DF24" s="29">
        <f>Buckets_12_23[[#This Row],[Before Fill]]+Buckets_12_23[[#This Row],[Crit To Fill]]</f>
        <v>0</v>
      </c>
      <c r="DG24" s="29">
        <f>IF(NOT(Buckets_12_23[[#This Row],[Is Crit]]), Buckets_12_23[[#This Row],[S Cap Diff]], 0)</f>
        <v>0</v>
      </c>
      <c r="DH24" s="31">
        <f>DF$41/Buckets_12_23[[#Totals],[NC To Fill]]*Buckets_12_23[[#This Row],[NC To Fill]]</f>
        <v>0</v>
      </c>
      <c r="DI24" s="31">
        <f>Buckets_12_23[[#This Row],[Crit Filled]]+Buckets_12_23[[#This Row],[Scaled]]</f>
        <v>0</v>
      </c>
      <c r="DJ24" s="31">
        <f>Buckets_12_23[[#This Row],[NC Filled]]</f>
        <v>0</v>
      </c>
      <c r="DK24" s="31">
        <f>Buckets_12_23[[#This Row],[Capacity]]-Buckets_12_23[[#This Row],[Final]]</f>
        <v>0</v>
      </c>
      <c r="DL24" s="33">
        <f>IF(Buckets_12_23[[#This Row],[Capacity]]=0, 1, Buckets_12_23[[#This Row],[Final]]/Buckets_12_23[[#This Row],[Capacity]])</f>
        <v>1</v>
      </c>
      <c r="DN24" s="40">
        <f>Buckets_12_23[[#This Row],[Final]]</f>
        <v>0</v>
      </c>
      <c r="DO24" s="40">
        <f>Buckets_12_23[[#This Row],[Capacity]]</f>
        <v>0</v>
      </c>
      <c r="DP24" s="41" t="b">
        <f t="shared" si="27"/>
        <v>0</v>
      </c>
      <c r="DQ24" s="42"/>
      <c r="DR24" s="42"/>
      <c r="DS24" s="42" t="e">
        <f>NA()</f>
        <v>#N/A</v>
      </c>
      <c r="DT24" s="42"/>
      <c r="DU24" s="43"/>
      <c r="DV24" s="40">
        <f t="shared" si="28"/>
        <v>0</v>
      </c>
      <c r="DW24" s="40">
        <f t="shared" si="5"/>
        <v>0</v>
      </c>
      <c r="DX24" s="41" t="b">
        <f t="shared" si="6"/>
        <v>0</v>
      </c>
      <c r="DZ24" s="29">
        <f t="shared" si="29"/>
        <v>0</v>
      </c>
      <c r="EA24" s="29">
        <f>GetTransactionTotal(AggregateTable2024[], AggregateTable2024[Start], DZ$1, AggregateTable2024[#Headers], $D24)</f>
        <v>0</v>
      </c>
      <c r="EB24" s="29">
        <f>Buckets_1_24[[#This Row],[Start]]+Buckets_1_24[[#This Row],[Transactions]]</f>
        <v>0</v>
      </c>
      <c r="EC24" s="29">
        <f t="shared" si="30"/>
        <v>0</v>
      </c>
      <c r="ED24" s="29">
        <f>Buckets_1_24[[#This Row],[Capacity]]-Buckets_1_24[[#This Row],[After T]]</f>
        <v>0</v>
      </c>
      <c r="EE24" s="29">
        <f>MAX(-Buckets_1_24[[#This Row],[Cap Diff]], 0)</f>
        <v>0</v>
      </c>
      <c r="EF24" s="29">
        <f>Buckets_1_24[[#This Row],[After T]]-Buckets_1_24[[#This Row],[Slush]]</f>
        <v>0</v>
      </c>
      <c r="EG24" s="29">
        <f>Buckets_1_24[[#This Row],[Capacity]]-Buckets_1_24[[#This Row],[Before Fill]]</f>
        <v>0</v>
      </c>
      <c r="EH24" t="b">
        <f>OR(DX24, Buckets_1_24[[#This Row],[After T]]&lt;0)</f>
        <v>0</v>
      </c>
      <c r="EI24" s="29">
        <f>IF(Buckets_1_24[[#This Row],[Is Crit]], Buckets_1_24[[#This Row],[S Cap Diff]], 0)</f>
        <v>0</v>
      </c>
      <c r="EJ24" s="29">
        <f>Buckets_1_24[[#This Row],[Before Fill]]+Buckets_1_24[[#This Row],[Crit To Fill]]</f>
        <v>0</v>
      </c>
      <c r="EK24" s="29">
        <f>IF(NOT(Buckets_1_24[[#This Row],[Is Crit]]), Buckets_1_24[[#This Row],[S Cap Diff]], 0)</f>
        <v>0</v>
      </c>
      <c r="EL24" s="31">
        <f>EJ$41/Buckets_1_24[[#Totals],[NC To Fill]]*Buckets_1_24[[#This Row],[NC To Fill]]</f>
        <v>0</v>
      </c>
      <c r="EM24" s="31">
        <f>Buckets_1_24[[#This Row],[Crit Filled]]+Buckets_1_24[[#This Row],[Scaled]]</f>
        <v>0</v>
      </c>
      <c r="EN24" s="31">
        <f>Buckets_1_24[[#This Row],[NC Filled]]</f>
        <v>0</v>
      </c>
      <c r="EO24" s="31">
        <f>Buckets_1_24[[#This Row],[Capacity]]-Buckets_1_24[[#This Row],[Final]]</f>
        <v>0</v>
      </c>
      <c r="EP24" s="33">
        <f>IF(Buckets_1_24[[#This Row],[Capacity]]=0, 1, Buckets_1_24[[#This Row],[Final]]/Buckets_1_24[[#This Row],[Capacity]])</f>
        <v>1</v>
      </c>
      <c r="ER24" s="40">
        <f>Buckets_1_24[[#This Row],[Final]]</f>
        <v>0</v>
      </c>
      <c r="ES24" s="40">
        <f>Buckets_1_24[[#This Row],[Capacity]]</f>
        <v>0</v>
      </c>
      <c r="ET24" s="41" t="b">
        <f t="shared" si="31"/>
        <v>0</v>
      </c>
      <c r="EU24" s="42"/>
      <c r="EV24" s="42"/>
      <c r="EW24" s="42"/>
      <c r="EX24" s="42"/>
      <c r="EY24" s="43"/>
      <c r="EZ24" s="40">
        <f t="shared" si="32"/>
        <v>0</v>
      </c>
      <c r="FA24" s="40">
        <f t="shared" si="33"/>
        <v>0</v>
      </c>
      <c r="FB24" s="41" t="b">
        <f t="shared" si="7"/>
        <v>0</v>
      </c>
      <c r="FD24" s="29">
        <f t="shared" si="34"/>
        <v>0</v>
      </c>
      <c r="FE24" s="29">
        <f>GetTransactionTotal(AggregateTable2024[], AggregateTable2024[Start], FD$1, AggregateTable2024[#Headers], $D24)</f>
        <v>0</v>
      </c>
      <c r="FF24" s="29">
        <f>Buckets_2_24[[#This Row],[Start]]+Buckets_2_24[[#This Row],[Transactions]]</f>
        <v>0</v>
      </c>
      <c r="FG24" s="29">
        <f t="shared" si="35"/>
        <v>0</v>
      </c>
      <c r="FH24" s="29">
        <f>Buckets_2_24[[#This Row],[Capacity]]-Buckets_2_24[[#This Row],[After T]]</f>
        <v>0</v>
      </c>
      <c r="FI24" s="29">
        <f>MAX(-Buckets_2_24[[#This Row],[Cap Diff]], 0)</f>
        <v>0</v>
      </c>
      <c r="FJ24" s="29">
        <f>Buckets_2_24[[#This Row],[After T]]-Buckets_2_24[[#This Row],[Slush]]</f>
        <v>0</v>
      </c>
      <c r="FK24" s="29">
        <f>Buckets_2_24[[#This Row],[Capacity]]-Buckets_2_24[[#This Row],[Before Fill]]</f>
        <v>0</v>
      </c>
      <c r="FL24" t="b">
        <f>OR(FB24, Buckets_2_24[[#This Row],[After T]]&lt;0)</f>
        <v>0</v>
      </c>
      <c r="FM24" s="29">
        <f>IF(Buckets_2_24[[#This Row],[Is Crit]], Buckets_2_24[[#This Row],[S Cap Diff]], 0)</f>
        <v>0</v>
      </c>
      <c r="FN24" s="29">
        <f>Buckets_2_24[[#This Row],[Before Fill]]+Buckets_2_24[[#This Row],[Crit To Fill]]</f>
        <v>0</v>
      </c>
      <c r="FO24" s="29">
        <f>IF(NOT(Buckets_2_24[[#This Row],[Is Crit]]), Buckets_2_24[[#This Row],[S Cap Diff]], 0)</f>
        <v>0</v>
      </c>
      <c r="FP24" s="31">
        <f>FN$41/Buckets_2_24[[#Totals],[NC To Fill]]*Buckets_2_24[[#This Row],[NC To Fill]]</f>
        <v>0</v>
      </c>
      <c r="FQ24" s="31">
        <f>Buckets_2_24[[#This Row],[Crit Filled]]+Buckets_2_24[[#This Row],[Scaled]]</f>
        <v>0</v>
      </c>
      <c r="FR24" s="31">
        <f>Buckets_2_24[[#This Row],[NC Filled]]</f>
        <v>0</v>
      </c>
      <c r="FS24" s="31">
        <f>Buckets_2_24[[#This Row],[Capacity]]-Buckets_2_24[[#This Row],[Final]]</f>
        <v>0</v>
      </c>
      <c r="FT24" s="33">
        <f>IF(Buckets_2_24[[#This Row],[Capacity]]=0, 1, Buckets_2_24[[#This Row],[Final]]/Buckets_2_24[[#This Row],[Capacity]])</f>
        <v>1</v>
      </c>
      <c r="FV24" s="40">
        <f>Buckets_2_24[[#This Row],[Final]]</f>
        <v>0</v>
      </c>
      <c r="FW24" s="40">
        <f>Buckets_2_24[[#This Row],[Capacity]]</f>
        <v>0</v>
      </c>
      <c r="FX24" s="41" t="b">
        <f t="shared" si="36"/>
        <v>0</v>
      </c>
      <c r="FY24" s="42"/>
      <c r="FZ24" s="42"/>
      <c r="GA24" s="42"/>
      <c r="GB24" s="42"/>
      <c r="GC24" s="43"/>
      <c r="GD24" s="40">
        <f t="shared" si="37"/>
        <v>0</v>
      </c>
      <c r="GE24" s="40">
        <f t="shared" si="38"/>
        <v>0</v>
      </c>
      <c r="GF24" s="41" t="b">
        <f t="shared" si="8"/>
        <v>0</v>
      </c>
      <c r="GH24" s="29">
        <f t="shared" si="39"/>
        <v>0</v>
      </c>
      <c r="GI24" s="29">
        <f>GetTransactionTotal(AggregateTable2024[], AggregateTable2024[Start], GH$1, AggregateTable2024[#Headers], $D24)</f>
        <v>0</v>
      </c>
      <c r="GJ24" s="29">
        <f>Buckets_3_24[[#This Row],[Start]]+Buckets_3_24[[#This Row],[Transactions]]</f>
        <v>0</v>
      </c>
      <c r="GK24" s="29">
        <f t="shared" si="40"/>
        <v>0</v>
      </c>
      <c r="GL24" s="29">
        <f>Buckets_3_24[[#This Row],[Capacity]]-Buckets_3_24[[#This Row],[After T]]</f>
        <v>0</v>
      </c>
      <c r="GM24" s="29">
        <f>MAX(-Buckets_3_24[[#This Row],[Cap Diff]], 0)</f>
        <v>0</v>
      </c>
      <c r="GN24" s="29">
        <f>Buckets_3_24[[#This Row],[After T]]-Buckets_3_24[[#This Row],[Slush]]</f>
        <v>0</v>
      </c>
      <c r="GO24" s="29">
        <f>Buckets_3_24[[#This Row],[Capacity]]-Buckets_3_24[[#This Row],[Before Fill]]</f>
        <v>0</v>
      </c>
      <c r="GP24" t="b">
        <f>OR(GF24, Buckets_3_24[[#This Row],[After T]]&lt;0)</f>
        <v>0</v>
      </c>
      <c r="GQ24" s="29">
        <f>IF(Buckets_3_24[[#This Row],[Is Crit]], Buckets_3_24[[#This Row],[S Cap Diff]], 0)</f>
        <v>0</v>
      </c>
      <c r="GR24" s="29">
        <f>Buckets_3_24[[#This Row],[Before Fill]]+Buckets_3_24[[#This Row],[Crit To Fill]]</f>
        <v>0</v>
      </c>
      <c r="GS24" s="29">
        <f>IF(NOT(Buckets_3_24[[#This Row],[Is Crit]]), Buckets_3_24[[#This Row],[S Cap Diff]], 0)</f>
        <v>0</v>
      </c>
      <c r="GT24" s="31">
        <f>GR$41/Buckets_3_24[[#Totals],[NC To Fill]]*Buckets_3_24[[#This Row],[NC To Fill]]</f>
        <v>0</v>
      </c>
      <c r="GU24" s="31">
        <f>Buckets_3_24[[#This Row],[Crit Filled]]+Buckets_3_24[[#This Row],[Scaled]]</f>
        <v>0</v>
      </c>
      <c r="GV24" s="31">
        <f>Buckets_3_24[[#This Row],[NC Filled]]</f>
        <v>0</v>
      </c>
      <c r="GW24" s="31">
        <f>Buckets_3_24[[#This Row],[Capacity]]-Buckets_3_24[[#This Row],[Final]]</f>
        <v>0</v>
      </c>
      <c r="GX24" s="33">
        <f>IF(Buckets_3_24[[#This Row],[Capacity]]=0, 1, Buckets_3_24[[#This Row],[Final]]/Buckets_3_24[[#This Row],[Capacity]])</f>
        <v>1</v>
      </c>
      <c r="GZ24" s="40">
        <f>Buckets_3_24[[#This Row],[Final]]</f>
        <v>0</v>
      </c>
      <c r="HA24" s="40">
        <f>Buckets_3_24[[#This Row],[Capacity]]</f>
        <v>0</v>
      </c>
      <c r="HB24" s="41" t="b">
        <f t="shared" si="41"/>
        <v>0</v>
      </c>
      <c r="HC24" s="42"/>
      <c r="HD24" s="42"/>
      <c r="HE24" s="42"/>
      <c r="HF24" s="42"/>
      <c r="HG24" s="43"/>
      <c r="HH24" s="40">
        <f t="shared" si="42"/>
        <v>0</v>
      </c>
      <c r="HI24" s="40">
        <f t="shared" si="43"/>
        <v>0</v>
      </c>
      <c r="HJ24" s="41" t="b">
        <f t="shared" si="9"/>
        <v>0</v>
      </c>
      <c r="HL24" s="29">
        <f t="shared" si="44"/>
        <v>0</v>
      </c>
      <c r="HM24" s="29">
        <f>GetTransactionTotal(AggregateTable2024[], AggregateTable2024[Start], HL$1, AggregateTable2024[#Headers], $D24)</f>
        <v>0</v>
      </c>
      <c r="HN24" s="29">
        <f>Buckets_4_24[[#This Row],[Start]]+Buckets_4_24[[#This Row],[Transactions]]</f>
        <v>0</v>
      </c>
      <c r="HO24" s="29">
        <f t="shared" si="45"/>
        <v>0</v>
      </c>
      <c r="HP24" s="29">
        <f>Buckets_4_24[[#This Row],[Capacity]]-Buckets_4_24[[#This Row],[After T]]</f>
        <v>0</v>
      </c>
      <c r="HQ24" s="29">
        <f>MAX(-Buckets_4_24[[#This Row],[Cap Diff]], 0)</f>
        <v>0</v>
      </c>
      <c r="HR24" s="29">
        <f>Buckets_4_24[[#This Row],[After T]]-Buckets_4_24[[#This Row],[Slush]]</f>
        <v>0</v>
      </c>
      <c r="HS24" s="29">
        <f>Buckets_4_24[[#This Row],[Capacity]]-Buckets_4_24[[#This Row],[Before Fill]]</f>
        <v>0</v>
      </c>
      <c r="HT24" t="b">
        <f>OR(HJ24, Buckets_4_24[[#This Row],[After T]]&lt;0)</f>
        <v>0</v>
      </c>
      <c r="HU24" s="29">
        <f>IF(Buckets_4_24[[#This Row],[Is Crit]], Buckets_4_24[[#This Row],[S Cap Diff]], 0)</f>
        <v>0</v>
      </c>
      <c r="HV24" s="29">
        <f>Buckets_4_24[[#This Row],[Before Fill]]+Buckets_4_24[[#This Row],[Crit To Fill]]</f>
        <v>0</v>
      </c>
      <c r="HW24" s="29">
        <f>IF(NOT(Buckets_4_24[[#This Row],[Is Crit]]), Buckets_4_24[[#This Row],[S Cap Diff]], 0)</f>
        <v>0</v>
      </c>
      <c r="HX24" s="31">
        <f>HV$41/Buckets_4_24[[#Totals],[NC To Fill]]*Buckets_4_24[[#This Row],[NC To Fill]]</f>
        <v>0</v>
      </c>
      <c r="HY24" s="31">
        <f>Buckets_4_24[[#This Row],[Crit Filled]]+Buckets_4_24[[#This Row],[Scaled]]</f>
        <v>0</v>
      </c>
      <c r="HZ24" s="31">
        <f>Buckets_4_24[[#This Row],[NC Filled]]</f>
        <v>0</v>
      </c>
      <c r="IA24" s="31">
        <f>Buckets_4_24[[#This Row],[Capacity]]-Buckets_4_24[[#This Row],[Final]]</f>
        <v>0</v>
      </c>
      <c r="IB24" s="33">
        <f>IF(Buckets_4_24[[#This Row],[Capacity]]=0, 1, Buckets_4_24[[#This Row],[Final]]/Buckets_4_24[[#This Row],[Capacity]])</f>
        <v>1</v>
      </c>
      <c r="ID24" s="40">
        <f>Buckets_4_24[[#This Row],[Final]]</f>
        <v>0</v>
      </c>
      <c r="IE24" s="40">
        <f>Buckets_4_24[[#This Row],[Capacity]]</f>
        <v>0</v>
      </c>
      <c r="IF24" s="41" t="b">
        <f t="shared" si="46"/>
        <v>0</v>
      </c>
      <c r="IG24" s="42"/>
      <c r="IH24" s="42"/>
      <c r="II24" s="42"/>
      <c r="IJ24" s="42"/>
      <c r="IK24" s="43"/>
      <c r="IL24" s="40">
        <f t="shared" si="47"/>
        <v>0</v>
      </c>
      <c r="IM24" s="40">
        <f t="shared" si="48"/>
        <v>0</v>
      </c>
      <c r="IN24" s="41" t="b">
        <f t="shared" si="10"/>
        <v>0</v>
      </c>
    </row>
    <row r="25" spans="1:248" x14ac:dyDescent="0.25">
      <c r="A25" s="49"/>
      <c r="B25" t="s">
        <v>325</v>
      </c>
      <c r="C25" t="s">
        <v>300</v>
      </c>
      <c r="D25" t="s">
        <v>300</v>
      </c>
      <c r="F25" s="30">
        <v>0</v>
      </c>
      <c r="G25" s="38">
        <v>2000</v>
      </c>
      <c r="H25" t="b">
        <v>0</v>
      </c>
      <c r="J25" s="29">
        <f t="shared" si="11"/>
        <v>0</v>
      </c>
      <c r="K25" s="29">
        <f>GetTransactionTotal(AggregateTable2023[], AggregateTable2023[Start], J$1, AggregateTable2023[#Headers], $D25)</f>
        <v>0</v>
      </c>
      <c r="L25" s="29">
        <f>Buckets_9_23[[#This Row],[Start]]+Buckets_9_23[[#This Row],[Transactions]]</f>
        <v>0</v>
      </c>
      <c r="M25" s="29">
        <f t="shared" si="12"/>
        <v>2000</v>
      </c>
      <c r="N25" s="29">
        <f>Buckets_9_23[[#This Row],[Capacity]]-Buckets_9_23[[#This Row],[After T]]</f>
        <v>2000</v>
      </c>
      <c r="O25" s="29">
        <f>IF(Buckets_9_23[[#This Row],[After T]]&lt;0, Buckets_9_23[[#This Row],[After T]], IF(Buckets_9_23[[#This Row],[Cap Diff]]&lt;0, -Buckets_9_23[[#This Row],[Cap Diff]], 0))</f>
        <v>0</v>
      </c>
      <c r="P25" s="29">
        <f>Buckets_9_23[[#This Row],[After T]]-Buckets_9_23[[#This Row],[Slush]]</f>
        <v>0</v>
      </c>
      <c r="Q25" s="29">
        <f>Buckets_9_23[[#This Row],[Capacity]]-Buckets_9_23[[#This Row],[Before Fill]]</f>
        <v>2000</v>
      </c>
      <c r="R25" t="b">
        <f t="shared" si="0"/>
        <v>0</v>
      </c>
      <c r="S25" s="29">
        <f>IF(Buckets_9_23[[#This Row],[Is Crit]], Buckets_9_23[[#This Row],[S Cap Diff]], 0)</f>
        <v>0</v>
      </c>
      <c r="T25" s="29">
        <f>Buckets_9_23[[#This Row],[Before Fill]]+Buckets_9_23[[#This Row],[Crit To Fill]]</f>
        <v>0</v>
      </c>
      <c r="U25" s="29">
        <f>IF(NOT(Buckets_9_23[[#This Row],[Is Crit]]), Buckets_9_23[[#This Row],[S Cap Diff]], 0)</f>
        <v>2000</v>
      </c>
      <c r="V25" s="31">
        <f>T$41/Buckets_9_23[[#Totals],[NC To Fill]]*Buckets_9_23[[#This Row],[NC To Fill]]</f>
        <v>1745.6351941932785</v>
      </c>
      <c r="W25" s="31">
        <f>Buckets_9_23[[#This Row],[Crit Filled]]+Buckets_9_23[[#This Row],[Scaled]]</f>
        <v>1745.6351941932785</v>
      </c>
      <c r="X25" s="31">
        <f>Buckets_9_23[[#This Row],[NC Filled]]</f>
        <v>1745.6351941932785</v>
      </c>
      <c r="Y25" s="31">
        <f>Buckets_9_23[[#This Row],[Capacity]]-Buckets_9_23[[#This Row],[Final]]</f>
        <v>254.36480580672151</v>
      </c>
      <c r="Z25" s="33">
        <f>IF(Buckets_9_23[[#This Row],[Capacity]]=0, 1, Buckets_9_23[[#This Row],[Final]]/Buckets_9_23[[#This Row],[Capacity]])</f>
        <v>0.8728175970966392</v>
      </c>
      <c r="AB25" s="31">
        <f>Buckets_9_23[[#This Row],[Final]]</f>
        <v>1745.6351941932785</v>
      </c>
      <c r="AC25" s="31">
        <f>Buckets_9_23[[#This Row],[Capacity]]</f>
        <v>2000</v>
      </c>
      <c r="AD25" t="b">
        <f t="shared" si="13"/>
        <v>0</v>
      </c>
      <c r="AE25" s="43" t="e">
        <f>NA()</f>
        <v>#N/A</v>
      </c>
      <c r="AF25" s="42"/>
      <c r="AG25" s="43" t="e">
        <f>NA()</f>
        <v>#N/A</v>
      </c>
      <c r="AH25" s="42">
        <f>AC25+500</f>
        <v>2500</v>
      </c>
      <c r="AI25" s="43"/>
      <c r="AJ25" s="31">
        <f t="shared" si="14"/>
        <v>1745.6351941932785</v>
      </c>
      <c r="AK25" s="31">
        <f t="shared" si="15"/>
        <v>2500</v>
      </c>
      <c r="AL25" t="b">
        <f t="shared" si="16"/>
        <v>0</v>
      </c>
      <c r="AN25" s="29">
        <f t="shared" si="17"/>
        <v>1745.6351941932785</v>
      </c>
      <c r="AO25" s="29">
        <f>GetTransactionTotal(AggregateTable2023[], AggregateTable2023[Start], AN$1, AggregateTable2023[#Headers], $D25)</f>
        <v>0</v>
      </c>
      <c r="AP25" s="29">
        <f>Buckets_10_23[[#This Row],[Start]]+Buckets_10_23[[#This Row],[Transactions]]</f>
        <v>1745.6351941932785</v>
      </c>
      <c r="AQ25" s="29">
        <f t="shared" si="18"/>
        <v>2500</v>
      </c>
      <c r="AR25" s="29">
        <f>Buckets_10_23[[#This Row],[Capacity]]-Buckets_10_23[[#This Row],[After T]]</f>
        <v>754.36480580672151</v>
      </c>
      <c r="AS25" s="29">
        <f>MAX(-Buckets_10_23[[#This Row],[Cap Diff]], 0)</f>
        <v>0</v>
      </c>
      <c r="AT25" s="29">
        <f>Buckets_10_23[[#This Row],[After T]]-Buckets_10_23[[#This Row],[Slush]]</f>
        <v>1745.6351941932785</v>
      </c>
      <c r="AU25" s="29">
        <f>Buckets_10_23[[#This Row],[Capacity]]-Buckets_10_23[[#This Row],[Before Fill]]</f>
        <v>754.36480580672151</v>
      </c>
      <c r="AV25" t="b">
        <f>OR(AL25, Buckets_10_23[[#This Row],[After T]]&lt;0)</f>
        <v>0</v>
      </c>
      <c r="AW25" s="29">
        <f>IF(Buckets_10_23[[#This Row],[Is Crit]], Buckets_10_23[[#This Row],[S Cap Diff]], 0)</f>
        <v>0</v>
      </c>
      <c r="AX25" s="29">
        <f>Buckets_10_23[[#This Row],[Before Fill]]+Buckets_10_23[[#This Row],[Crit To Fill]]</f>
        <v>1745.6351941932785</v>
      </c>
      <c r="AY25" s="29">
        <f>IF(NOT(Buckets_10_23[[#This Row],[Is Crit]]), Buckets_10_23[[#This Row],[S Cap Diff]], 0)</f>
        <v>754.36480580672151</v>
      </c>
      <c r="AZ25" s="31">
        <f>AX$41/Buckets_10_23[[#Totals],[NC To Fill]]*Buckets_10_23[[#This Row],[NC To Fill]]</f>
        <v>448.07182745084748</v>
      </c>
      <c r="BA25" s="31">
        <f>Buckets_10_23[[#This Row],[Crit Filled]]+Buckets_10_23[[#This Row],[Scaled]]</f>
        <v>2193.7070216441261</v>
      </c>
      <c r="BB25" s="31">
        <f>Buckets_10_23[[#This Row],[NC Filled]]</f>
        <v>2193.7070216441261</v>
      </c>
      <c r="BC25" s="31">
        <f>Buckets_10_23[[#This Row],[Capacity]]-Buckets_10_23[[#This Row],[Final]]</f>
        <v>306.29297835587386</v>
      </c>
      <c r="BD25" s="33">
        <f>IF(Buckets_10_23[[#This Row],[Capacity]]=0, 1, Buckets_10_23[[#This Row],[Final]]/Buckets_10_23[[#This Row],[Capacity]])</f>
        <v>0.87748280865765049</v>
      </c>
      <c r="BF25" s="31">
        <f>Buckets_10_23[[#This Row],[Final]]</f>
        <v>2193.7070216441261</v>
      </c>
      <c r="BG25" s="31">
        <f>Buckets_10_23[[#This Row],[Capacity]]</f>
        <v>2500</v>
      </c>
      <c r="BH25" t="b">
        <f t="shared" si="19"/>
        <v>0</v>
      </c>
      <c r="BI25" s="43" t="e">
        <f>NA()</f>
        <v>#N/A</v>
      </c>
      <c r="BJ25" s="42"/>
      <c r="BK25" s="43" t="e">
        <f>NA()</f>
        <v>#N/A</v>
      </c>
      <c r="BL25" s="42">
        <f>BG25+500</f>
        <v>3000</v>
      </c>
      <c r="BM25" s="43"/>
      <c r="BN25" s="31">
        <f t="shared" si="20"/>
        <v>2193.7070216441261</v>
      </c>
      <c r="BO25" s="31">
        <f t="shared" si="1"/>
        <v>3000</v>
      </c>
      <c r="BP25" t="b">
        <f t="shared" si="2"/>
        <v>0</v>
      </c>
      <c r="BR25" s="29">
        <f t="shared" si="21"/>
        <v>2193.7070216441261</v>
      </c>
      <c r="BS25" s="29">
        <f>GetTransactionTotal(AggregateTable2023[], AggregateTable2023[Start], BR$1, AggregateTable2023[#Headers], $D25)</f>
        <v>0</v>
      </c>
      <c r="BT25" s="29">
        <f>Buckets_11_23[[#This Row],[Start]]+Buckets_11_23[[#This Row],[Transactions]]</f>
        <v>2193.7070216441261</v>
      </c>
      <c r="BU25" s="29">
        <f t="shared" si="22"/>
        <v>3000</v>
      </c>
      <c r="BV25" s="29">
        <f>Buckets_11_23[[#This Row],[Capacity]]-Buckets_11_23[[#This Row],[After T]]</f>
        <v>806.29297835587386</v>
      </c>
      <c r="BW25" s="29">
        <f>MAX(-Buckets_11_23[[#This Row],[Cap Diff]], 0)</f>
        <v>0</v>
      </c>
      <c r="BX25" s="29">
        <f>Buckets_11_23[[#This Row],[After T]]-Buckets_11_23[[#This Row],[Slush]]</f>
        <v>2193.7070216441261</v>
      </c>
      <c r="BY25" s="29">
        <f>Buckets_11_23[[#This Row],[Capacity]]-Buckets_11_23[[#This Row],[Before Fill]]</f>
        <v>806.29297835587386</v>
      </c>
      <c r="BZ25" t="b">
        <f>OR(BP25, Buckets_11_23[[#This Row],[After T]]&lt;0)</f>
        <v>0</v>
      </c>
      <c r="CA25" s="29">
        <f>IF(Buckets_11_23[[#This Row],[Is Crit]], Buckets_11_23[[#This Row],[S Cap Diff]], 0)</f>
        <v>0</v>
      </c>
      <c r="CB25" s="29">
        <f>Buckets_11_23[[#This Row],[Before Fill]]+Buckets_11_23[[#This Row],[Crit To Fill]]</f>
        <v>2193.7070216441261</v>
      </c>
      <c r="CC25" s="29">
        <f>IF(NOT(Buckets_11_23[[#This Row],[Is Crit]]), Buckets_11_23[[#This Row],[S Cap Diff]], 0)</f>
        <v>806.29297835587386</v>
      </c>
      <c r="CD25" s="31">
        <f>CB$41/Buckets_11_23[[#Totals],[NC To Fill]]*Buckets_11_23[[#This Row],[NC To Fill]]</f>
        <v>795.16858733803758</v>
      </c>
      <c r="CE25" s="31">
        <f>Buckets_11_23[[#This Row],[Crit Filled]]+Buckets_11_23[[#This Row],[Scaled]]</f>
        <v>2988.8756089821636</v>
      </c>
      <c r="CF25" s="31">
        <f>Buckets_11_23[[#This Row],[NC Filled]]</f>
        <v>2988.8756089821636</v>
      </c>
      <c r="CG25" s="31">
        <f>Buckets_11_23[[#This Row],[Capacity]]-Buckets_11_23[[#This Row],[Final]]</f>
        <v>11.124391017836388</v>
      </c>
      <c r="CH25" s="33">
        <f>IF(Buckets_11_23[[#This Row],[Capacity]]=0, 1, Buckets_11_23[[#This Row],[Final]]/Buckets_11_23[[#This Row],[Capacity]])</f>
        <v>0.99629186966072125</v>
      </c>
      <c r="CJ25" s="40">
        <f>Buckets_11_23[[#This Row],[Final]]</f>
        <v>2988.8756089821636</v>
      </c>
      <c r="CK25" s="40">
        <f>Buckets_11_23[[#This Row],[Capacity]]</f>
        <v>3000</v>
      </c>
      <c r="CL25" s="41" t="b">
        <f t="shared" si="23"/>
        <v>0</v>
      </c>
      <c r="CM25" s="42"/>
      <c r="CN25" s="42"/>
      <c r="CO25" s="42" t="e">
        <f>NA()</f>
        <v>#N/A</v>
      </c>
      <c r="CP25" s="42">
        <f>CK25+500</f>
        <v>3500</v>
      </c>
      <c r="CQ25" s="43"/>
      <c r="CR25" s="40">
        <f t="shared" si="24"/>
        <v>2988.8756089821636</v>
      </c>
      <c r="CS25" s="40">
        <f t="shared" si="3"/>
        <v>3500</v>
      </c>
      <c r="CT25" s="41" t="b">
        <f t="shared" si="4"/>
        <v>0</v>
      </c>
      <c r="CV25" s="29">
        <f t="shared" si="25"/>
        <v>2988.8756089821636</v>
      </c>
      <c r="CW25" s="29">
        <f>GetTransactionTotal(AggregateTable2023[], AggregateTable2023[Start], CV$1, AggregateTable2023[#Headers], $D25)</f>
        <v>0</v>
      </c>
      <c r="CX25" s="29">
        <f>Buckets_12_23[[#This Row],[Start]]+Buckets_12_23[[#This Row],[Transactions]]</f>
        <v>2988.8756089821636</v>
      </c>
      <c r="CY25" s="29">
        <f t="shared" si="26"/>
        <v>3500</v>
      </c>
      <c r="CZ25" s="29">
        <f>Buckets_12_23[[#This Row],[Capacity]]-Buckets_12_23[[#This Row],[After T]]</f>
        <v>511.12439101783639</v>
      </c>
      <c r="DA25" s="29">
        <f>MAX(-Buckets_12_23[[#This Row],[Cap Diff]], 0)</f>
        <v>0</v>
      </c>
      <c r="DB25" s="29">
        <f>Buckets_12_23[[#This Row],[After T]]-Buckets_12_23[[#This Row],[Slush]]</f>
        <v>2988.8756089821636</v>
      </c>
      <c r="DC25" s="29">
        <f>Buckets_12_23[[#This Row],[Capacity]]-Buckets_12_23[[#This Row],[Before Fill]]</f>
        <v>511.12439101783639</v>
      </c>
      <c r="DD25" t="b">
        <f>OR(CT25, Buckets_12_23[[#This Row],[After T]]&lt;0)</f>
        <v>0</v>
      </c>
      <c r="DE25" s="29">
        <f>IF(Buckets_12_23[[#This Row],[Is Crit]], Buckets_12_23[[#This Row],[S Cap Diff]], 0)</f>
        <v>0</v>
      </c>
      <c r="DF25" s="29">
        <f>Buckets_12_23[[#This Row],[Before Fill]]+Buckets_12_23[[#This Row],[Crit To Fill]]</f>
        <v>2988.8756089821636</v>
      </c>
      <c r="DG25" s="29">
        <f>IF(NOT(Buckets_12_23[[#This Row],[Is Crit]]), Buckets_12_23[[#This Row],[S Cap Diff]], 0)</f>
        <v>511.12439101783639</v>
      </c>
      <c r="DH25" s="31">
        <f>DF$41/Buckets_12_23[[#Totals],[NC To Fill]]*Buckets_12_23[[#This Row],[NC To Fill]]</f>
        <v>233.69632652733432</v>
      </c>
      <c r="DI25" s="31">
        <f>Buckets_12_23[[#This Row],[Crit Filled]]+Buckets_12_23[[#This Row],[Scaled]]</f>
        <v>3222.571935509498</v>
      </c>
      <c r="DJ25" s="31">
        <f>Buckets_12_23[[#This Row],[NC Filled]]</f>
        <v>3222.571935509498</v>
      </c>
      <c r="DK25" s="31">
        <f>Buckets_12_23[[#This Row],[Capacity]]-Buckets_12_23[[#This Row],[Final]]</f>
        <v>277.42806449050204</v>
      </c>
      <c r="DL25" s="33">
        <f>IF(Buckets_12_23[[#This Row],[Capacity]]=0, 1, Buckets_12_23[[#This Row],[Final]]/Buckets_12_23[[#This Row],[Capacity]])</f>
        <v>0.92073483871699946</v>
      </c>
      <c r="DN25" s="40">
        <f>Buckets_12_23[[#This Row],[Final]]</f>
        <v>3222.571935509498</v>
      </c>
      <c r="DO25" s="40">
        <f>Buckets_12_23[[#This Row],[Capacity]]</f>
        <v>3500</v>
      </c>
      <c r="DP25" s="41" t="b">
        <f t="shared" si="27"/>
        <v>0</v>
      </c>
      <c r="DQ25" s="42"/>
      <c r="DR25" s="42"/>
      <c r="DS25" s="42" t="e">
        <f>NA()</f>
        <v>#N/A</v>
      </c>
      <c r="DT25" s="42">
        <f>DO25+500</f>
        <v>4000</v>
      </c>
      <c r="DU25" s="43"/>
      <c r="DV25" s="40">
        <f t="shared" si="28"/>
        <v>3222.571935509498</v>
      </c>
      <c r="DW25" s="40">
        <f t="shared" si="5"/>
        <v>4000</v>
      </c>
      <c r="DX25" s="41" t="b">
        <f t="shared" si="6"/>
        <v>0</v>
      </c>
      <c r="DZ25" s="29">
        <f t="shared" si="29"/>
        <v>3222.571935509498</v>
      </c>
      <c r="EA25" s="29">
        <f>GetTransactionTotal(AggregateTable2024[], AggregateTable2024[Start], DZ$1, AggregateTable2024[#Headers], $D25)</f>
        <v>0</v>
      </c>
      <c r="EB25" s="29">
        <f>Buckets_1_24[[#This Row],[Start]]+Buckets_1_24[[#This Row],[Transactions]]</f>
        <v>3222.571935509498</v>
      </c>
      <c r="EC25" s="29">
        <f t="shared" si="30"/>
        <v>4000</v>
      </c>
      <c r="ED25" s="29">
        <f>Buckets_1_24[[#This Row],[Capacity]]-Buckets_1_24[[#This Row],[After T]]</f>
        <v>777.42806449050204</v>
      </c>
      <c r="EE25" s="29">
        <f>MAX(-Buckets_1_24[[#This Row],[Cap Diff]], 0)</f>
        <v>0</v>
      </c>
      <c r="EF25" s="29">
        <f>Buckets_1_24[[#This Row],[After T]]-Buckets_1_24[[#This Row],[Slush]]</f>
        <v>3222.571935509498</v>
      </c>
      <c r="EG25" s="29">
        <f>Buckets_1_24[[#This Row],[Capacity]]-Buckets_1_24[[#This Row],[Before Fill]]</f>
        <v>777.42806449050204</v>
      </c>
      <c r="EH25" t="b">
        <f>OR(DX25, Buckets_1_24[[#This Row],[After T]]&lt;0)</f>
        <v>0</v>
      </c>
      <c r="EI25" s="29">
        <f>IF(Buckets_1_24[[#This Row],[Is Crit]], Buckets_1_24[[#This Row],[S Cap Diff]], 0)</f>
        <v>0</v>
      </c>
      <c r="EJ25" s="29">
        <f>Buckets_1_24[[#This Row],[Before Fill]]+Buckets_1_24[[#This Row],[Crit To Fill]]</f>
        <v>3222.571935509498</v>
      </c>
      <c r="EK25" s="29">
        <f>IF(NOT(Buckets_1_24[[#This Row],[Is Crit]]), Buckets_1_24[[#This Row],[S Cap Diff]], 0)</f>
        <v>777.42806449050204</v>
      </c>
      <c r="EL25" s="31">
        <f>EJ$41/Buckets_1_24[[#Totals],[NC To Fill]]*Buckets_1_24[[#This Row],[NC To Fill]]</f>
        <v>477.33493889840423</v>
      </c>
      <c r="EM25" s="31">
        <f>Buckets_1_24[[#This Row],[Crit Filled]]+Buckets_1_24[[#This Row],[Scaled]]</f>
        <v>3699.9068744079023</v>
      </c>
      <c r="EN25" s="31">
        <f>Buckets_1_24[[#This Row],[NC Filled]]</f>
        <v>3699.9068744079023</v>
      </c>
      <c r="EO25" s="31">
        <f>Buckets_1_24[[#This Row],[Capacity]]-Buckets_1_24[[#This Row],[Final]]</f>
        <v>300.09312559209775</v>
      </c>
      <c r="EP25" s="33">
        <f>IF(Buckets_1_24[[#This Row],[Capacity]]=0, 1, Buckets_1_24[[#This Row],[Final]]/Buckets_1_24[[#This Row],[Capacity]])</f>
        <v>0.92497671860197561</v>
      </c>
      <c r="ER25" s="40">
        <f>Buckets_1_24[[#This Row],[Final]]</f>
        <v>3699.9068744079023</v>
      </c>
      <c r="ES25" s="40">
        <f>Buckets_1_24[[#This Row],[Capacity]]</f>
        <v>4000</v>
      </c>
      <c r="ET25" s="41" t="b">
        <f t="shared" si="31"/>
        <v>0</v>
      </c>
      <c r="EU25" s="42"/>
      <c r="EV25" s="42"/>
      <c r="EW25" s="42"/>
      <c r="EX25" s="42">
        <v>7000</v>
      </c>
      <c r="EY25" s="43"/>
      <c r="EZ25" s="40">
        <f t="shared" si="32"/>
        <v>3699.9068744079023</v>
      </c>
      <c r="FA25" s="40">
        <f t="shared" si="33"/>
        <v>7000</v>
      </c>
      <c r="FB25" s="41" t="b">
        <f t="shared" si="7"/>
        <v>0</v>
      </c>
      <c r="FD25" s="29">
        <f t="shared" si="34"/>
        <v>3699.9068744079023</v>
      </c>
      <c r="FE25" s="29">
        <f>GetTransactionTotal(AggregateTable2024[], AggregateTable2024[Start], FD$1, AggregateTable2024[#Headers], $D25)</f>
        <v>0</v>
      </c>
      <c r="FF25" s="29">
        <f>Buckets_2_24[[#This Row],[Start]]+Buckets_2_24[[#This Row],[Transactions]]</f>
        <v>3699.9068744079023</v>
      </c>
      <c r="FG25" s="29">
        <f t="shared" si="35"/>
        <v>7000</v>
      </c>
      <c r="FH25" s="29">
        <f>Buckets_2_24[[#This Row],[Capacity]]-Buckets_2_24[[#This Row],[After T]]</f>
        <v>3300.0931255920977</v>
      </c>
      <c r="FI25" s="29">
        <f>MAX(-Buckets_2_24[[#This Row],[Cap Diff]], 0)</f>
        <v>0</v>
      </c>
      <c r="FJ25" s="29">
        <f>Buckets_2_24[[#This Row],[After T]]-Buckets_2_24[[#This Row],[Slush]]</f>
        <v>3699.9068744079023</v>
      </c>
      <c r="FK25" s="29">
        <f>Buckets_2_24[[#This Row],[Capacity]]-Buckets_2_24[[#This Row],[Before Fill]]</f>
        <v>3300.0931255920977</v>
      </c>
      <c r="FL25" t="b">
        <f>OR(FB25, Buckets_2_24[[#This Row],[After T]]&lt;0)</f>
        <v>0</v>
      </c>
      <c r="FM25" s="29">
        <f>IF(Buckets_2_24[[#This Row],[Is Crit]], Buckets_2_24[[#This Row],[S Cap Diff]], 0)</f>
        <v>0</v>
      </c>
      <c r="FN25" s="29">
        <f>Buckets_2_24[[#This Row],[Before Fill]]+Buckets_2_24[[#This Row],[Crit To Fill]]</f>
        <v>3699.9068744079023</v>
      </c>
      <c r="FO25" s="29">
        <f>IF(NOT(Buckets_2_24[[#This Row],[Is Crit]]), Buckets_2_24[[#This Row],[S Cap Diff]], 0)</f>
        <v>3300.0931255920977</v>
      </c>
      <c r="FP25" s="31">
        <f>FN$41/Buckets_2_24[[#Totals],[NC To Fill]]*Buckets_2_24[[#This Row],[NC To Fill]]</f>
        <v>3179.1306309652255</v>
      </c>
      <c r="FQ25" s="31">
        <f>Buckets_2_24[[#This Row],[Crit Filled]]+Buckets_2_24[[#This Row],[Scaled]]</f>
        <v>6879.0375053731277</v>
      </c>
      <c r="FR25" s="31">
        <f>Buckets_2_24[[#This Row],[NC Filled]]</f>
        <v>6879.0375053731277</v>
      </c>
      <c r="FS25" s="31">
        <f>Buckets_2_24[[#This Row],[Capacity]]-Buckets_2_24[[#This Row],[Final]]</f>
        <v>120.96249462687229</v>
      </c>
      <c r="FT25" s="33">
        <f>IF(Buckets_2_24[[#This Row],[Capacity]]=0, 1, Buckets_2_24[[#This Row],[Final]]/Buckets_2_24[[#This Row],[Capacity]])</f>
        <v>0.98271964362473252</v>
      </c>
      <c r="FV25" s="40">
        <f>Buckets_2_24[[#This Row],[Final]]</f>
        <v>6879.0375053731277</v>
      </c>
      <c r="FW25" s="40">
        <f>Buckets_2_24[[#This Row],[Capacity]]</f>
        <v>7000</v>
      </c>
      <c r="FX25" s="41" t="b">
        <f t="shared" si="36"/>
        <v>0</v>
      </c>
      <c r="FY25" s="42"/>
      <c r="FZ25" s="42"/>
      <c r="GA25" s="42">
        <v>500</v>
      </c>
      <c r="GB25" s="42"/>
      <c r="GC25" s="43"/>
      <c r="GD25" s="40">
        <f t="shared" si="37"/>
        <v>6879.0375053731277</v>
      </c>
      <c r="GE25" s="40">
        <f t="shared" si="38"/>
        <v>7500</v>
      </c>
      <c r="GF25" s="41" t="b">
        <f t="shared" si="8"/>
        <v>0</v>
      </c>
      <c r="GH25" s="29">
        <f t="shared" si="39"/>
        <v>6879.0375053731277</v>
      </c>
      <c r="GI25" s="29">
        <f>GetTransactionTotal(AggregateTable2024[], AggregateTable2024[Start], GH$1, AggregateTable2024[#Headers], $D25)</f>
        <v>0</v>
      </c>
      <c r="GJ25" s="29">
        <f>Buckets_3_24[[#This Row],[Start]]+Buckets_3_24[[#This Row],[Transactions]]</f>
        <v>6879.0375053731277</v>
      </c>
      <c r="GK25" s="29">
        <f t="shared" si="40"/>
        <v>7500</v>
      </c>
      <c r="GL25" s="29">
        <f>Buckets_3_24[[#This Row],[Capacity]]-Buckets_3_24[[#This Row],[After T]]</f>
        <v>620.96249462687229</v>
      </c>
      <c r="GM25" s="29">
        <f>MAX(-Buckets_3_24[[#This Row],[Cap Diff]], 0)</f>
        <v>0</v>
      </c>
      <c r="GN25" s="29">
        <f>Buckets_3_24[[#This Row],[After T]]-Buckets_3_24[[#This Row],[Slush]]</f>
        <v>6879.0375053731277</v>
      </c>
      <c r="GO25" s="29">
        <f>Buckets_3_24[[#This Row],[Capacity]]-Buckets_3_24[[#This Row],[Before Fill]]</f>
        <v>620.96249462687229</v>
      </c>
      <c r="GP25" t="b">
        <f>OR(GF25, Buckets_3_24[[#This Row],[After T]]&lt;0)</f>
        <v>0</v>
      </c>
      <c r="GQ25" s="29">
        <f>IF(Buckets_3_24[[#This Row],[Is Crit]], Buckets_3_24[[#This Row],[S Cap Diff]], 0)</f>
        <v>0</v>
      </c>
      <c r="GR25" s="29">
        <f>Buckets_3_24[[#This Row],[Before Fill]]+Buckets_3_24[[#This Row],[Crit To Fill]]</f>
        <v>6879.0375053731277</v>
      </c>
      <c r="GS25" s="29">
        <f>IF(NOT(Buckets_3_24[[#This Row],[Is Crit]]), Buckets_3_24[[#This Row],[S Cap Diff]], 0)</f>
        <v>620.96249462687229</v>
      </c>
      <c r="GT25" s="31">
        <f>GR$41/Buckets_3_24[[#Totals],[NC To Fill]]*Buckets_3_24[[#This Row],[NC To Fill]]</f>
        <v>603.10286079188245</v>
      </c>
      <c r="GU25" s="31">
        <f>Buckets_3_24[[#This Row],[Crit Filled]]+Buckets_3_24[[#This Row],[Scaled]]</f>
        <v>7482.1403661650102</v>
      </c>
      <c r="GV25" s="31">
        <f>Buckets_3_24[[#This Row],[NC Filled]]</f>
        <v>7482.1403661650102</v>
      </c>
      <c r="GW25" s="31">
        <f>Buckets_3_24[[#This Row],[Capacity]]-Buckets_3_24[[#This Row],[Final]]</f>
        <v>17.859633834989836</v>
      </c>
      <c r="GX25" s="33">
        <f>IF(Buckets_3_24[[#This Row],[Capacity]]=0, 1, Buckets_3_24[[#This Row],[Final]]/Buckets_3_24[[#This Row],[Capacity]])</f>
        <v>0.99761871548866798</v>
      </c>
      <c r="GZ25" s="40">
        <f>Buckets_3_24[[#This Row],[Final]]</f>
        <v>7482.1403661650102</v>
      </c>
      <c r="HA25" s="40">
        <f>Buckets_3_24[[#This Row],[Capacity]]</f>
        <v>7500</v>
      </c>
      <c r="HB25" s="41" t="b">
        <f t="shared" si="41"/>
        <v>0</v>
      </c>
      <c r="HC25" s="42"/>
      <c r="HD25" s="42"/>
      <c r="HE25" s="42">
        <v>500</v>
      </c>
      <c r="HF25" s="42"/>
      <c r="HG25" s="43"/>
      <c r="HH25" s="40">
        <f t="shared" si="42"/>
        <v>7482.1403661650102</v>
      </c>
      <c r="HI25" s="40">
        <f t="shared" si="43"/>
        <v>8000</v>
      </c>
      <c r="HJ25" s="41" t="b">
        <f t="shared" si="9"/>
        <v>0</v>
      </c>
      <c r="HL25" s="29">
        <f t="shared" si="44"/>
        <v>7482.1403661650102</v>
      </c>
      <c r="HM25" s="29">
        <f>GetTransactionTotal(AggregateTable2024[], AggregateTable2024[Start], HL$1, AggregateTable2024[#Headers], $D25)</f>
        <v>0</v>
      </c>
      <c r="HN25" s="29">
        <f>Buckets_4_24[[#This Row],[Start]]+Buckets_4_24[[#This Row],[Transactions]]</f>
        <v>7482.1403661650102</v>
      </c>
      <c r="HO25" s="29">
        <f t="shared" si="45"/>
        <v>8000</v>
      </c>
      <c r="HP25" s="29">
        <f>Buckets_4_24[[#This Row],[Capacity]]-Buckets_4_24[[#This Row],[After T]]</f>
        <v>517.85963383498984</v>
      </c>
      <c r="HQ25" s="29">
        <f>MAX(-Buckets_4_24[[#This Row],[Cap Diff]], 0)</f>
        <v>0</v>
      </c>
      <c r="HR25" s="29">
        <f>Buckets_4_24[[#This Row],[After T]]-Buckets_4_24[[#This Row],[Slush]]</f>
        <v>7482.1403661650102</v>
      </c>
      <c r="HS25" s="29">
        <f>Buckets_4_24[[#This Row],[Capacity]]-Buckets_4_24[[#This Row],[Before Fill]]</f>
        <v>517.85963383498984</v>
      </c>
      <c r="HT25" t="b">
        <f>OR(HJ25, Buckets_4_24[[#This Row],[After T]]&lt;0)</f>
        <v>0</v>
      </c>
      <c r="HU25" s="29">
        <f>IF(Buckets_4_24[[#This Row],[Is Crit]], Buckets_4_24[[#This Row],[S Cap Diff]], 0)</f>
        <v>0</v>
      </c>
      <c r="HV25" s="29">
        <f>Buckets_4_24[[#This Row],[Before Fill]]+Buckets_4_24[[#This Row],[Crit To Fill]]</f>
        <v>7482.1403661650102</v>
      </c>
      <c r="HW25" s="29">
        <f>IF(NOT(Buckets_4_24[[#This Row],[Is Crit]]), Buckets_4_24[[#This Row],[S Cap Diff]], 0)</f>
        <v>517.85963383498984</v>
      </c>
      <c r="HX25" s="31">
        <f>HV$41/Buckets_4_24[[#Totals],[NC To Fill]]*Buckets_4_24[[#This Row],[NC To Fill]]</f>
        <v>337.9446359816572</v>
      </c>
      <c r="HY25" s="31">
        <f>Buckets_4_24[[#This Row],[Crit Filled]]+Buckets_4_24[[#This Row],[Scaled]]</f>
        <v>7820.0850021466676</v>
      </c>
      <c r="HZ25" s="31">
        <f>Buckets_4_24[[#This Row],[NC Filled]]</f>
        <v>7820.0850021466676</v>
      </c>
      <c r="IA25" s="31">
        <f>Buckets_4_24[[#This Row],[Capacity]]-Buckets_4_24[[#This Row],[Final]]</f>
        <v>179.91499785333235</v>
      </c>
      <c r="IB25" s="33">
        <f>IF(Buckets_4_24[[#This Row],[Capacity]]=0, 1, Buckets_4_24[[#This Row],[Final]]/Buckets_4_24[[#This Row],[Capacity]])</f>
        <v>0.97751062526833343</v>
      </c>
      <c r="ID25" s="40">
        <f>Buckets_4_24[[#This Row],[Final]]</f>
        <v>7820.0850021466676</v>
      </c>
      <c r="IE25" s="40">
        <f>Buckets_4_24[[#This Row],[Capacity]]</f>
        <v>8000</v>
      </c>
      <c r="IF25" s="41" t="b">
        <f t="shared" si="46"/>
        <v>0</v>
      </c>
      <c r="IG25" s="42"/>
      <c r="IH25" s="42"/>
      <c r="II25" s="42">
        <v>500</v>
      </c>
      <c r="IJ25" s="42"/>
      <c r="IK25" s="43"/>
      <c r="IL25" s="40">
        <f t="shared" si="47"/>
        <v>7820.0850021466676</v>
      </c>
      <c r="IM25" s="40">
        <f t="shared" si="48"/>
        <v>8500</v>
      </c>
      <c r="IN25" s="41" t="b">
        <f t="shared" si="10"/>
        <v>0</v>
      </c>
    </row>
    <row r="26" spans="1:248" x14ac:dyDescent="0.25">
      <c r="A26" s="49"/>
      <c r="B26" t="s">
        <v>326</v>
      </c>
      <c r="C26" t="s">
        <v>321</v>
      </c>
      <c r="D26" t="s">
        <v>301</v>
      </c>
      <c r="F26" s="30">
        <v>0</v>
      </c>
      <c r="G26" s="38">
        <v>600</v>
      </c>
      <c r="H26" t="b">
        <v>0</v>
      </c>
      <c r="J26" s="29">
        <f t="shared" si="11"/>
        <v>0</v>
      </c>
      <c r="K26" s="29">
        <f>GetTransactionTotal(AggregateTable2023[], AggregateTable2023[Start], J$1, AggregateTable2023[#Headers], $D26)</f>
        <v>0</v>
      </c>
      <c r="L26" s="29">
        <f>Buckets_9_23[[#This Row],[Start]]+Buckets_9_23[[#This Row],[Transactions]]</f>
        <v>0</v>
      </c>
      <c r="M26" s="29">
        <f t="shared" si="12"/>
        <v>600</v>
      </c>
      <c r="N26" s="29">
        <f>Buckets_9_23[[#This Row],[Capacity]]-Buckets_9_23[[#This Row],[After T]]</f>
        <v>600</v>
      </c>
      <c r="O26" s="29">
        <f>IF(Buckets_9_23[[#This Row],[After T]]&lt;0, Buckets_9_23[[#This Row],[After T]], IF(Buckets_9_23[[#This Row],[Cap Diff]]&lt;0, -Buckets_9_23[[#This Row],[Cap Diff]], 0))</f>
        <v>0</v>
      </c>
      <c r="P26" s="29">
        <f>Buckets_9_23[[#This Row],[After T]]-Buckets_9_23[[#This Row],[Slush]]</f>
        <v>0</v>
      </c>
      <c r="Q26" s="29">
        <f>Buckets_9_23[[#This Row],[Capacity]]-Buckets_9_23[[#This Row],[Before Fill]]</f>
        <v>600</v>
      </c>
      <c r="R26" t="b">
        <f t="shared" si="0"/>
        <v>0</v>
      </c>
      <c r="S26" s="29">
        <f>IF(Buckets_9_23[[#This Row],[Is Crit]], Buckets_9_23[[#This Row],[S Cap Diff]], 0)</f>
        <v>0</v>
      </c>
      <c r="T26" s="29">
        <f>Buckets_9_23[[#This Row],[Before Fill]]+Buckets_9_23[[#This Row],[Crit To Fill]]</f>
        <v>0</v>
      </c>
      <c r="U26" s="29">
        <f>IF(NOT(Buckets_9_23[[#This Row],[Is Crit]]), Buckets_9_23[[#This Row],[S Cap Diff]], 0)</f>
        <v>600</v>
      </c>
      <c r="V26" s="31">
        <f>T$41/Buckets_9_23[[#Totals],[NC To Fill]]*Buckets_9_23[[#This Row],[NC To Fill]]</f>
        <v>523.69055825798353</v>
      </c>
      <c r="W26" s="31">
        <f>Buckets_9_23[[#This Row],[Crit Filled]]+Buckets_9_23[[#This Row],[Scaled]]</f>
        <v>523.69055825798353</v>
      </c>
      <c r="X26" s="31">
        <f>Buckets_9_23[[#This Row],[NC Filled]]</f>
        <v>523.69055825798353</v>
      </c>
      <c r="Y26" s="31">
        <f>Buckets_9_23[[#This Row],[Capacity]]-Buckets_9_23[[#This Row],[Final]]</f>
        <v>76.309441742016475</v>
      </c>
      <c r="Z26" s="33">
        <f>IF(Buckets_9_23[[#This Row],[Capacity]]=0, 1, Buckets_9_23[[#This Row],[Final]]/Buckets_9_23[[#This Row],[Capacity]])</f>
        <v>0.8728175970966392</v>
      </c>
      <c r="AB26" s="31">
        <f>Buckets_9_23[[#This Row],[Final]]</f>
        <v>523.69055825798353</v>
      </c>
      <c r="AC26" s="31">
        <f>Buckets_9_23[[#This Row],[Capacity]]</f>
        <v>600</v>
      </c>
      <c r="AD26" t="b">
        <f t="shared" si="13"/>
        <v>0</v>
      </c>
      <c r="AE26" s="43" t="e">
        <f>NA()</f>
        <v>#N/A</v>
      </c>
      <c r="AF26" s="42"/>
      <c r="AG26" s="43" t="e">
        <f>NA()</f>
        <v>#N/A</v>
      </c>
      <c r="AH26" s="42"/>
      <c r="AI26" s="43"/>
      <c r="AJ26" s="31">
        <f t="shared" si="14"/>
        <v>523.69055825798353</v>
      </c>
      <c r="AK26" s="31">
        <f t="shared" si="15"/>
        <v>600</v>
      </c>
      <c r="AL26" t="b">
        <f t="shared" si="16"/>
        <v>0</v>
      </c>
      <c r="AN26" s="29">
        <f t="shared" si="17"/>
        <v>523.69055825798353</v>
      </c>
      <c r="AO26" s="29">
        <f>GetTransactionTotal(AggregateTable2023[], AggregateTable2023[Start], AN$1, AggregateTable2023[#Headers], $D26)</f>
        <v>-9.25</v>
      </c>
      <c r="AP26" s="29">
        <f>Buckets_10_23[[#This Row],[Start]]+Buckets_10_23[[#This Row],[Transactions]]</f>
        <v>514.44055825798353</v>
      </c>
      <c r="AQ26" s="29">
        <f t="shared" si="18"/>
        <v>600</v>
      </c>
      <c r="AR26" s="29">
        <f>Buckets_10_23[[#This Row],[Capacity]]-Buckets_10_23[[#This Row],[After T]]</f>
        <v>85.559441742016475</v>
      </c>
      <c r="AS26" s="29">
        <f>MAX(-Buckets_10_23[[#This Row],[Cap Diff]], 0)</f>
        <v>0</v>
      </c>
      <c r="AT26" s="29">
        <f>Buckets_10_23[[#This Row],[After T]]-Buckets_10_23[[#This Row],[Slush]]</f>
        <v>514.44055825798353</v>
      </c>
      <c r="AU26" s="29">
        <f>Buckets_10_23[[#This Row],[Capacity]]-Buckets_10_23[[#This Row],[Before Fill]]</f>
        <v>85.559441742016475</v>
      </c>
      <c r="AV26" t="b">
        <f>OR(AL26, Buckets_10_23[[#This Row],[After T]]&lt;0)</f>
        <v>0</v>
      </c>
      <c r="AW26" s="29">
        <f>IF(Buckets_10_23[[#This Row],[Is Crit]], Buckets_10_23[[#This Row],[S Cap Diff]], 0)</f>
        <v>0</v>
      </c>
      <c r="AX26" s="29">
        <f>Buckets_10_23[[#This Row],[Before Fill]]+Buckets_10_23[[#This Row],[Crit To Fill]]</f>
        <v>514.44055825798353</v>
      </c>
      <c r="AY26" s="29">
        <f>IF(NOT(Buckets_10_23[[#This Row],[Is Crit]]), Buckets_10_23[[#This Row],[S Cap Diff]], 0)</f>
        <v>85.559441742016475</v>
      </c>
      <c r="AZ26" s="31">
        <f>AX$41/Buckets_10_23[[#Totals],[NC To Fill]]*Buckets_10_23[[#This Row],[NC To Fill]]</f>
        <v>50.819941654120655</v>
      </c>
      <c r="BA26" s="31">
        <f>Buckets_10_23[[#This Row],[Crit Filled]]+Buckets_10_23[[#This Row],[Scaled]]</f>
        <v>565.26049991210414</v>
      </c>
      <c r="BB26" s="31">
        <f>Buckets_10_23[[#This Row],[NC Filled]]</f>
        <v>565.26049991210414</v>
      </c>
      <c r="BC26" s="31">
        <f>Buckets_10_23[[#This Row],[Capacity]]-Buckets_10_23[[#This Row],[Final]]</f>
        <v>34.739500087895863</v>
      </c>
      <c r="BD26" s="33">
        <f>IF(Buckets_10_23[[#This Row],[Capacity]]=0, 1, Buckets_10_23[[#This Row],[Final]]/Buckets_10_23[[#This Row],[Capacity]])</f>
        <v>0.94210083318684024</v>
      </c>
      <c r="BF26" s="31">
        <f>Buckets_10_23[[#This Row],[Final]]</f>
        <v>565.26049991210414</v>
      </c>
      <c r="BG26" s="31">
        <f>Buckets_10_23[[#This Row],[Capacity]]</f>
        <v>600</v>
      </c>
      <c r="BH26" t="b">
        <f t="shared" si="19"/>
        <v>0</v>
      </c>
      <c r="BI26" s="43" t="e">
        <f>NA()</f>
        <v>#N/A</v>
      </c>
      <c r="BJ26" s="42"/>
      <c r="BK26" s="43" t="e">
        <f>NA()</f>
        <v>#N/A</v>
      </c>
      <c r="BL26" s="42"/>
      <c r="BM26" s="43"/>
      <c r="BN26" s="31">
        <f t="shared" si="20"/>
        <v>565.26049991210414</v>
      </c>
      <c r="BO26" s="31">
        <f t="shared" si="1"/>
        <v>600</v>
      </c>
      <c r="BP26" t="b">
        <f t="shared" si="2"/>
        <v>0</v>
      </c>
      <c r="BR26" s="29">
        <f t="shared" si="21"/>
        <v>565.26049991210414</v>
      </c>
      <c r="BS26" s="29">
        <f>GetTransactionTotal(AggregateTable2023[], AggregateTable2023[Start], BR$1, AggregateTable2023[#Headers], $D26)</f>
        <v>0</v>
      </c>
      <c r="BT26" s="29">
        <f>Buckets_11_23[[#This Row],[Start]]+Buckets_11_23[[#This Row],[Transactions]]</f>
        <v>565.26049991210414</v>
      </c>
      <c r="BU26" s="29">
        <f t="shared" si="22"/>
        <v>600</v>
      </c>
      <c r="BV26" s="29">
        <f>Buckets_11_23[[#This Row],[Capacity]]-Buckets_11_23[[#This Row],[After T]]</f>
        <v>34.739500087895863</v>
      </c>
      <c r="BW26" s="29">
        <f>MAX(-Buckets_11_23[[#This Row],[Cap Diff]], 0)</f>
        <v>0</v>
      </c>
      <c r="BX26" s="29">
        <f>Buckets_11_23[[#This Row],[After T]]-Buckets_11_23[[#This Row],[Slush]]</f>
        <v>565.26049991210414</v>
      </c>
      <c r="BY26" s="29">
        <f>Buckets_11_23[[#This Row],[Capacity]]-Buckets_11_23[[#This Row],[Before Fill]]</f>
        <v>34.739500087895863</v>
      </c>
      <c r="BZ26" t="b">
        <f>OR(BP26, Buckets_11_23[[#This Row],[After T]]&lt;0)</f>
        <v>0</v>
      </c>
      <c r="CA26" s="29">
        <f>IF(Buckets_11_23[[#This Row],[Is Crit]], Buckets_11_23[[#This Row],[S Cap Diff]], 0)</f>
        <v>0</v>
      </c>
      <c r="CB26" s="29">
        <f>Buckets_11_23[[#This Row],[Before Fill]]+Buckets_11_23[[#This Row],[Crit To Fill]]</f>
        <v>565.26049991210414</v>
      </c>
      <c r="CC26" s="29">
        <f>IF(NOT(Buckets_11_23[[#This Row],[Is Crit]]), Buckets_11_23[[#This Row],[S Cap Diff]], 0)</f>
        <v>34.739500087895863</v>
      </c>
      <c r="CD26" s="31">
        <f>CB$41/Buckets_11_23[[#Totals],[NC To Fill]]*Buckets_11_23[[#This Row],[NC To Fill]]</f>
        <v>34.260200635815877</v>
      </c>
      <c r="CE26" s="31">
        <f>Buckets_11_23[[#This Row],[Crit Filled]]+Buckets_11_23[[#This Row],[Scaled]]</f>
        <v>599.52070054792</v>
      </c>
      <c r="CF26" s="31">
        <f>Buckets_11_23[[#This Row],[NC Filled]]</f>
        <v>599.52070054792</v>
      </c>
      <c r="CG26" s="31">
        <f>Buckets_11_23[[#This Row],[Capacity]]-Buckets_11_23[[#This Row],[Final]]</f>
        <v>0.47929945207999936</v>
      </c>
      <c r="CH26" s="33">
        <f>IF(Buckets_11_23[[#This Row],[Capacity]]=0, 1, Buckets_11_23[[#This Row],[Final]]/Buckets_11_23[[#This Row],[Capacity]])</f>
        <v>0.99920116757986666</v>
      </c>
      <c r="CJ26" s="40">
        <f>Buckets_11_23[[#This Row],[Final]]</f>
        <v>599.52070054792</v>
      </c>
      <c r="CK26" s="40">
        <f>Buckets_11_23[[#This Row],[Capacity]]</f>
        <v>600</v>
      </c>
      <c r="CL26" s="41" t="b">
        <f t="shared" si="23"/>
        <v>0</v>
      </c>
      <c r="CM26" s="42"/>
      <c r="CN26" s="42"/>
      <c r="CO26" s="42" t="e">
        <f>NA()</f>
        <v>#N/A</v>
      </c>
      <c r="CP26" s="42"/>
      <c r="CQ26" s="43"/>
      <c r="CR26" s="40">
        <f t="shared" si="24"/>
        <v>599.52070054792</v>
      </c>
      <c r="CS26" s="40">
        <f t="shared" si="3"/>
        <v>600</v>
      </c>
      <c r="CT26" s="41" t="b">
        <f t="shared" si="4"/>
        <v>0</v>
      </c>
      <c r="CV26" s="29">
        <f t="shared" si="25"/>
        <v>599.52070054792</v>
      </c>
      <c r="CW26" s="29">
        <f>GetTransactionTotal(AggregateTable2023[], AggregateTable2023[Start], CV$1, AggregateTable2023[#Headers], $D26)</f>
        <v>-35.17</v>
      </c>
      <c r="CX26" s="29">
        <f>Buckets_12_23[[#This Row],[Start]]+Buckets_12_23[[#This Row],[Transactions]]</f>
        <v>564.35070054792004</v>
      </c>
      <c r="CY26" s="29">
        <f t="shared" si="26"/>
        <v>600</v>
      </c>
      <c r="CZ26" s="29">
        <f>Buckets_12_23[[#This Row],[Capacity]]-Buckets_12_23[[#This Row],[After T]]</f>
        <v>35.649299452079958</v>
      </c>
      <c r="DA26" s="29">
        <f>MAX(-Buckets_12_23[[#This Row],[Cap Diff]], 0)</f>
        <v>0</v>
      </c>
      <c r="DB26" s="29">
        <f>Buckets_12_23[[#This Row],[After T]]-Buckets_12_23[[#This Row],[Slush]]</f>
        <v>564.35070054792004</v>
      </c>
      <c r="DC26" s="29">
        <f>Buckets_12_23[[#This Row],[Capacity]]-Buckets_12_23[[#This Row],[Before Fill]]</f>
        <v>35.649299452079958</v>
      </c>
      <c r="DD26" t="b">
        <f>OR(CT26, Buckets_12_23[[#This Row],[After T]]&lt;0)</f>
        <v>0</v>
      </c>
      <c r="DE26" s="29">
        <f>IF(Buckets_12_23[[#This Row],[Is Crit]], Buckets_12_23[[#This Row],[S Cap Diff]], 0)</f>
        <v>0</v>
      </c>
      <c r="DF26" s="29">
        <f>Buckets_12_23[[#This Row],[Before Fill]]+Buckets_12_23[[#This Row],[Crit To Fill]]</f>
        <v>564.35070054792004</v>
      </c>
      <c r="DG26" s="29">
        <f>IF(NOT(Buckets_12_23[[#This Row],[Is Crit]]), Buckets_12_23[[#This Row],[S Cap Diff]], 0)</f>
        <v>35.649299452079958</v>
      </c>
      <c r="DH26" s="31">
        <f>DF$41/Buckets_12_23[[#Totals],[NC To Fill]]*Buckets_12_23[[#This Row],[NC To Fill]]</f>
        <v>16.299574959891267</v>
      </c>
      <c r="DI26" s="31">
        <f>Buckets_12_23[[#This Row],[Crit Filled]]+Buckets_12_23[[#This Row],[Scaled]]</f>
        <v>580.65027550781133</v>
      </c>
      <c r="DJ26" s="31">
        <f>Buckets_12_23[[#This Row],[NC Filled]]</f>
        <v>580.65027550781133</v>
      </c>
      <c r="DK26" s="31">
        <f>Buckets_12_23[[#This Row],[Capacity]]-Buckets_12_23[[#This Row],[Final]]</f>
        <v>19.34972449218867</v>
      </c>
      <c r="DL26" s="33">
        <f>IF(Buckets_12_23[[#This Row],[Capacity]]=0, 1, Buckets_12_23[[#This Row],[Final]]/Buckets_12_23[[#This Row],[Capacity]])</f>
        <v>0.9677504591796855</v>
      </c>
      <c r="DN26" s="40">
        <f>Buckets_12_23[[#This Row],[Final]]</f>
        <v>580.65027550781133</v>
      </c>
      <c r="DO26" s="40">
        <f>Buckets_12_23[[#This Row],[Capacity]]</f>
        <v>600</v>
      </c>
      <c r="DP26" s="41" t="b">
        <f t="shared" si="27"/>
        <v>0</v>
      </c>
      <c r="DQ26" s="42"/>
      <c r="DR26" s="42"/>
      <c r="DS26" s="42" t="e">
        <f>NA()</f>
        <v>#N/A</v>
      </c>
      <c r="DT26" s="42"/>
      <c r="DU26" s="43"/>
      <c r="DV26" s="40">
        <f t="shared" si="28"/>
        <v>580.65027550781133</v>
      </c>
      <c r="DW26" s="40">
        <f t="shared" si="5"/>
        <v>600</v>
      </c>
      <c r="DX26" s="41" t="b">
        <f t="shared" si="6"/>
        <v>0</v>
      </c>
      <c r="DZ26" s="29">
        <f t="shared" si="29"/>
        <v>580.65027550781133</v>
      </c>
      <c r="EA26" s="29">
        <f>GetTransactionTotal(AggregateTable2024[], AggregateTable2024[Start], DZ$1, AggregateTable2024[#Headers], $D26)</f>
        <v>-12.52</v>
      </c>
      <c r="EB26" s="29">
        <f>Buckets_1_24[[#This Row],[Start]]+Buckets_1_24[[#This Row],[Transactions]]</f>
        <v>568.13027550781135</v>
      </c>
      <c r="EC26" s="29">
        <f t="shared" si="30"/>
        <v>600</v>
      </c>
      <c r="ED26" s="29">
        <f>Buckets_1_24[[#This Row],[Capacity]]-Buckets_1_24[[#This Row],[After T]]</f>
        <v>31.869724492188652</v>
      </c>
      <c r="EE26" s="29">
        <f>MAX(-Buckets_1_24[[#This Row],[Cap Diff]], 0)</f>
        <v>0</v>
      </c>
      <c r="EF26" s="29">
        <f>Buckets_1_24[[#This Row],[After T]]-Buckets_1_24[[#This Row],[Slush]]</f>
        <v>568.13027550781135</v>
      </c>
      <c r="EG26" s="29">
        <f>Buckets_1_24[[#This Row],[Capacity]]-Buckets_1_24[[#This Row],[Before Fill]]</f>
        <v>31.869724492188652</v>
      </c>
      <c r="EH26" t="b">
        <f>OR(DX26, Buckets_1_24[[#This Row],[After T]]&lt;0)</f>
        <v>0</v>
      </c>
      <c r="EI26" s="29">
        <f>IF(Buckets_1_24[[#This Row],[Is Crit]], Buckets_1_24[[#This Row],[S Cap Diff]], 0)</f>
        <v>0</v>
      </c>
      <c r="EJ26" s="29">
        <f>Buckets_1_24[[#This Row],[Before Fill]]+Buckets_1_24[[#This Row],[Crit To Fill]]</f>
        <v>568.13027550781135</v>
      </c>
      <c r="EK26" s="29">
        <f>IF(NOT(Buckets_1_24[[#This Row],[Is Crit]]), Buckets_1_24[[#This Row],[S Cap Diff]], 0)</f>
        <v>31.869724492188652</v>
      </c>
      <c r="EL26" s="31">
        <f>EJ$41/Buckets_1_24[[#Totals],[NC To Fill]]*Buckets_1_24[[#This Row],[NC To Fill]]</f>
        <v>19.567769274135461</v>
      </c>
      <c r="EM26" s="31">
        <f>Buckets_1_24[[#This Row],[Crit Filled]]+Buckets_1_24[[#This Row],[Scaled]]</f>
        <v>587.69804478194681</v>
      </c>
      <c r="EN26" s="31">
        <f>Buckets_1_24[[#This Row],[NC Filled]]</f>
        <v>587.69804478194681</v>
      </c>
      <c r="EO26" s="31">
        <f>Buckets_1_24[[#This Row],[Capacity]]-Buckets_1_24[[#This Row],[Final]]</f>
        <v>12.301955218053195</v>
      </c>
      <c r="EP26" s="33">
        <f>IF(Buckets_1_24[[#This Row],[Capacity]]=0, 1, Buckets_1_24[[#This Row],[Final]]/Buckets_1_24[[#This Row],[Capacity]])</f>
        <v>0.97949674130324471</v>
      </c>
      <c r="ER26" s="40">
        <f>Buckets_1_24[[#This Row],[Final]]</f>
        <v>587.69804478194681</v>
      </c>
      <c r="ES26" s="40">
        <f>Buckets_1_24[[#This Row],[Capacity]]</f>
        <v>600</v>
      </c>
      <c r="ET26" s="41" t="b">
        <f t="shared" si="31"/>
        <v>0</v>
      </c>
      <c r="EU26" s="42"/>
      <c r="EV26" s="42"/>
      <c r="EW26" s="42"/>
      <c r="EX26" s="42"/>
      <c r="EY26" s="43"/>
      <c r="EZ26" s="40">
        <f t="shared" si="32"/>
        <v>587.69804478194681</v>
      </c>
      <c r="FA26" s="40">
        <f t="shared" si="33"/>
        <v>600</v>
      </c>
      <c r="FB26" s="41" t="b">
        <f t="shared" si="7"/>
        <v>0</v>
      </c>
      <c r="FD26" s="29">
        <f t="shared" si="34"/>
        <v>587.69804478194681</v>
      </c>
      <c r="FE26" s="29">
        <f>GetTransactionTotal(AggregateTable2024[], AggregateTable2024[Start], FD$1, AggregateTable2024[#Headers], $D26)</f>
        <v>-173.02</v>
      </c>
      <c r="FF26" s="29">
        <f>Buckets_2_24[[#This Row],[Start]]+Buckets_2_24[[#This Row],[Transactions]]</f>
        <v>414.67804478194682</v>
      </c>
      <c r="FG26" s="29">
        <f t="shared" si="35"/>
        <v>600</v>
      </c>
      <c r="FH26" s="29">
        <f>Buckets_2_24[[#This Row],[Capacity]]-Buckets_2_24[[#This Row],[After T]]</f>
        <v>185.32195521805318</v>
      </c>
      <c r="FI26" s="29">
        <f>MAX(-Buckets_2_24[[#This Row],[Cap Diff]], 0)</f>
        <v>0</v>
      </c>
      <c r="FJ26" s="29">
        <f>Buckets_2_24[[#This Row],[After T]]-Buckets_2_24[[#This Row],[Slush]]</f>
        <v>414.67804478194682</v>
      </c>
      <c r="FK26" s="29">
        <f>Buckets_2_24[[#This Row],[Capacity]]-Buckets_2_24[[#This Row],[Before Fill]]</f>
        <v>185.32195521805318</v>
      </c>
      <c r="FL26" t="b">
        <f>OR(FB26, Buckets_2_24[[#This Row],[After T]]&lt;0)</f>
        <v>0</v>
      </c>
      <c r="FM26" s="29">
        <f>IF(Buckets_2_24[[#This Row],[Is Crit]], Buckets_2_24[[#This Row],[S Cap Diff]], 0)</f>
        <v>0</v>
      </c>
      <c r="FN26" s="29">
        <f>Buckets_2_24[[#This Row],[Before Fill]]+Buckets_2_24[[#This Row],[Crit To Fill]]</f>
        <v>414.67804478194682</v>
      </c>
      <c r="FO26" s="29">
        <f>IF(NOT(Buckets_2_24[[#This Row],[Is Crit]]), Buckets_2_24[[#This Row],[S Cap Diff]], 0)</f>
        <v>185.32195521805318</v>
      </c>
      <c r="FP26" s="31">
        <f>FN$41/Buckets_2_24[[#Totals],[NC To Fill]]*Buckets_2_24[[#This Row],[NC To Fill]]</f>
        <v>178.52911478622954</v>
      </c>
      <c r="FQ26" s="31">
        <f>Buckets_2_24[[#This Row],[Crit Filled]]+Buckets_2_24[[#This Row],[Scaled]]</f>
        <v>593.20715956817639</v>
      </c>
      <c r="FR26" s="31">
        <f>Buckets_2_24[[#This Row],[NC Filled]]</f>
        <v>593.20715956817639</v>
      </c>
      <c r="FS26" s="31">
        <f>Buckets_2_24[[#This Row],[Capacity]]-Buckets_2_24[[#This Row],[Final]]</f>
        <v>6.7928404318236062</v>
      </c>
      <c r="FT26" s="33">
        <f>IF(Buckets_2_24[[#This Row],[Capacity]]=0, 1, Buckets_2_24[[#This Row],[Final]]/Buckets_2_24[[#This Row],[Capacity]])</f>
        <v>0.988678599280294</v>
      </c>
      <c r="FV26" s="40">
        <f>Buckets_2_24[[#This Row],[Final]]</f>
        <v>593.20715956817639</v>
      </c>
      <c r="FW26" s="40">
        <f>Buckets_2_24[[#This Row],[Capacity]]</f>
        <v>600</v>
      </c>
      <c r="FX26" s="41" t="b">
        <f t="shared" si="36"/>
        <v>0</v>
      </c>
      <c r="FY26" s="42"/>
      <c r="FZ26" s="42"/>
      <c r="GA26" s="42"/>
      <c r="GB26" s="42">
        <v>1000</v>
      </c>
      <c r="GC26" s="43"/>
      <c r="GD26" s="40">
        <f t="shared" si="37"/>
        <v>593.20715956817639</v>
      </c>
      <c r="GE26" s="40">
        <f t="shared" si="38"/>
        <v>1000</v>
      </c>
      <c r="GF26" s="41" t="b">
        <f t="shared" si="8"/>
        <v>0</v>
      </c>
      <c r="GH26" s="29">
        <f t="shared" si="39"/>
        <v>593.20715956817639</v>
      </c>
      <c r="GI26" s="29">
        <f>GetTransactionTotal(AggregateTable2024[], AggregateTable2024[Start], GH$1, AggregateTable2024[#Headers], $D26)</f>
        <v>-70</v>
      </c>
      <c r="GJ26" s="29">
        <f>Buckets_3_24[[#This Row],[Start]]+Buckets_3_24[[#This Row],[Transactions]]</f>
        <v>523.20715956817639</v>
      </c>
      <c r="GK26" s="29">
        <f t="shared" si="40"/>
        <v>1000</v>
      </c>
      <c r="GL26" s="29">
        <f>Buckets_3_24[[#This Row],[Capacity]]-Buckets_3_24[[#This Row],[After T]]</f>
        <v>476.79284043182361</v>
      </c>
      <c r="GM26" s="29">
        <f>MAX(-Buckets_3_24[[#This Row],[Cap Diff]], 0)</f>
        <v>0</v>
      </c>
      <c r="GN26" s="29">
        <f>Buckets_3_24[[#This Row],[After T]]-Buckets_3_24[[#This Row],[Slush]]</f>
        <v>523.20715956817639</v>
      </c>
      <c r="GO26" s="29">
        <f>Buckets_3_24[[#This Row],[Capacity]]-Buckets_3_24[[#This Row],[Before Fill]]</f>
        <v>476.79284043182361</v>
      </c>
      <c r="GP26" t="b">
        <f>OR(GF26, Buckets_3_24[[#This Row],[After T]]&lt;0)</f>
        <v>0</v>
      </c>
      <c r="GQ26" s="29">
        <f>IF(Buckets_3_24[[#This Row],[Is Crit]], Buckets_3_24[[#This Row],[S Cap Diff]], 0)</f>
        <v>0</v>
      </c>
      <c r="GR26" s="29">
        <f>Buckets_3_24[[#This Row],[Before Fill]]+Buckets_3_24[[#This Row],[Crit To Fill]]</f>
        <v>523.20715956817639</v>
      </c>
      <c r="GS26" s="29">
        <f>IF(NOT(Buckets_3_24[[#This Row],[Is Crit]]), Buckets_3_24[[#This Row],[S Cap Diff]], 0)</f>
        <v>476.79284043182361</v>
      </c>
      <c r="GT26" s="31">
        <f>GR$41/Buckets_3_24[[#Totals],[NC To Fill]]*Buckets_3_24[[#This Row],[NC To Fill]]</f>
        <v>463.07970055793493</v>
      </c>
      <c r="GU26" s="31">
        <f>Buckets_3_24[[#This Row],[Crit Filled]]+Buckets_3_24[[#This Row],[Scaled]]</f>
        <v>986.28686012611138</v>
      </c>
      <c r="GV26" s="31">
        <f>Buckets_3_24[[#This Row],[NC Filled]]</f>
        <v>986.28686012611138</v>
      </c>
      <c r="GW26" s="31">
        <f>Buckets_3_24[[#This Row],[Capacity]]-Buckets_3_24[[#This Row],[Final]]</f>
        <v>13.713139873888622</v>
      </c>
      <c r="GX26" s="33">
        <f>IF(Buckets_3_24[[#This Row],[Capacity]]=0, 1, Buckets_3_24[[#This Row],[Final]]/Buckets_3_24[[#This Row],[Capacity]])</f>
        <v>0.98628686012611133</v>
      </c>
      <c r="GZ26" s="40">
        <f>Buckets_3_24[[#This Row],[Final]]</f>
        <v>986.28686012611138</v>
      </c>
      <c r="HA26" s="40">
        <f>Buckets_3_24[[#This Row],[Capacity]]</f>
        <v>1000</v>
      </c>
      <c r="HB26" s="41" t="b">
        <f t="shared" si="41"/>
        <v>0</v>
      </c>
      <c r="HC26" s="42"/>
      <c r="HD26" s="42"/>
      <c r="HE26" s="42"/>
      <c r="HF26" s="42"/>
      <c r="HG26" s="43"/>
      <c r="HH26" s="40">
        <f t="shared" si="42"/>
        <v>986.28686012611138</v>
      </c>
      <c r="HI26" s="40">
        <f t="shared" si="43"/>
        <v>1000</v>
      </c>
      <c r="HJ26" s="41" t="b">
        <f t="shared" si="9"/>
        <v>0</v>
      </c>
      <c r="HL26" s="29">
        <f t="shared" si="44"/>
        <v>986.28686012611138</v>
      </c>
      <c r="HM26" s="29">
        <f>GetTransactionTotal(AggregateTable2024[], AggregateTable2024[Start], HL$1, AggregateTable2024[#Headers], $D26)</f>
        <v>-109.15</v>
      </c>
      <c r="HN26" s="29">
        <f>Buckets_4_24[[#This Row],[Start]]+Buckets_4_24[[#This Row],[Transactions]]</f>
        <v>877.1368601261114</v>
      </c>
      <c r="HO26" s="29">
        <f t="shared" si="45"/>
        <v>1000</v>
      </c>
      <c r="HP26" s="29">
        <f>Buckets_4_24[[#This Row],[Capacity]]-Buckets_4_24[[#This Row],[After T]]</f>
        <v>122.8631398738886</v>
      </c>
      <c r="HQ26" s="29">
        <f>MAX(-Buckets_4_24[[#This Row],[Cap Diff]], 0)</f>
        <v>0</v>
      </c>
      <c r="HR26" s="29">
        <f>Buckets_4_24[[#This Row],[After T]]-Buckets_4_24[[#This Row],[Slush]]</f>
        <v>877.1368601261114</v>
      </c>
      <c r="HS26" s="29">
        <f>Buckets_4_24[[#This Row],[Capacity]]-Buckets_4_24[[#This Row],[Before Fill]]</f>
        <v>122.8631398738886</v>
      </c>
      <c r="HT26" t="b">
        <f>OR(HJ26, Buckets_4_24[[#This Row],[After T]]&lt;0)</f>
        <v>0</v>
      </c>
      <c r="HU26" s="29">
        <f>IF(Buckets_4_24[[#This Row],[Is Crit]], Buckets_4_24[[#This Row],[S Cap Diff]], 0)</f>
        <v>0</v>
      </c>
      <c r="HV26" s="29">
        <f>Buckets_4_24[[#This Row],[Before Fill]]+Buckets_4_24[[#This Row],[Crit To Fill]]</f>
        <v>877.1368601261114</v>
      </c>
      <c r="HW26" s="29">
        <f>IF(NOT(Buckets_4_24[[#This Row],[Is Crit]]), Buckets_4_24[[#This Row],[S Cap Diff]], 0)</f>
        <v>122.8631398738886</v>
      </c>
      <c r="HX26" s="31">
        <f>HV$41/Buckets_4_24[[#Totals],[NC To Fill]]*Buckets_4_24[[#This Row],[NC To Fill]]</f>
        <v>80.177979451232716</v>
      </c>
      <c r="HY26" s="31">
        <f>Buckets_4_24[[#This Row],[Crit Filled]]+Buckets_4_24[[#This Row],[Scaled]]</f>
        <v>957.31483957734417</v>
      </c>
      <c r="HZ26" s="31">
        <f>Buckets_4_24[[#This Row],[NC Filled]]</f>
        <v>957.31483957734417</v>
      </c>
      <c r="IA26" s="31">
        <f>Buckets_4_24[[#This Row],[Capacity]]-Buckets_4_24[[#This Row],[Final]]</f>
        <v>42.685160422655827</v>
      </c>
      <c r="IB26" s="33">
        <f>IF(Buckets_4_24[[#This Row],[Capacity]]=0, 1, Buckets_4_24[[#This Row],[Final]]/Buckets_4_24[[#This Row],[Capacity]])</f>
        <v>0.9573148395773442</v>
      </c>
      <c r="ID26" s="40">
        <f>Buckets_4_24[[#This Row],[Final]]</f>
        <v>957.31483957734417</v>
      </c>
      <c r="IE26" s="40">
        <f>Buckets_4_24[[#This Row],[Capacity]]</f>
        <v>1000</v>
      </c>
      <c r="IF26" s="41" t="b">
        <f t="shared" si="46"/>
        <v>0</v>
      </c>
      <c r="IG26" s="42"/>
      <c r="IH26" s="42"/>
      <c r="II26" s="42"/>
      <c r="IJ26" s="42"/>
      <c r="IK26" s="43"/>
      <c r="IL26" s="40">
        <f t="shared" si="47"/>
        <v>957.31483957734417</v>
      </c>
      <c r="IM26" s="40">
        <f t="shared" si="48"/>
        <v>1000</v>
      </c>
      <c r="IN26" s="41" t="b">
        <f t="shared" si="10"/>
        <v>0</v>
      </c>
    </row>
    <row r="27" spans="1:248" x14ac:dyDescent="0.25">
      <c r="A27" s="49"/>
      <c r="B27" t="s">
        <v>326</v>
      </c>
      <c r="C27" t="s">
        <v>320</v>
      </c>
      <c r="D27" t="s">
        <v>302</v>
      </c>
      <c r="F27" s="30">
        <v>0</v>
      </c>
      <c r="G27" s="38">
        <v>100</v>
      </c>
      <c r="H27" t="b">
        <v>1</v>
      </c>
      <c r="J27" s="29">
        <f t="shared" si="11"/>
        <v>0</v>
      </c>
      <c r="K27" s="29">
        <f>GetTransactionTotal(AggregateTable2023[], AggregateTable2023[Start], J$1, AggregateTable2023[#Headers], $D27)</f>
        <v>0</v>
      </c>
      <c r="L27" s="29">
        <f>Buckets_9_23[[#This Row],[Start]]+Buckets_9_23[[#This Row],[Transactions]]</f>
        <v>0</v>
      </c>
      <c r="M27" s="29">
        <f t="shared" si="12"/>
        <v>100</v>
      </c>
      <c r="N27" s="29">
        <f>Buckets_9_23[[#This Row],[Capacity]]-Buckets_9_23[[#This Row],[After T]]</f>
        <v>100</v>
      </c>
      <c r="O27" s="29">
        <f>IF(Buckets_9_23[[#This Row],[After T]]&lt;0, Buckets_9_23[[#This Row],[After T]], IF(Buckets_9_23[[#This Row],[Cap Diff]]&lt;0, -Buckets_9_23[[#This Row],[Cap Diff]], 0))</f>
        <v>0</v>
      </c>
      <c r="P27" s="29">
        <f>Buckets_9_23[[#This Row],[After T]]-Buckets_9_23[[#This Row],[Slush]]</f>
        <v>0</v>
      </c>
      <c r="Q27" s="29">
        <f>Buckets_9_23[[#This Row],[Capacity]]-Buckets_9_23[[#This Row],[Before Fill]]</f>
        <v>100</v>
      </c>
      <c r="R27" t="b">
        <f t="shared" si="0"/>
        <v>1</v>
      </c>
      <c r="S27" s="29">
        <f>IF(Buckets_9_23[[#This Row],[Is Crit]], Buckets_9_23[[#This Row],[S Cap Diff]], 0)</f>
        <v>100</v>
      </c>
      <c r="T27" s="29">
        <f>Buckets_9_23[[#This Row],[Before Fill]]+Buckets_9_23[[#This Row],[Crit To Fill]]</f>
        <v>100</v>
      </c>
      <c r="U27" s="29">
        <f>IF(NOT(Buckets_9_23[[#This Row],[Is Crit]]), Buckets_9_23[[#This Row],[S Cap Diff]], 0)</f>
        <v>0</v>
      </c>
      <c r="V27" s="31">
        <f>T$41/Buckets_9_23[[#Totals],[NC To Fill]]*Buckets_9_23[[#This Row],[NC To Fill]]</f>
        <v>0</v>
      </c>
      <c r="W27" s="31">
        <f>Buckets_9_23[[#This Row],[Crit Filled]]+Buckets_9_23[[#This Row],[Scaled]]</f>
        <v>100</v>
      </c>
      <c r="X27" s="31">
        <f>Buckets_9_23[[#This Row],[NC Filled]]</f>
        <v>100</v>
      </c>
      <c r="Y27" s="31">
        <f>Buckets_9_23[[#This Row],[Capacity]]-Buckets_9_23[[#This Row],[Final]]</f>
        <v>0</v>
      </c>
      <c r="Z27" s="33">
        <f>IF(Buckets_9_23[[#This Row],[Capacity]]=0, 1, Buckets_9_23[[#This Row],[Final]]/Buckets_9_23[[#This Row],[Capacity]])</f>
        <v>1</v>
      </c>
      <c r="AB27" s="31">
        <f>Buckets_9_23[[#This Row],[Final]]</f>
        <v>100</v>
      </c>
      <c r="AC27" s="31">
        <f>Buckets_9_23[[#This Row],[Capacity]]</f>
        <v>100</v>
      </c>
      <c r="AD27" t="b">
        <f t="shared" si="13"/>
        <v>1</v>
      </c>
      <c r="AE27" s="43" t="e">
        <f>NA()</f>
        <v>#N/A</v>
      </c>
      <c r="AF27" s="42"/>
      <c r="AG27" s="43" t="e">
        <f>NA()</f>
        <v>#N/A</v>
      </c>
      <c r="AH27" s="42"/>
      <c r="AI27" s="43"/>
      <c r="AJ27" s="31">
        <f t="shared" si="14"/>
        <v>100</v>
      </c>
      <c r="AK27" s="31">
        <f t="shared" si="15"/>
        <v>100</v>
      </c>
      <c r="AL27" t="b">
        <f t="shared" si="16"/>
        <v>1</v>
      </c>
      <c r="AN27" s="29">
        <f t="shared" si="17"/>
        <v>100</v>
      </c>
      <c r="AO27" s="29">
        <f>GetTransactionTotal(AggregateTable2023[], AggregateTable2023[Start], AN$1, AggregateTable2023[#Headers], $D27)</f>
        <v>0</v>
      </c>
      <c r="AP27" s="29">
        <f>Buckets_10_23[[#This Row],[Start]]+Buckets_10_23[[#This Row],[Transactions]]</f>
        <v>100</v>
      </c>
      <c r="AQ27" s="29">
        <f t="shared" si="18"/>
        <v>100</v>
      </c>
      <c r="AR27" s="29">
        <f>Buckets_10_23[[#This Row],[Capacity]]-Buckets_10_23[[#This Row],[After T]]</f>
        <v>0</v>
      </c>
      <c r="AS27" s="29">
        <f>MAX(-Buckets_10_23[[#This Row],[Cap Diff]], 0)</f>
        <v>0</v>
      </c>
      <c r="AT27" s="29">
        <f>Buckets_10_23[[#This Row],[After T]]-Buckets_10_23[[#This Row],[Slush]]</f>
        <v>100</v>
      </c>
      <c r="AU27" s="29">
        <f>Buckets_10_23[[#This Row],[Capacity]]-Buckets_10_23[[#This Row],[Before Fill]]</f>
        <v>0</v>
      </c>
      <c r="AV27" t="b">
        <f>OR(AL27, Buckets_10_23[[#This Row],[After T]]&lt;0)</f>
        <v>1</v>
      </c>
      <c r="AW27" s="29">
        <f>IF(Buckets_10_23[[#This Row],[Is Crit]], Buckets_10_23[[#This Row],[S Cap Diff]], 0)</f>
        <v>0</v>
      </c>
      <c r="AX27" s="29">
        <f>Buckets_10_23[[#This Row],[Before Fill]]+Buckets_10_23[[#This Row],[Crit To Fill]]</f>
        <v>100</v>
      </c>
      <c r="AY27" s="29">
        <f>IF(NOT(Buckets_10_23[[#This Row],[Is Crit]]), Buckets_10_23[[#This Row],[S Cap Diff]], 0)</f>
        <v>0</v>
      </c>
      <c r="AZ27" s="31">
        <f>AX$41/Buckets_10_23[[#Totals],[NC To Fill]]*Buckets_10_23[[#This Row],[NC To Fill]]</f>
        <v>0</v>
      </c>
      <c r="BA27" s="31">
        <f>Buckets_10_23[[#This Row],[Crit Filled]]+Buckets_10_23[[#This Row],[Scaled]]</f>
        <v>100</v>
      </c>
      <c r="BB27" s="31">
        <f>Buckets_10_23[[#This Row],[NC Filled]]</f>
        <v>100</v>
      </c>
      <c r="BC27" s="31">
        <f>Buckets_10_23[[#This Row],[Capacity]]-Buckets_10_23[[#This Row],[Final]]</f>
        <v>0</v>
      </c>
      <c r="BD27" s="33">
        <f>IF(Buckets_10_23[[#This Row],[Capacity]]=0, 1, Buckets_10_23[[#This Row],[Final]]/Buckets_10_23[[#This Row],[Capacity]])</f>
        <v>1</v>
      </c>
      <c r="BF27" s="31">
        <f>Buckets_10_23[[#This Row],[Final]]</f>
        <v>100</v>
      </c>
      <c r="BG27" s="31">
        <f>Buckets_10_23[[#This Row],[Capacity]]</f>
        <v>100</v>
      </c>
      <c r="BH27" t="b">
        <f t="shared" si="19"/>
        <v>1</v>
      </c>
      <c r="BI27" s="43" t="e">
        <f>NA()</f>
        <v>#N/A</v>
      </c>
      <c r="BJ27" s="42"/>
      <c r="BK27" s="43" t="e">
        <f>NA()</f>
        <v>#N/A</v>
      </c>
      <c r="BL27" s="42"/>
      <c r="BM27" s="43"/>
      <c r="BN27" s="31">
        <f t="shared" si="20"/>
        <v>100</v>
      </c>
      <c r="BO27" s="31">
        <f t="shared" si="1"/>
        <v>100</v>
      </c>
      <c r="BP27" t="b">
        <f t="shared" si="2"/>
        <v>1</v>
      </c>
      <c r="BR27" s="29">
        <f t="shared" si="21"/>
        <v>100</v>
      </c>
      <c r="BS27" s="29">
        <f>GetTransactionTotal(AggregateTable2023[], AggregateTable2023[Start], BR$1, AggregateTable2023[#Headers], $D27)</f>
        <v>0</v>
      </c>
      <c r="BT27" s="29">
        <f>Buckets_11_23[[#This Row],[Start]]+Buckets_11_23[[#This Row],[Transactions]]</f>
        <v>100</v>
      </c>
      <c r="BU27" s="29">
        <f t="shared" si="22"/>
        <v>100</v>
      </c>
      <c r="BV27" s="29">
        <f>Buckets_11_23[[#This Row],[Capacity]]-Buckets_11_23[[#This Row],[After T]]</f>
        <v>0</v>
      </c>
      <c r="BW27" s="29">
        <f>MAX(-Buckets_11_23[[#This Row],[Cap Diff]], 0)</f>
        <v>0</v>
      </c>
      <c r="BX27" s="29">
        <f>Buckets_11_23[[#This Row],[After T]]-Buckets_11_23[[#This Row],[Slush]]</f>
        <v>100</v>
      </c>
      <c r="BY27" s="29">
        <f>Buckets_11_23[[#This Row],[Capacity]]-Buckets_11_23[[#This Row],[Before Fill]]</f>
        <v>0</v>
      </c>
      <c r="BZ27" t="b">
        <f>OR(BP27, Buckets_11_23[[#This Row],[After T]]&lt;0)</f>
        <v>1</v>
      </c>
      <c r="CA27" s="29">
        <f>IF(Buckets_11_23[[#This Row],[Is Crit]], Buckets_11_23[[#This Row],[S Cap Diff]], 0)</f>
        <v>0</v>
      </c>
      <c r="CB27" s="29">
        <f>Buckets_11_23[[#This Row],[Before Fill]]+Buckets_11_23[[#This Row],[Crit To Fill]]</f>
        <v>100</v>
      </c>
      <c r="CC27" s="29">
        <f>IF(NOT(Buckets_11_23[[#This Row],[Is Crit]]), Buckets_11_23[[#This Row],[S Cap Diff]], 0)</f>
        <v>0</v>
      </c>
      <c r="CD27" s="31">
        <f>CB$41/Buckets_11_23[[#Totals],[NC To Fill]]*Buckets_11_23[[#This Row],[NC To Fill]]</f>
        <v>0</v>
      </c>
      <c r="CE27" s="31">
        <f>Buckets_11_23[[#This Row],[Crit Filled]]+Buckets_11_23[[#This Row],[Scaled]]</f>
        <v>100</v>
      </c>
      <c r="CF27" s="31">
        <f>Buckets_11_23[[#This Row],[NC Filled]]</f>
        <v>100</v>
      </c>
      <c r="CG27" s="31">
        <f>Buckets_11_23[[#This Row],[Capacity]]-Buckets_11_23[[#This Row],[Final]]</f>
        <v>0</v>
      </c>
      <c r="CH27" s="33">
        <f>IF(Buckets_11_23[[#This Row],[Capacity]]=0, 1, Buckets_11_23[[#This Row],[Final]]/Buckets_11_23[[#This Row],[Capacity]])</f>
        <v>1</v>
      </c>
      <c r="CJ27" s="40">
        <f>Buckets_11_23[[#This Row],[Final]]</f>
        <v>100</v>
      </c>
      <c r="CK27" s="40">
        <f>Buckets_11_23[[#This Row],[Capacity]]</f>
        <v>100</v>
      </c>
      <c r="CL27" s="41" t="b">
        <f t="shared" si="23"/>
        <v>1</v>
      </c>
      <c r="CM27" s="42"/>
      <c r="CN27" s="42"/>
      <c r="CO27" s="42" t="e">
        <f>NA()</f>
        <v>#N/A</v>
      </c>
      <c r="CP27" s="42"/>
      <c r="CQ27" s="43"/>
      <c r="CR27" s="40">
        <f t="shared" si="24"/>
        <v>100</v>
      </c>
      <c r="CS27" s="40">
        <f t="shared" si="3"/>
        <v>100</v>
      </c>
      <c r="CT27" s="41" t="b">
        <f t="shared" si="4"/>
        <v>1</v>
      </c>
      <c r="CV27" s="29">
        <f t="shared" si="25"/>
        <v>100</v>
      </c>
      <c r="CW27" s="29">
        <f>GetTransactionTotal(AggregateTable2023[], AggregateTable2023[Start], CV$1, AggregateTable2023[#Headers], $D27)</f>
        <v>0</v>
      </c>
      <c r="CX27" s="29">
        <f>Buckets_12_23[[#This Row],[Start]]+Buckets_12_23[[#This Row],[Transactions]]</f>
        <v>100</v>
      </c>
      <c r="CY27" s="29">
        <f t="shared" si="26"/>
        <v>100</v>
      </c>
      <c r="CZ27" s="29">
        <f>Buckets_12_23[[#This Row],[Capacity]]-Buckets_12_23[[#This Row],[After T]]</f>
        <v>0</v>
      </c>
      <c r="DA27" s="29">
        <f>MAX(-Buckets_12_23[[#This Row],[Cap Diff]], 0)</f>
        <v>0</v>
      </c>
      <c r="DB27" s="29">
        <f>Buckets_12_23[[#This Row],[After T]]-Buckets_12_23[[#This Row],[Slush]]</f>
        <v>100</v>
      </c>
      <c r="DC27" s="29">
        <f>Buckets_12_23[[#This Row],[Capacity]]-Buckets_12_23[[#This Row],[Before Fill]]</f>
        <v>0</v>
      </c>
      <c r="DD27" t="b">
        <f>OR(CT27, Buckets_12_23[[#This Row],[After T]]&lt;0)</f>
        <v>1</v>
      </c>
      <c r="DE27" s="29">
        <f>IF(Buckets_12_23[[#This Row],[Is Crit]], Buckets_12_23[[#This Row],[S Cap Diff]], 0)</f>
        <v>0</v>
      </c>
      <c r="DF27" s="29">
        <f>Buckets_12_23[[#This Row],[Before Fill]]+Buckets_12_23[[#This Row],[Crit To Fill]]</f>
        <v>100</v>
      </c>
      <c r="DG27" s="29">
        <f>IF(NOT(Buckets_12_23[[#This Row],[Is Crit]]), Buckets_12_23[[#This Row],[S Cap Diff]], 0)</f>
        <v>0</v>
      </c>
      <c r="DH27" s="31">
        <f>DF$41/Buckets_12_23[[#Totals],[NC To Fill]]*Buckets_12_23[[#This Row],[NC To Fill]]</f>
        <v>0</v>
      </c>
      <c r="DI27" s="31">
        <f>Buckets_12_23[[#This Row],[Crit Filled]]+Buckets_12_23[[#This Row],[Scaled]]</f>
        <v>100</v>
      </c>
      <c r="DJ27" s="31">
        <f>Buckets_12_23[[#This Row],[NC Filled]]</f>
        <v>100</v>
      </c>
      <c r="DK27" s="31">
        <f>Buckets_12_23[[#This Row],[Capacity]]-Buckets_12_23[[#This Row],[Final]]</f>
        <v>0</v>
      </c>
      <c r="DL27" s="33">
        <f>IF(Buckets_12_23[[#This Row],[Capacity]]=0, 1, Buckets_12_23[[#This Row],[Final]]/Buckets_12_23[[#This Row],[Capacity]])</f>
        <v>1</v>
      </c>
      <c r="DN27" s="40">
        <f>Buckets_12_23[[#This Row],[Final]]</f>
        <v>100</v>
      </c>
      <c r="DO27" s="40">
        <f>Buckets_12_23[[#This Row],[Capacity]]</f>
        <v>100</v>
      </c>
      <c r="DP27" s="41" t="b">
        <f t="shared" si="27"/>
        <v>1</v>
      </c>
      <c r="DQ27" s="42"/>
      <c r="DR27" s="42"/>
      <c r="DS27" s="42" t="e">
        <f>NA()</f>
        <v>#N/A</v>
      </c>
      <c r="DT27" s="42"/>
      <c r="DU27" s="43"/>
      <c r="DV27" s="40">
        <f t="shared" si="28"/>
        <v>100</v>
      </c>
      <c r="DW27" s="40">
        <f t="shared" si="5"/>
        <v>100</v>
      </c>
      <c r="DX27" s="41" t="b">
        <f t="shared" si="6"/>
        <v>1</v>
      </c>
      <c r="DZ27" s="29">
        <f t="shared" si="29"/>
        <v>100</v>
      </c>
      <c r="EA27" s="29">
        <f>GetTransactionTotal(AggregateTable2024[], AggregateTable2024[Start], DZ$1, AggregateTable2024[#Headers], $D27)</f>
        <v>0</v>
      </c>
      <c r="EB27" s="29">
        <f>Buckets_1_24[[#This Row],[Start]]+Buckets_1_24[[#This Row],[Transactions]]</f>
        <v>100</v>
      </c>
      <c r="EC27" s="29">
        <f t="shared" si="30"/>
        <v>100</v>
      </c>
      <c r="ED27" s="29">
        <f>Buckets_1_24[[#This Row],[Capacity]]-Buckets_1_24[[#This Row],[After T]]</f>
        <v>0</v>
      </c>
      <c r="EE27" s="29">
        <f>MAX(-Buckets_1_24[[#This Row],[Cap Diff]], 0)</f>
        <v>0</v>
      </c>
      <c r="EF27" s="29">
        <f>Buckets_1_24[[#This Row],[After T]]-Buckets_1_24[[#This Row],[Slush]]</f>
        <v>100</v>
      </c>
      <c r="EG27" s="29">
        <f>Buckets_1_24[[#This Row],[Capacity]]-Buckets_1_24[[#This Row],[Before Fill]]</f>
        <v>0</v>
      </c>
      <c r="EH27" t="b">
        <f>OR(DX27, Buckets_1_24[[#This Row],[After T]]&lt;0)</f>
        <v>1</v>
      </c>
      <c r="EI27" s="29">
        <f>IF(Buckets_1_24[[#This Row],[Is Crit]], Buckets_1_24[[#This Row],[S Cap Diff]], 0)</f>
        <v>0</v>
      </c>
      <c r="EJ27" s="29">
        <f>Buckets_1_24[[#This Row],[Before Fill]]+Buckets_1_24[[#This Row],[Crit To Fill]]</f>
        <v>100</v>
      </c>
      <c r="EK27" s="29">
        <f>IF(NOT(Buckets_1_24[[#This Row],[Is Crit]]), Buckets_1_24[[#This Row],[S Cap Diff]], 0)</f>
        <v>0</v>
      </c>
      <c r="EL27" s="31">
        <f>EJ$41/Buckets_1_24[[#Totals],[NC To Fill]]*Buckets_1_24[[#This Row],[NC To Fill]]</f>
        <v>0</v>
      </c>
      <c r="EM27" s="31">
        <f>Buckets_1_24[[#This Row],[Crit Filled]]+Buckets_1_24[[#This Row],[Scaled]]</f>
        <v>100</v>
      </c>
      <c r="EN27" s="31">
        <f>Buckets_1_24[[#This Row],[NC Filled]]</f>
        <v>100</v>
      </c>
      <c r="EO27" s="31">
        <f>Buckets_1_24[[#This Row],[Capacity]]-Buckets_1_24[[#This Row],[Final]]</f>
        <v>0</v>
      </c>
      <c r="EP27" s="33">
        <f>IF(Buckets_1_24[[#This Row],[Capacity]]=0, 1, Buckets_1_24[[#This Row],[Final]]/Buckets_1_24[[#This Row],[Capacity]])</f>
        <v>1</v>
      </c>
      <c r="ER27" s="40">
        <f>Buckets_1_24[[#This Row],[Final]]</f>
        <v>100</v>
      </c>
      <c r="ES27" s="40">
        <f>Buckets_1_24[[#This Row],[Capacity]]</f>
        <v>100</v>
      </c>
      <c r="ET27" s="41" t="b">
        <f t="shared" si="31"/>
        <v>1</v>
      </c>
      <c r="EU27" s="42"/>
      <c r="EV27" s="42"/>
      <c r="EW27" s="42"/>
      <c r="EX27" s="42"/>
      <c r="EY27" s="43"/>
      <c r="EZ27" s="40">
        <f t="shared" si="32"/>
        <v>100</v>
      </c>
      <c r="FA27" s="40">
        <f t="shared" si="33"/>
        <v>100</v>
      </c>
      <c r="FB27" s="41" t="b">
        <f t="shared" si="7"/>
        <v>1</v>
      </c>
      <c r="FD27" s="29">
        <f t="shared" si="34"/>
        <v>100</v>
      </c>
      <c r="FE27" s="29">
        <f>GetTransactionTotal(AggregateTable2024[], AggregateTable2024[Start], FD$1, AggregateTable2024[#Headers], $D27)</f>
        <v>0</v>
      </c>
      <c r="FF27" s="29">
        <f>Buckets_2_24[[#This Row],[Start]]+Buckets_2_24[[#This Row],[Transactions]]</f>
        <v>100</v>
      </c>
      <c r="FG27" s="29">
        <f t="shared" si="35"/>
        <v>100</v>
      </c>
      <c r="FH27" s="29">
        <f>Buckets_2_24[[#This Row],[Capacity]]-Buckets_2_24[[#This Row],[After T]]</f>
        <v>0</v>
      </c>
      <c r="FI27" s="29">
        <f>MAX(-Buckets_2_24[[#This Row],[Cap Diff]], 0)</f>
        <v>0</v>
      </c>
      <c r="FJ27" s="29">
        <f>Buckets_2_24[[#This Row],[After T]]-Buckets_2_24[[#This Row],[Slush]]</f>
        <v>100</v>
      </c>
      <c r="FK27" s="29">
        <f>Buckets_2_24[[#This Row],[Capacity]]-Buckets_2_24[[#This Row],[Before Fill]]</f>
        <v>0</v>
      </c>
      <c r="FL27" t="b">
        <f>OR(FB27, Buckets_2_24[[#This Row],[After T]]&lt;0)</f>
        <v>1</v>
      </c>
      <c r="FM27" s="29">
        <f>IF(Buckets_2_24[[#This Row],[Is Crit]], Buckets_2_24[[#This Row],[S Cap Diff]], 0)</f>
        <v>0</v>
      </c>
      <c r="FN27" s="29">
        <f>Buckets_2_24[[#This Row],[Before Fill]]+Buckets_2_24[[#This Row],[Crit To Fill]]</f>
        <v>100</v>
      </c>
      <c r="FO27" s="29">
        <f>IF(NOT(Buckets_2_24[[#This Row],[Is Crit]]), Buckets_2_24[[#This Row],[S Cap Diff]], 0)</f>
        <v>0</v>
      </c>
      <c r="FP27" s="31">
        <f>FN$41/Buckets_2_24[[#Totals],[NC To Fill]]*Buckets_2_24[[#This Row],[NC To Fill]]</f>
        <v>0</v>
      </c>
      <c r="FQ27" s="31">
        <f>Buckets_2_24[[#This Row],[Crit Filled]]+Buckets_2_24[[#This Row],[Scaled]]</f>
        <v>100</v>
      </c>
      <c r="FR27" s="31">
        <f>Buckets_2_24[[#This Row],[NC Filled]]</f>
        <v>100</v>
      </c>
      <c r="FS27" s="31">
        <f>Buckets_2_24[[#This Row],[Capacity]]-Buckets_2_24[[#This Row],[Final]]</f>
        <v>0</v>
      </c>
      <c r="FT27" s="33">
        <f>IF(Buckets_2_24[[#This Row],[Capacity]]=0, 1, Buckets_2_24[[#This Row],[Final]]/Buckets_2_24[[#This Row],[Capacity]])</f>
        <v>1</v>
      </c>
      <c r="FV27" s="40">
        <f>Buckets_2_24[[#This Row],[Final]]</f>
        <v>100</v>
      </c>
      <c r="FW27" s="40">
        <f>Buckets_2_24[[#This Row],[Capacity]]</f>
        <v>100</v>
      </c>
      <c r="FX27" s="41" t="b">
        <f t="shared" si="36"/>
        <v>1</v>
      </c>
      <c r="FY27" s="42"/>
      <c r="FZ27" s="42"/>
      <c r="GA27" s="42"/>
      <c r="GB27" s="42"/>
      <c r="GC27" s="43"/>
      <c r="GD27" s="40">
        <f t="shared" si="37"/>
        <v>100</v>
      </c>
      <c r="GE27" s="40">
        <f t="shared" si="38"/>
        <v>100</v>
      </c>
      <c r="GF27" s="41" t="b">
        <f t="shared" si="8"/>
        <v>1</v>
      </c>
      <c r="GH27" s="29">
        <f t="shared" si="39"/>
        <v>100</v>
      </c>
      <c r="GI27" s="29">
        <f>GetTransactionTotal(AggregateTable2024[], AggregateTable2024[Start], GH$1, AggregateTable2024[#Headers], $D27)</f>
        <v>0</v>
      </c>
      <c r="GJ27" s="29">
        <f>Buckets_3_24[[#This Row],[Start]]+Buckets_3_24[[#This Row],[Transactions]]</f>
        <v>100</v>
      </c>
      <c r="GK27" s="29">
        <f t="shared" si="40"/>
        <v>100</v>
      </c>
      <c r="GL27" s="29">
        <f>Buckets_3_24[[#This Row],[Capacity]]-Buckets_3_24[[#This Row],[After T]]</f>
        <v>0</v>
      </c>
      <c r="GM27" s="29">
        <f>MAX(-Buckets_3_24[[#This Row],[Cap Diff]], 0)</f>
        <v>0</v>
      </c>
      <c r="GN27" s="29">
        <f>Buckets_3_24[[#This Row],[After T]]-Buckets_3_24[[#This Row],[Slush]]</f>
        <v>100</v>
      </c>
      <c r="GO27" s="29">
        <f>Buckets_3_24[[#This Row],[Capacity]]-Buckets_3_24[[#This Row],[Before Fill]]</f>
        <v>0</v>
      </c>
      <c r="GP27" t="b">
        <f>OR(GF27, Buckets_3_24[[#This Row],[After T]]&lt;0)</f>
        <v>1</v>
      </c>
      <c r="GQ27" s="29">
        <f>IF(Buckets_3_24[[#This Row],[Is Crit]], Buckets_3_24[[#This Row],[S Cap Diff]], 0)</f>
        <v>0</v>
      </c>
      <c r="GR27" s="29">
        <f>Buckets_3_24[[#This Row],[Before Fill]]+Buckets_3_24[[#This Row],[Crit To Fill]]</f>
        <v>100</v>
      </c>
      <c r="GS27" s="29">
        <f>IF(NOT(Buckets_3_24[[#This Row],[Is Crit]]), Buckets_3_24[[#This Row],[S Cap Diff]], 0)</f>
        <v>0</v>
      </c>
      <c r="GT27" s="31">
        <f>GR$41/Buckets_3_24[[#Totals],[NC To Fill]]*Buckets_3_24[[#This Row],[NC To Fill]]</f>
        <v>0</v>
      </c>
      <c r="GU27" s="31">
        <f>Buckets_3_24[[#This Row],[Crit Filled]]+Buckets_3_24[[#This Row],[Scaled]]</f>
        <v>100</v>
      </c>
      <c r="GV27" s="31">
        <f>Buckets_3_24[[#This Row],[NC Filled]]</f>
        <v>100</v>
      </c>
      <c r="GW27" s="31">
        <f>Buckets_3_24[[#This Row],[Capacity]]-Buckets_3_24[[#This Row],[Final]]</f>
        <v>0</v>
      </c>
      <c r="GX27" s="33">
        <f>IF(Buckets_3_24[[#This Row],[Capacity]]=0, 1, Buckets_3_24[[#This Row],[Final]]/Buckets_3_24[[#This Row],[Capacity]])</f>
        <v>1</v>
      </c>
      <c r="GZ27" s="40">
        <f>Buckets_3_24[[#This Row],[Final]]</f>
        <v>100</v>
      </c>
      <c r="HA27" s="40">
        <f>Buckets_3_24[[#This Row],[Capacity]]</f>
        <v>100</v>
      </c>
      <c r="HB27" s="41" t="b">
        <f t="shared" si="41"/>
        <v>1</v>
      </c>
      <c r="HC27" s="42"/>
      <c r="HD27" s="42"/>
      <c r="HE27" s="42"/>
      <c r="HF27" s="42"/>
      <c r="HG27" s="43"/>
      <c r="HH27" s="40">
        <f t="shared" si="42"/>
        <v>100</v>
      </c>
      <c r="HI27" s="40">
        <f t="shared" si="43"/>
        <v>100</v>
      </c>
      <c r="HJ27" s="41" t="b">
        <f t="shared" si="9"/>
        <v>1</v>
      </c>
      <c r="HL27" s="29">
        <f t="shared" si="44"/>
        <v>100</v>
      </c>
      <c r="HM27" s="29">
        <f>GetTransactionTotal(AggregateTable2024[], AggregateTable2024[Start], HL$1, AggregateTable2024[#Headers], $D27)</f>
        <v>0</v>
      </c>
      <c r="HN27" s="29">
        <f>Buckets_4_24[[#This Row],[Start]]+Buckets_4_24[[#This Row],[Transactions]]</f>
        <v>100</v>
      </c>
      <c r="HO27" s="29">
        <f t="shared" si="45"/>
        <v>100</v>
      </c>
      <c r="HP27" s="29">
        <f>Buckets_4_24[[#This Row],[Capacity]]-Buckets_4_24[[#This Row],[After T]]</f>
        <v>0</v>
      </c>
      <c r="HQ27" s="29">
        <f>MAX(-Buckets_4_24[[#This Row],[Cap Diff]], 0)</f>
        <v>0</v>
      </c>
      <c r="HR27" s="29">
        <f>Buckets_4_24[[#This Row],[After T]]-Buckets_4_24[[#This Row],[Slush]]</f>
        <v>100</v>
      </c>
      <c r="HS27" s="29">
        <f>Buckets_4_24[[#This Row],[Capacity]]-Buckets_4_24[[#This Row],[Before Fill]]</f>
        <v>0</v>
      </c>
      <c r="HT27" t="b">
        <f>OR(HJ27, Buckets_4_24[[#This Row],[After T]]&lt;0)</f>
        <v>1</v>
      </c>
      <c r="HU27" s="29">
        <f>IF(Buckets_4_24[[#This Row],[Is Crit]], Buckets_4_24[[#This Row],[S Cap Diff]], 0)</f>
        <v>0</v>
      </c>
      <c r="HV27" s="29">
        <f>Buckets_4_24[[#This Row],[Before Fill]]+Buckets_4_24[[#This Row],[Crit To Fill]]</f>
        <v>100</v>
      </c>
      <c r="HW27" s="29">
        <f>IF(NOT(Buckets_4_24[[#This Row],[Is Crit]]), Buckets_4_24[[#This Row],[S Cap Diff]], 0)</f>
        <v>0</v>
      </c>
      <c r="HX27" s="31">
        <f>HV$41/Buckets_4_24[[#Totals],[NC To Fill]]*Buckets_4_24[[#This Row],[NC To Fill]]</f>
        <v>0</v>
      </c>
      <c r="HY27" s="31">
        <f>Buckets_4_24[[#This Row],[Crit Filled]]+Buckets_4_24[[#This Row],[Scaled]]</f>
        <v>100</v>
      </c>
      <c r="HZ27" s="31">
        <f>Buckets_4_24[[#This Row],[NC Filled]]</f>
        <v>100</v>
      </c>
      <c r="IA27" s="31">
        <f>Buckets_4_24[[#This Row],[Capacity]]-Buckets_4_24[[#This Row],[Final]]</f>
        <v>0</v>
      </c>
      <c r="IB27" s="33">
        <f>IF(Buckets_4_24[[#This Row],[Capacity]]=0, 1, Buckets_4_24[[#This Row],[Final]]/Buckets_4_24[[#This Row],[Capacity]])</f>
        <v>1</v>
      </c>
      <c r="ID27" s="40">
        <f>Buckets_4_24[[#This Row],[Final]]</f>
        <v>100</v>
      </c>
      <c r="IE27" s="40">
        <f>Buckets_4_24[[#This Row],[Capacity]]</f>
        <v>100</v>
      </c>
      <c r="IF27" s="41" t="b">
        <f t="shared" si="46"/>
        <v>1</v>
      </c>
      <c r="IG27" s="42"/>
      <c r="IH27" s="42"/>
      <c r="II27" s="42"/>
      <c r="IJ27" s="42"/>
      <c r="IK27" s="43"/>
      <c r="IL27" s="40">
        <f t="shared" si="47"/>
        <v>100</v>
      </c>
      <c r="IM27" s="40">
        <f t="shared" si="48"/>
        <v>100</v>
      </c>
      <c r="IN27" s="41" t="b">
        <f t="shared" si="10"/>
        <v>1</v>
      </c>
    </row>
    <row r="28" spans="1:248" x14ac:dyDescent="0.25">
      <c r="A28" s="49"/>
      <c r="B28" t="s">
        <v>321</v>
      </c>
      <c r="C28" t="s">
        <v>303</v>
      </c>
      <c r="D28" t="s">
        <v>303</v>
      </c>
      <c r="F28" s="30">
        <v>100</v>
      </c>
      <c r="G28" s="38">
        <v>250</v>
      </c>
      <c r="H28" t="b">
        <v>0</v>
      </c>
      <c r="J28" s="29">
        <f t="shared" si="11"/>
        <v>100</v>
      </c>
      <c r="K28" s="29">
        <f>GetTransactionTotal(AggregateTable2023[], AggregateTable2023[Start], J$1, AggregateTable2023[#Headers], $D28)</f>
        <v>0</v>
      </c>
      <c r="L28" s="29">
        <f>Buckets_9_23[[#This Row],[Start]]+Buckets_9_23[[#This Row],[Transactions]]</f>
        <v>100</v>
      </c>
      <c r="M28" s="29">
        <f t="shared" si="12"/>
        <v>250</v>
      </c>
      <c r="N28" s="29">
        <f>Buckets_9_23[[#This Row],[Capacity]]-Buckets_9_23[[#This Row],[After T]]</f>
        <v>150</v>
      </c>
      <c r="O28" s="29">
        <f>IF(Buckets_9_23[[#This Row],[After T]]&lt;0, Buckets_9_23[[#This Row],[After T]], IF(Buckets_9_23[[#This Row],[Cap Diff]]&lt;0, -Buckets_9_23[[#This Row],[Cap Diff]], 0))</f>
        <v>0</v>
      </c>
      <c r="P28" s="29">
        <f>Buckets_9_23[[#This Row],[After T]]-Buckets_9_23[[#This Row],[Slush]]</f>
        <v>100</v>
      </c>
      <c r="Q28" s="29">
        <f>Buckets_9_23[[#This Row],[Capacity]]-Buckets_9_23[[#This Row],[Before Fill]]</f>
        <v>150</v>
      </c>
      <c r="R28" t="b">
        <f t="shared" si="0"/>
        <v>0</v>
      </c>
      <c r="S28" s="29">
        <f>IF(Buckets_9_23[[#This Row],[Is Crit]], Buckets_9_23[[#This Row],[S Cap Diff]], 0)</f>
        <v>0</v>
      </c>
      <c r="T28" s="29">
        <f>Buckets_9_23[[#This Row],[Before Fill]]+Buckets_9_23[[#This Row],[Crit To Fill]]</f>
        <v>100</v>
      </c>
      <c r="U28" s="29">
        <f>IF(NOT(Buckets_9_23[[#This Row],[Is Crit]]), Buckets_9_23[[#This Row],[S Cap Diff]], 0)</f>
        <v>150</v>
      </c>
      <c r="V28" s="31">
        <f>T$41/Buckets_9_23[[#Totals],[NC To Fill]]*Buckets_9_23[[#This Row],[NC To Fill]]</f>
        <v>130.92263956449588</v>
      </c>
      <c r="W28" s="31">
        <f>Buckets_9_23[[#This Row],[Crit Filled]]+Buckets_9_23[[#This Row],[Scaled]]</f>
        <v>230.92263956449588</v>
      </c>
      <c r="X28" s="31">
        <f>Buckets_9_23[[#This Row],[NC Filled]]</f>
        <v>230.92263956449588</v>
      </c>
      <c r="Y28" s="31">
        <f>Buckets_9_23[[#This Row],[Capacity]]-Buckets_9_23[[#This Row],[Final]]</f>
        <v>19.077360435504119</v>
      </c>
      <c r="Z28" s="33">
        <f>IF(Buckets_9_23[[#This Row],[Capacity]]=0, 1, Buckets_9_23[[#This Row],[Final]]/Buckets_9_23[[#This Row],[Capacity]])</f>
        <v>0.92369055825798352</v>
      </c>
      <c r="AB28" s="31">
        <f>Buckets_9_23[[#This Row],[Final]]</f>
        <v>230.92263956449588</v>
      </c>
      <c r="AC28" s="31">
        <f>Buckets_9_23[[#This Row],[Capacity]]</f>
        <v>250</v>
      </c>
      <c r="AD28" t="b">
        <f t="shared" si="13"/>
        <v>0</v>
      </c>
      <c r="AE28" s="43" t="e">
        <f>NA()</f>
        <v>#N/A</v>
      </c>
      <c r="AF28" s="42"/>
      <c r="AG28" s="43" t="e">
        <f>NA()</f>
        <v>#N/A</v>
      </c>
      <c r="AH28" s="42"/>
      <c r="AI28" s="43"/>
      <c r="AJ28" s="31">
        <f t="shared" si="14"/>
        <v>230.92263956449588</v>
      </c>
      <c r="AK28" s="31">
        <f t="shared" si="15"/>
        <v>250</v>
      </c>
      <c r="AL28" t="b">
        <f t="shared" si="16"/>
        <v>0</v>
      </c>
      <c r="AN28" s="29">
        <f t="shared" si="17"/>
        <v>230.92263956449588</v>
      </c>
      <c r="AO28" s="29">
        <f>GetTransactionTotal(AggregateTable2023[], AggregateTable2023[Start], AN$1, AggregateTable2023[#Headers], $D28)</f>
        <v>-100</v>
      </c>
      <c r="AP28" s="29">
        <f>Buckets_10_23[[#This Row],[Start]]+Buckets_10_23[[#This Row],[Transactions]]</f>
        <v>130.92263956449588</v>
      </c>
      <c r="AQ28" s="29">
        <f t="shared" si="18"/>
        <v>250</v>
      </c>
      <c r="AR28" s="29">
        <f>Buckets_10_23[[#This Row],[Capacity]]-Buckets_10_23[[#This Row],[After T]]</f>
        <v>119.07736043550412</v>
      </c>
      <c r="AS28" s="29">
        <f>MAX(-Buckets_10_23[[#This Row],[Cap Diff]], 0)</f>
        <v>0</v>
      </c>
      <c r="AT28" s="29">
        <f>Buckets_10_23[[#This Row],[After T]]-Buckets_10_23[[#This Row],[Slush]]</f>
        <v>130.92263956449588</v>
      </c>
      <c r="AU28" s="29">
        <f>Buckets_10_23[[#This Row],[Capacity]]-Buckets_10_23[[#This Row],[Before Fill]]</f>
        <v>119.07736043550412</v>
      </c>
      <c r="AV28" t="b">
        <f>OR(AL28, Buckets_10_23[[#This Row],[After T]]&lt;0)</f>
        <v>0</v>
      </c>
      <c r="AW28" s="29">
        <f>IF(Buckets_10_23[[#This Row],[Is Crit]], Buckets_10_23[[#This Row],[S Cap Diff]], 0)</f>
        <v>0</v>
      </c>
      <c r="AX28" s="29">
        <f>Buckets_10_23[[#This Row],[Before Fill]]+Buckets_10_23[[#This Row],[Crit To Fill]]</f>
        <v>130.92263956449588</v>
      </c>
      <c r="AY28" s="29">
        <f>IF(NOT(Buckets_10_23[[#This Row],[Is Crit]]), Buckets_10_23[[#This Row],[S Cap Diff]], 0)</f>
        <v>119.07736043550412</v>
      </c>
      <c r="AZ28" s="31">
        <f>AX$41/Buckets_10_23[[#Totals],[NC To Fill]]*Buckets_10_23[[#This Row],[NC To Fill]]</f>
        <v>70.728658187203266</v>
      </c>
      <c r="BA28" s="31">
        <f>Buckets_10_23[[#This Row],[Crit Filled]]+Buckets_10_23[[#This Row],[Scaled]]</f>
        <v>201.65129775169913</v>
      </c>
      <c r="BB28" s="31">
        <f>Buckets_10_23[[#This Row],[NC Filled]]</f>
        <v>201.65129775169913</v>
      </c>
      <c r="BC28" s="31">
        <f>Buckets_10_23[[#This Row],[Capacity]]-Buckets_10_23[[#This Row],[Final]]</f>
        <v>48.348702248300867</v>
      </c>
      <c r="BD28" s="33">
        <f>IF(Buckets_10_23[[#This Row],[Capacity]]=0, 1, Buckets_10_23[[#This Row],[Final]]/Buckets_10_23[[#This Row],[Capacity]])</f>
        <v>0.80660519100679651</v>
      </c>
      <c r="BF28" s="31">
        <f>Buckets_10_23[[#This Row],[Final]]</f>
        <v>201.65129775169913</v>
      </c>
      <c r="BG28" s="31">
        <f>Buckets_10_23[[#This Row],[Capacity]]</f>
        <v>250</v>
      </c>
      <c r="BH28" t="b">
        <f t="shared" si="19"/>
        <v>0</v>
      </c>
      <c r="BI28" s="43" t="e">
        <f>NA()</f>
        <v>#N/A</v>
      </c>
      <c r="BJ28" s="42"/>
      <c r="BK28" s="43" t="e">
        <f>NA()</f>
        <v>#N/A</v>
      </c>
      <c r="BL28" s="42"/>
      <c r="BM28" s="43"/>
      <c r="BN28" s="31">
        <f t="shared" si="20"/>
        <v>201.65129775169913</v>
      </c>
      <c r="BO28" s="31">
        <f t="shared" si="1"/>
        <v>250</v>
      </c>
      <c r="BP28" t="b">
        <f t="shared" si="2"/>
        <v>0</v>
      </c>
      <c r="BR28" s="29">
        <f t="shared" si="21"/>
        <v>201.65129775169913</v>
      </c>
      <c r="BS28" s="29">
        <f>GetTransactionTotal(AggregateTable2023[], AggregateTable2023[Start], BR$1, AggregateTable2023[#Headers], $D28)</f>
        <v>0</v>
      </c>
      <c r="BT28" s="29">
        <f>Buckets_11_23[[#This Row],[Start]]+Buckets_11_23[[#This Row],[Transactions]]</f>
        <v>201.65129775169913</v>
      </c>
      <c r="BU28" s="29">
        <f t="shared" si="22"/>
        <v>250</v>
      </c>
      <c r="BV28" s="29">
        <f>Buckets_11_23[[#This Row],[Capacity]]-Buckets_11_23[[#This Row],[After T]]</f>
        <v>48.348702248300867</v>
      </c>
      <c r="BW28" s="29">
        <f>MAX(-Buckets_11_23[[#This Row],[Cap Diff]], 0)</f>
        <v>0</v>
      </c>
      <c r="BX28" s="29">
        <f>Buckets_11_23[[#This Row],[After T]]-Buckets_11_23[[#This Row],[Slush]]</f>
        <v>201.65129775169913</v>
      </c>
      <c r="BY28" s="29">
        <f>Buckets_11_23[[#This Row],[Capacity]]-Buckets_11_23[[#This Row],[Before Fill]]</f>
        <v>48.348702248300867</v>
      </c>
      <c r="BZ28" t="b">
        <f>OR(BP28, Buckets_11_23[[#This Row],[After T]]&lt;0)</f>
        <v>0</v>
      </c>
      <c r="CA28" s="29">
        <f>IF(Buckets_11_23[[#This Row],[Is Crit]], Buckets_11_23[[#This Row],[S Cap Diff]], 0)</f>
        <v>0</v>
      </c>
      <c r="CB28" s="29">
        <f>Buckets_11_23[[#This Row],[Before Fill]]+Buckets_11_23[[#This Row],[Crit To Fill]]</f>
        <v>201.65129775169913</v>
      </c>
      <c r="CC28" s="29">
        <f>IF(NOT(Buckets_11_23[[#This Row],[Is Crit]]), Buckets_11_23[[#This Row],[S Cap Diff]], 0)</f>
        <v>48.348702248300867</v>
      </c>
      <c r="CD28" s="31">
        <f>CB$41/Buckets_11_23[[#Totals],[NC To Fill]]*Buckets_11_23[[#This Row],[NC To Fill]]</f>
        <v>47.681637194464258</v>
      </c>
      <c r="CE28" s="31">
        <f>Buckets_11_23[[#This Row],[Crit Filled]]+Buckets_11_23[[#This Row],[Scaled]]</f>
        <v>249.33293494616339</v>
      </c>
      <c r="CF28" s="31">
        <f>Buckets_11_23[[#This Row],[NC Filled]]</f>
        <v>249.33293494616339</v>
      </c>
      <c r="CG28" s="31">
        <f>Buckets_11_23[[#This Row],[Capacity]]-Buckets_11_23[[#This Row],[Final]]</f>
        <v>0.66706505383660897</v>
      </c>
      <c r="CH28" s="33">
        <f>IF(Buckets_11_23[[#This Row],[Capacity]]=0, 1, Buckets_11_23[[#This Row],[Final]]/Buckets_11_23[[#This Row],[Capacity]])</f>
        <v>0.99733173978465361</v>
      </c>
      <c r="CJ28" s="40">
        <f>Buckets_11_23[[#This Row],[Final]]</f>
        <v>249.33293494616339</v>
      </c>
      <c r="CK28" s="40">
        <f>Buckets_11_23[[#This Row],[Capacity]]</f>
        <v>250</v>
      </c>
      <c r="CL28" s="41" t="b">
        <f t="shared" si="23"/>
        <v>0</v>
      </c>
      <c r="CM28" s="42">
        <v>-100</v>
      </c>
      <c r="CN28" s="42"/>
      <c r="CO28" s="42" t="e">
        <f>NA()</f>
        <v>#N/A</v>
      </c>
      <c r="CP28" s="42"/>
      <c r="CQ28" s="43"/>
      <c r="CR28" s="40">
        <f t="shared" si="24"/>
        <v>149.33293494616339</v>
      </c>
      <c r="CS28" s="40">
        <f t="shared" si="3"/>
        <v>250</v>
      </c>
      <c r="CT28" s="41" t="b">
        <f t="shared" si="4"/>
        <v>0</v>
      </c>
      <c r="CV28" s="29">
        <f t="shared" si="25"/>
        <v>149.33293494616339</v>
      </c>
      <c r="CW28" s="29">
        <f>GetTransactionTotal(AggregateTable2023[], AggregateTable2023[Start], CV$1, AggregateTable2023[#Headers], $D28)</f>
        <v>0</v>
      </c>
      <c r="CX28" s="29">
        <f>Buckets_12_23[[#This Row],[Start]]+Buckets_12_23[[#This Row],[Transactions]]</f>
        <v>149.33293494616339</v>
      </c>
      <c r="CY28" s="29">
        <f t="shared" si="26"/>
        <v>250</v>
      </c>
      <c r="CZ28" s="29">
        <f>Buckets_12_23[[#This Row],[Capacity]]-Buckets_12_23[[#This Row],[After T]]</f>
        <v>100.66706505383661</v>
      </c>
      <c r="DA28" s="29">
        <f>MAX(-Buckets_12_23[[#This Row],[Cap Diff]], 0)</f>
        <v>0</v>
      </c>
      <c r="DB28" s="29">
        <f>Buckets_12_23[[#This Row],[After T]]-Buckets_12_23[[#This Row],[Slush]]</f>
        <v>149.33293494616339</v>
      </c>
      <c r="DC28" s="29">
        <f>Buckets_12_23[[#This Row],[Capacity]]-Buckets_12_23[[#This Row],[Before Fill]]</f>
        <v>100.66706505383661</v>
      </c>
      <c r="DD28" t="b">
        <f>OR(CT28, Buckets_12_23[[#This Row],[After T]]&lt;0)</f>
        <v>0</v>
      </c>
      <c r="DE28" s="29">
        <f>IF(Buckets_12_23[[#This Row],[Is Crit]], Buckets_12_23[[#This Row],[S Cap Diff]], 0)</f>
        <v>0</v>
      </c>
      <c r="DF28" s="29">
        <f>Buckets_12_23[[#This Row],[Before Fill]]+Buckets_12_23[[#This Row],[Crit To Fill]]</f>
        <v>149.33293494616339</v>
      </c>
      <c r="DG28" s="29">
        <f>IF(NOT(Buckets_12_23[[#This Row],[Is Crit]]), Buckets_12_23[[#This Row],[S Cap Diff]], 0)</f>
        <v>100.66706505383661</v>
      </c>
      <c r="DH28" s="31">
        <f>DF$41/Buckets_12_23[[#Totals],[NC To Fill]]*Buckets_12_23[[#This Row],[NC To Fill]]</f>
        <v>46.027001878196124</v>
      </c>
      <c r="DI28" s="31">
        <f>Buckets_12_23[[#This Row],[Crit Filled]]+Buckets_12_23[[#This Row],[Scaled]]</f>
        <v>195.35993682435952</v>
      </c>
      <c r="DJ28" s="31">
        <f>Buckets_12_23[[#This Row],[NC Filled]]</f>
        <v>195.35993682435952</v>
      </c>
      <c r="DK28" s="31">
        <f>Buckets_12_23[[#This Row],[Capacity]]-Buckets_12_23[[#This Row],[Final]]</f>
        <v>54.640063175640478</v>
      </c>
      <c r="DL28" s="33">
        <f>IF(Buckets_12_23[[#This Row],[Capacity]]=0, 1, Buckets_12_23[[#This Row],[Final]]/Buckets_12_23[[#This Row],[Capacity]])</f>
        <v>0.78143974729743804</v>
      </c>
      <c r="DN28" s="40">
        <f>Buckets_12_23[[#This Row],[Final]]</f>
        <v>195.35993682435952</v>
      </c>
      <c r="DO28" s="40">
        <f>Buckets_12_23[[#This Row],[Capacity]]</f>
        <v>250</v>
      </c>
      <c r="DP28" s="41" t="b">
        <f t="shared" si="27"/>
        <v>0</v>
      </c>
      <c r="DQ28" s="42"/>
      <c r="DR28" s="42"/>
      <c r="DS28" s="42" t="e">
        <f>NA()</f>
        <v>#N/A</v>
      </c>
      <c r="DT28" s="42"/>
      <c r="DU28" s="43"/>
      <c r="DV28" s="40">
        <f t="shared" si="28"/>
        <v>195.35993682435952</v>
      </c>
      <c r="DW28" s="40">
        <f t="shared" si="5"/>
        <v>250</v>
      </c>
      <c r="DX28" s="41" t="b">
        <f t="shared" si="6"/>
        <v>0</v>
      </c>
      <c r="DZ28" s="29">
        <f t="shared" si="29"/>
        <v>195.35993682435952</v>
      </c>
      <c r="EA28" s="29">
        <f>GetTransactionTotal(AggregateTable2024[], AggregateTable2024[Start], DZ$1, AggregateTable2024[#Headers], $D28)</f>
        <v>0</v>
      </c>
      <c r="EB28" s="29">
        <f>Buckets_1_24[[#This Row],[Start]]+Buckets_1_24[[#This Row],[Transactions]]</f>
        <v>195.35993682435952</v>
      </c>
      <c r="EC28" s="29">
        <f t="shared" si="30"/>
        <v>250</v>
      </c>
      <c r="ED28" s="29">
        <f>Buckets_1_24[[#This Row],[Capacity]]-Buckets_1_24[[#This Row],[After T]]</f>
        <v>54.640063175640478</v>
      </c>
      <c r="EE28" s="29">
        <f>MAX(-Buckets_1_24[[#This Row],[Cap Diff]], 0)</f>
        <v>0</v>
      </c>
      <c r="EF28" s="29">
        <f>Buckets_1_24[[#This Row],[After T]]-Buckets_1_24[[#This Row],[Slush]]</f>
        <v>195.35993682435952</v>
      </c>
      <c r="EG28" s="29">
        <f>Buckets_1_24[[#This Row],[Capacity]]-Buckets_1_24[[#This Row],[Before Fill]]</f>
        <v>54.640063175640478</v>
      </c>
      <c r="EH28" t="b">
        <f>OR(DX28, Buckets_1_24[[#This Row],[After T]]&lt;0)</f>
        <v>0</v>
      </c>
      <c r="EI28" s="29">
        <f>IF(Buckets_1_24[[#This Row],[Is Crit]], Buckets_1_24[[#This Row],[S Cap Diff]], 0)</f>
        <v>0</v>
      </c>
      <c r="EJ28" s="29">
        <f>Buckets_1_24[[#This Row],[Before Fill]]+Buckets_1_24[[#This Row],[Crit To Fill]]</f>
        <v>195.35993682435952</v>
      </c>
      <c r="EK28" s="29">
        <f>IF(NOT(Buckets_1_24[[#This Row],[Is Crit]]), Buckets_1_24[[#This Row],[S Cap Diff]], 0)</f>
        <v>54.640063175640478</v>
      </c>
      <c r="EL28" s="31">
        <f>EJ$41/Buckets_1_24[[#Totals],[NC To Fill]]*Buckets_1_24[[#This Row],[NC To Fill]]</f>
        <v>33.548584632640235</v>
      </c>
      <c r="EM28" s="31">
        <f>Buckets_1_24[[#This Row],[Crit Filled]]+Buckets_1_24[[#This Row],[Scaled]]</f>
        <v>228.90852145699975</v>
      </c>
      <c r="EN28" s="31">
        <f>Buckets_1_24[[#This Row],[NC Filled]]</f>
        <v>228.90852145699975</v>
      </c>
      <c r="EO28" s="31">
        <f>Buckets_1_24[[#This Row],[Capacity]]-Buckets_1_24[[#This Row],[Final]]</f>
        <v>21.09147854300025</v>
      </c>
      <c r="EP28" s="33">
        <f>IF(Buckets_1_24[[#This Row],[Capacity]]=0, 1, Buckets_1_24[[#This Row],[Final]]/Buckets_1_24[[#This Row],[Capacity]])</f>
        <v>0.91563408582799899</v>
      </c>
      <c r="ER28" s="40">
        <f>Buckets_1_24[[#This Row],[Final]]</f>
        <v>228.90852145699975</v>
      </c>
      <c r="ES28" s="40">
        <f>Buckets_1_24[[#This Row],[Capacity]]</f>
        <v>250</v>
      </c>
      <c r="ET28" s="41" t="b">
        <f t="shared" si="31"/>
        <v>0</v>
      </c>
      <c r="EU28" s="42"/>
      <c r="EV28" s="42"/>
      <c r="EW28" s="42"/>
      <c r="EX28" s="42"/>
      <c r="EY28" s="43"/>
      <c r="EZ28" s="40">
        <f t="shared" si="32"/>
        <v>228.90852145699975</v>
      </c>
      <c r="FA28" s="40">
        <f t="shared" si="33"/>
        <v>250</v>
      </c>
      <c r="FB28" s="41" t="b">
        <f t="shared" si="7"/>
        <v>0</v>
      </c>
      <c r="FD28" s="29">
        <f t="shared" si="34"/>
        <v>228.90852145699975</v>
      </c>
      <c r="FE28" s="29">
        <f>GetTransactionTotal(AggregateTable2024[], AggregateTable2024[Start], FD$1, AggregateTable2024[#Headers], $D28)</f>
        <v>0</v>
      </c>
      <c r="FF28" s="29">
        <f>Buckets_2_24[[#This Row],[Start]]+Buckets_2_24[[#This Row],[Transactions]]</f>
        <v>228.90852145699975</v>
      </c>
      <c r="FG28" s="29">
        <f t="shared" si="35"/>
        <v>250</v>
      </c>
      <c r="FH28" s="29">
        <f>Buckets_2_24[[#This Row],[Capacity]]-Buckets_2_24[[#This Row],[After T]]</f>
        <v>21.09147854300025</v>
      </c>
      <c r="FI28" s="29">
        <f>MAX(-Buckets_2_24[[#This Row],[Cap Diff]], 0)</f>
        <v>0</v>
      </c>
      <c r="FJ28" s="29">
        <f>Buckets_2_24[[#This Row],[After T]]-Buckets_2_24[[#This Row],[Slush]]</f>
        <v>228.90852145699975</v>
      </c>
      <c r="FK28" s="29">
        <f>Buckets_2_24[[#This Row],[Capacity]]-Buckets_2_24[[#This Row],[Before Fill]]</f>
        <v>21.09147854300025</v>
      </c>
      <c r="FL28" t="b">
        <f>OR(FB28, Buckets_2_24[[#This Row],[After T]]&lt;0)</f>
        <v>0</v>
      </c>
      <c r="FM28" s="29">
        <f>IF(Buckets_2_24[[#This Row],[Is Crit]], Buckets_2_24[[#This Row],[S Cap Diff]], 0)</f>
        <v>0</v>
      </c>
      <c r="FN28" s="29">
        <f>Buckets_2_24[[#This Row],[Before Fill]]+Buckets_2_24[[#This Row],[Crit To Fill]]</f>
        <v>228.90852145699975</v>
      </c>
      <c r="FO28" s="29">
        <f>IF(NOT(Buckets_2_24[[#This Row],[Is Crit]]), Buckets_2_24[[#This Row],[S Cap Diff]], 0)</f>
        <v>21.09147854300025</v>
      </c>
      <c r="FP28" s="31">
        <f>FN$41/Buckets_2_24[[#Totals],[NC To Fill]]*Buckets_2_24[[#This Row],[NC To Fill]]</f>
        <v>20.318385856571069</v>
      </c>
      <c r="FQ28" s="31">
        <f>Buckets_2_24[[#This Row],[Crit Filled]]+Buckets_2_24[[#This Row],[Scaled]]</f>
        <v>249.22690731357082</v>
      </c>
      <c r="FR28" s="31">
        <f>Buckets_2_24[[#This Row],[NC Filled]]</f>
        <v>249.22690731357082</v>
      </c>
      <c r="FS28" s="31">
        <f>Buckets_2_24[[#This Row],[Capacity]]-Buckets_2_24[[#This Row],[Final]]</f>
        <v>0.77309268642918028</v>
      </c>
      <c r="FT28" s="33">
        <f>IF(Buckets_2_24[[#This Row],[Capacity]]=0, 1, Buckets_2_24[[#This Row],[Final]]/Buckets_2_24[[#This Row],[Capacity]])</f>
        <v>0.99690762925428333</v>
      </c>
      <c r="FV28" s="40">
        <f>Buckets_2_24[[#This Row],[Final]]</f>
        <v>249.22690731357082</v>
      </c>
      <c r="FW28" s="40">
        <f>Buckets_2_24[[#This Row],[Capacity]]</f>
        <v>250</v>
      </c>
      <c r="FX28" s="41" t="b">
        <f t="shared" si="36"/>
        <v>0</v>
      </c>
      <c r="FY28" s="42"/>
      <c r="FZ28" s="42"/>
      <c r="GA28" s="42"/>
      <c r="GB28" s="42"/>
      <c r="GC28" s="43"/>
      <c r="GD28" s="40">
        <f t="shared" si="37"/>
        <v>249.22690731357082</v>
      </c>
      <c r="GE28" s="40">
        <f t="shared" si="38"/>
        <v>250</v>
      </c>
      <c r="GF28" s="41" t="b">
        <f t="shared" si="8"/>
        <v>0</v>
      </c>
      <c r="GH28" s="29">
        <f t="shared" si="39"/>
        <v>249.22690731357082</v>
      </c>
      <c r="GI28" s="29">
        <f>GetTransactionTotal(AggregateTable2024[], AggregateTable2024[Start], GH$1, AggregateTable2024[#Headers], $D28)</f>
        <v>0</v>
      </c>
      <c r="GJ28" s="29">
        <f>Buckets_3_24[[#This Row],[Start]]+Buckets_3_24[[#This Row],[Transactions]]</f>
        <v>249.22690731357082</v>
      </c>
      <c r="GK28" s="29">
        <f t="shared" si="40"/>
        <v>250</v>
      </c>
      <c r="GL28" s="29">
        <f>Buckets_3_24[[#This Row],[Capacity]]-Buckets_3_24[[#This Row],[After T]]</f>
        <v>0.77309268642918028</v>
      </c>
      <c r="GM28" s="29">
        <f>MAX(-Buckets_3_24[[#This Row],[Cap Diff]], 0)</f>
        <v>0</v>
      </c>
      <c r="GN28" s="29">
        <f>Buckets_3_24[[#This Row],[After T]]-Buckets_3_24[[#This Row],[Slush]]</f>
        <v>249.22690731357082</v>
      </c>
      <c r="GO28" s="29">
        <f>Buckets_3_24[[#This Row],[Capacity]]-Buckets_3_24[[#This Row],[Before Fill]]</f>
        <v>0.77309268642918028</v>
      </c>
      <c r="GP28" t="b">
        <f>OR(GF28, Buckets_3_24[[#This Row],[After T]]&lt;0)</f>
        <v>0</v>
      </c>
      <c r="GQ28" s="29">
        <f>IF(Buckets_3_24[[#This Row],[Is Crit]], Buckets_3_24[[#This Row],[S Cap Diff]], 0)</f>
        <v>0</v>
      </c>
      <c r="GR28" s="29">
        <f>Buckets_3_24[[#This Row],[Before Fill]]+Buckets_3_24[[#This Row],[Crit To Fill]]</f>
        <v>249.22690731357082</v>
      </c>
      <c r="GS28" s="29">
        <f>IF(NOT(Buckets_3_24[[#This Row],[Is Crit]]), Buckets_3_24[[#This Row],[S Cap Diff]], 0)</f>
        <v>0.77309268642918028</v>
      </c>
      <c r="GT28" s="31">
        <f>GR$41/Buckets_3_24[[#Totals],[NC To Fill]]*Buckets_3_24[[#This Row],[NC To Fill]]</f>
        <v>0.75085760392483303</v>
      </c>
      <c r="GU28" s="31">
        <f>Buckets_3_24[[#This Row],[Crit Filled]]+Buckets_3_24[[#This Row],[Scaled]]</f>
        <v>249.97776491749565</v>
      </c>
      <c r="GV28" s="31">
        <f>Buckets_3_24[[#This Row],[NC Filled]]</f>
        <v>249.97776491749565</v>
      </c>
      <c r="GW28" s="31">
        <f>Buckets_3_24[[#This Row],[Capacity]]-Buckets_3_24[[#This Row],[Final]]</f>
        <v>2.2235082504352022E-2</v>
      </c>
      <c r="GX28" s="33">
        <f>IF(Buckets_3_24[[#This Row],[Capacity]]=0, 1, Buckets_3_24[[#This Row],[Final]]/Buckets_3_24[[#This Row],[Capacity]])</f>
        <v>0.99991105966998262</v>
      </c>
      <c r="GZ28" s="40">
        <f>Buckets_3_24[[#This Row],[Final]]</f>
        <v>249.97776491749565</v>
      </c>
      <c r="HA28" s="40">
        <f>Buckets_3_24[[#This Row],[Capacity]]</f>
        <v>250</v>
      </c>
      <c r="HB28" s="41" t="b">
        <f t="shared" si="41"/>
        <v>0</v>
      </c>
      <c r="HC28" s="42"/>
      <c r="HD28" s="42"/>
      <c r="HE28" s="42"/>
      <c r="HF28" s="42"/>
      <c r="HG28" s="43"/>
      <c r="HH28" s="40">
        <f t="shared" si="42"/>
        <v>249.97776491749565</v>
      </c>
      <c r="HI28" s="40">
        <f t="shared" si="43"/>
        <v>250</v>
      </c>
      <c r="HJ28" s="41" t="b">
        <f t="shared" si="9"/>
        <v>0</v>
      </c>
      <c r="HL28" s="29">
        <f t="shared" si="44"/>
        <v>249.97776491749565</v>
      </c>
      <c r="HM28" s="29">
        <f>GetTransactionTotal(AggregateTable2024[], AggregateTable2024[Start], HL$1, AggregateTable2024[#Headers], $D28)</f>
        <v>0</v>
      </c>
      <c r="HN28" s="29">
        <f>Buckets_4_24[[#This Row],[Start]]+Buckets_4_24[[#This Row],[Transactions]]</f>
        <v>249.97776491749565</v>
      </c>
      <c r="HO28" s="29">
        <f t="shared" si="45"/>
        <v>250</v>
      </c>
      <c r="HP28" s="29">
        <f>Buckets_4_24[[#This Row],[Capacity]]-Buckets_4_24[[#This Row],[After T]]</f>
        <v>2.2235082504352022E-2</v>
      </c>
      <c r="HQ28" s="29">
        <f>MAX(-Buckets_4_24[[#This Row],[Cap Diff]], 0)</f>
        <v>0</v>
      </c>
      <c r="HR28" s="29">
        <f>Buckets_4_24[[#This Row],[After T]]-Buckets_4_24[[#This Row],[Slush]]</f>
        <v>249.97776491749565</v>
      </c>
      <c r="HS28" s="29">
        <f>Buckets_4_24[[#This Row],[Capacity]]-Buckets_4_24[[#This Row],[Before Fill]]</f>
        <v>2.2235082504352022E-2</v>
      </c>
      <c r="HT28" t="b">
        <f>OR(HJ28, Buckets_4_24[[#This Row],[After T]]&lt;0)</f>
        <v>0</v>
      </c>
      <c r="HU28" s="29">
        <f>IF(Buckets_4_24[[#This Row],[Is Crit]], Buckets_4_24[[#This Row],[S Cap Diff]], 0)</f>
        <v>0</v>
      </c>
      <c r="HV28" s="29">
        <f>Buckets_4_24[[#This Row],[Before Fill]]+Buckets_4_24[[#This Row],[Crit To Fill]]</f>
        <v>249.97776491749565</v>
      </c>
      <c r="HW28" s="29">
        <f>IF(NOT(Buckets_4_24[[#This Row],[Is Crit]]), Buckets_4_24[[#This Row],[S Cap Diff]], 0)</f>
        <v>2.2235082504352022E-2</v>
      </c>
      <c r="HX28" s="31">
        <f>HV$41/Buckets_4_24[[#Totals],[NC To Fill]]*Buckets_4_24[[#This Row],[NC To Fill]]</f>
        <v>1.4510161387380276E-2</v>
      </c>
      <c r="HY28" s="31">
        <f>Buckets_4_24[[#This Row],[Crit Filled]]+Buckets_4_24[[#This Row],[Scaled]]</f>
        <v>249.99227507888304</v>
      </c>
      <c r="HZ28" s="31">
        <f>Buckets_4_24[[#This Row],[NC Filled]]</f>
        <v>249.99227507888304</v>
      </c>
      <c r="IA28" s="31">
        <f>Buckets_4_24[[#This Row],[Capacity]]-Buckets_4_24[[#This Row],[Final]]</f>
        <v>7.724921116960104E-3</v>
      </c>
      <c r="IB28" s="33">
        <f>IF(Buckets_4_24[[#This Row],[Capacity]]=0, 1, Buckets_4_24[[#This Row],[Final]]/Buckets_4_24[[#This Row],[Capacity]])</f>
        <v>0.99996910031553221</v>
      </c>
      <c r="ID28" s="40">
        <f>Buckets_4_24[[#This Row],[Final]]</f>
        <v>249.99227507888304</v>
      </c>
      <c r="IE28" s="40">
        <f>Buckets_4_24[[#This Row],[Capacity]]</f>
        <v>250</v>
      </c>
      <c r="IF28" s="41" t="b">
        <f t="shared" si="46"/>
        <v>0</v>
      </c>
      <c r="IG28" s="42"/>
      <c r="IH28" s="42"/>
      <c r="II28" s="42"/>
      <c r="IJ28" s="42"/>
      <c r="IK28" s="43"/>
      <c r="IL28" s="40">
        <f t="shared" si="47"/>
        <v>249.99227507888304</v>
      </c>
      <c r="IM28" s="40">
        <f t="shared" si="48"/>
        <v>250</v>
      </c>
      <c r="IN28" s="41" t="b">
        <f t="shared" si="10"/>
        <v>0</v>
      </c>
    </row>
    <row r="29" spans="1:248" x14ac:dyDescent="0.25">
      <c r="A29" s="49"/>
      <c r="B29" t="s">
        <v>321</v>
      </c>
      <c r="C29" t="s">
        <v>321</v>
      </c>
      <c r="D29" t="s">
        <v>304</v>
      </c>
      <c r="F29" s="30">
        <v>50</v>
      </c>
      <c r="G29" s="38">
        <v>500</v>
      </c>
      <c r="H29" t="b">
        <v>0</v>
      </c>
      <c r="J29" s="29">
        <f t="shared" si="11"/>
        <v>50</v>
      </c>
      <c r="K29" s="29">
        <f>GetTransactionTotal(AggregateTable2023[], AggregateTable2023[Start], J$1, AggregateTable2023[#Headers], $D29)</f>
        <v>-103.84</v>
      </c>
      <c r="L29" s="29">
        <f>Buckets_9_23[[#This Row],[Start]]+Buckets_9_23[[#This Row],[Transactions]]</f>
        <v>-53.84</v>
      </c>
      <c r="M29" s="29">
        <f t="shared" si="12"/>
        <v>500</v>
      </c>
      <c r="N29" s="29">
        <f>Buckets_9_23[[#This Row],[Capacity]]-Buckets_9_23[[#This Row],[After T]]</f>
        <v>553.84</v>
      </c>
      <c r="O29" s="29">
        <f>IF(Buckets_9_23[[#This Row],[After T]]&lt;0, Buckets_9_23[[#This Row],[After T]], IF(Buckets_9_23[[#This Row],[Cap Diff]]&lt;0, -Buckets_9_23[[#This Row],[Cap Diff]], 0))</f>
        <v>-53.84</v>
      </c>
      <c r="P29" s="29">
        <f>Buckets_9_23[[#This Row],[After T]]-Buckets_9_23[[#This Row],[Slush]]</f>
        <v>0</v>
      </c>
      <c r="Q29" s="29">
        <f>Buckets_9_23[[#This Row],[Capacity]]-Buckets_9_23[[#This Row],[Before Fill]]</f>
        <v>500</v>
      </c>
      <c r="R29" t="b">
        <f t="shared" si="0"/>
        <v>0</v>
      </c>
      <c r="S29" s="29">
        <f>IF(Buckets_9_23[[#This Row],[Is Crit]], Buckets_9_23[[#This Row],[S Cap Diff]], 0)</f>
        <v>0</v>
      </c>
      <c r="T29" s="29">
        <f>Buckets_9_23[[#This Row],[Before Fill]]+Buckets_9_23[[#This Row],[Crit To Fill]]</f>
        <v>0</v>
      </c>
      <c r="U29" s="29">
        <f>IF(NOT(Buckets_9_23[[#This Row],[Is Crit]]), Buckets_9_23[[#This Row],[S Cap Diff]], 0)</f>
        <v>500</v>
      </c>
      <c r="V29" s="31">
        <f>T$41/Buckets_9_23[[#Totals],[NC To Fill]]*Buckets_9_23[[#This Row],[NC To Fill]]</f>
        <v>436.40879854831962</v>
      </c>
      <c r="W29" s="31">
        <f>Buckets_9_23[[#This Row],[Crit Filled]]+Buckets_9_23[[#This Row],[Scaled]]</f>
        <v>436.40879854831962</v>
      </c>
      <c r="X29" s="31">
        <f>Buckets_9_23[[#This Row],[NC Filled]]</f>
        <v>436.40879854831962</v>
      </c>
      <c r="Y29" s="31">
        <f>Buckets_9_23[[#This Row],[Capacity]]-Buckets_9_23[[#This Row],[Final]]</f>
        <v>63.591201451680377</v>
      </c>
      <c r="Z29" s="33">
        <f>IF(Buckets_9_23[[#This Row],[Capacity]]=0, 1, Buckets_9_23[[#This Row],[Final]]/Buckets_9_23[[#This Row],[Capacity]])</f>
        <v>0.8728175970966392</v>
      </c>
      <c r="AB29" s="31">
        <f>Buckets_9_23[[#This Row],[Final]]</f>
        <v>436.40879854831962</v>
      </c>
      <c r="AC29" s="31">
        <f>Buckets_9_23[[#This Row],[Capacity]]</f>
        <v>500</v>
      </c>
      <c r="AD29" t="b">
        <f t="shared" si="13"/>
        <v>0</v>
      </c>
      <c r="AE29" s="43" t="e">
        <f>NA()</f>
        <v>#N/A</v>
      </c>
      <c r="AF29" s="42"/>
      <c r="AG29" s="43" t="e">
        <f>NA()</f>
        <v>#N/A</v>
      </c>
      <c r="AH29" s="42"/>
      <c r="AI29" s="43"/>
      <c r="AJ29" s="31">
        <f t="shared" si="14"/>
        <v>436.40879854831962</v>
      </c>
      <c r="AK29" s="31">
        <f t="shared" si="15"/>
        <v>500</v>
      </c>
      <c r="AL29" t="b">
        <f t="shared" si="16"/>
        <v>0</v>
      </c>
      <c r="AN29" s="29">
        <f t="shared" si="17"/>
        <v>436.40879854831962</v>
      </c>
      <c r="AO29" s="29">
        <f>GetTransactionTotal(AggregateTable2023[], AggregateTable2023[Start], AN$1, AggregateTable2023[#Headers], $D29)</f>
        <v>-62.63</v>
      </c>
      <c r="AP29" s="29">
        <f>Buckets_10_23[[#This Row],[Start]]+Buckets_10_23[[#This Row],[Transactions]]</f>
        <v>373.77879854831963</v>
      </c>
      <c r="AQ29" s="29">
        <f t="shared" si="18"/>
        <v>500</v>
      </c>
      <c r="AR29" s="29">
        <f>Buckets_10_23[[#This Row],[Capacity]]-Buckets_10_23[[#This Row],[After T]]</f>
        <v>126.22120145168037</v>
      </c>
      <c r="AS29" s="29">
        <f>MAX(-Buckets_10_23[[#This Row],[Cap Diff]], 0)</f>
        <v>0</v>
      </c>
      <c r="AT29" s="29">
        <f>Buckets_10_23[[#This Row],[After T]]-Buckets_10_23[[#This Row],[Slush]]</f>
        <v>373.77879854831963</v>
      </c>
      <c r="AU29" s="29">
        <f>Buckets_10_23[[#This Row],[Capacity]]-Buckets_10_23[[#This Row],[Before Fill]]</f>
        <v>126.22120145168037</v>
      </c>
      <c r="AV29" t="b">
        <f>OR(AL29, Buckets_10_23[[#This Row],[After T]]&lt;0)</f>
        <v>0</v>
      </c>
      <c r="AW29" s="29">
        <f>IF(Buckets_10_23[[#This Row],[Is Crit]], Buckets_10_23[[#This Row],[S Cap Diff]], 0)</f>
        <v>0</v>
      </c>
      <c r="AX29" s="29">
        <f>Buckets_10_23[[#This Row],[Before Fill]]+Buckets_10_23[[#This Row],[Crit To Fill]]</f>
        <v>373.77879854831963</v>
      </c>
      <c r="AY29" s="29">
        <f>IF(NOT(Buckets_10_23[[#This Row],[Is Crit]]), Buckets_10_23[[#This Row],[S Cap Diff]], 0)</f>
        <v>126.22120145168037</v>
      </c>
      <c r="AZ29" s="31">
        <f>AX$41/Buckets_10_23[[#Totals],[NC To Fill]]*Buckets_10_23[[#This Row],[NC To Fill]]</f>
        <v>74.971902138269215</v>
      </c>
      <c r="BA29" s="31">
        <f>Buckets_10_23[[#This Row],[Crit Filled]]+Buckets_10_23[[#This Row],[Scaled]]</f>
        <v>448.75070068658886</v>
      </c>
      <c r="BB29" s="31">
        <f>Buckets_10_23[[#This Row],[NC Filled]]</f>
        <v>448.75070068658886</v>
      </c>
      <c r="BC29" s="31">
        <f>Buckets_10_23[[#This Row],[Capacity]]-Buckets_10_23[[#This Row],[Final]]</f>
        <v>51.249299313411143</v>
      </c>
      <c r="BD29" s="33">
        <f>IF(Buckets_10_23[[#This Row],[Capacity]]=0, 1, Buckets_10_23[[#This Row],[Final]]/Buckets_10_23[[#This Row],[Capacity]])</f>
        <v>0.89750140137317769</v>
      </c>
      <c r="BF29" s="31">
        <f>Buckets_10_23[[#This Row],[Final]]</f>
        <v>448.75070068658886</v>
      </c>
      <c r="BG29" s="31">
        <f>Buckets_10_23[[#This Row],[Capacity]]</f>
        <v>500</v>
      </c>
      <c r="BH29" t="b">
        <f t="shared" si="19"/>
        <v>0</v>
      </c>
      <c r="BI29" s="43" t="e">
        <f>NA()</f>
        <v>#N/A</v>
      </c>
      <c r="BJ29" s="42"/>
      <c r="BK29" s="43" t="e">
        <f>NA()</f>
        <v>#N/A</v>
      </c>
      <c r="BL29" s="42"/>
      <c r="BM29" s="43"/>
      <c r="BN29" s="31">
        <f t="shared" si="20"/>
        <v>448.75070068658886</v>
      </c>
      <c r="BO29" s="31">
        <f t="shared" si="1"/>
        <v>500</v>
      </c>
      <c r="BP29" t="b">
        <f t="shared" si="2"/>
        <v>0</v>
      </c>
      <c r="BR29" s="29">
        <f t="shared" si="21"/>
        <v>448.75070068658886</v>
      </c>
      <c r="BS29" s="29">
        <f>GetTransactionTotal(AggregateTable2023[], AggregateTable2023[Start], BR$1, AggregateTable2023[#Headers], $D29)</f>
        <v>-0.45999999999999375</v>
      </c>
      <c r="BT29" s="29">
        <f>Buckets_11_23[[#This Row],[Start]]+Buckets_11_23[[#This Row],[Transactions]]</f>
        <v>448.29070068658888</v>
      </c>
      <c r="BU29" s="29">
        <f t="shared" si="22"/>
        <v>500</v>
      </c>
      <c r="BV29" s="29">
        <f>Buckets_11_23[[#This Row],[Capacity]]-Buckets_11_23[[#This Row],[After T]]</f>
        <v>51.709299313411123</v>
      </c>
      <c r="BW29" s="29">
        <f>MAX(-Buckets_11_23[[#This Row],[Cap Diff]], 0)</f>
        <v>0</v>
      </c>
      <c r="BX29" s="29">
        <f>Buckets_11_23[[#This Row],[After T]]-Buckets_11_23[[#This Row],[Slush]]</f>
        <v>448.29070068658888</v>
      </c>
      <c r="BY29" s="29">
        <f>Buckets_11_23[[#This Row],[Capacity]]-Buckets_11_23[[#This Row],[Before Fill]]</f>
        <v>51.709299313411123</v>
      </c>
      <c r="BZ29" t="b">
        <f>OR(BP29, Buckets_11_23[[#This Row],[After T]]&lt;0)</f>
        <v>0</v>
      </c>
      <c r="CA29" s="29">
        <f>IF(Buckets_11_23[[#This Row],[Is Crit]], Buckets_11_23[[#This Row],[S Cap Diff]], 0)</f>
        <v>0</v>
      </c>
      <c r="CB29" s="29">
        <f>Buckets_11_23[[#This Row],[Before Fill]]+Buckets_11_23[[#This Row],[Crit To Fill]]</f>
        <v>448.29070068658888</v>
      </c>
      <c r="CC29" s="29">
        <f>IF(NOT(Buckets_11_23[[#This Row],[Is Crit]]), Buckets_11_23[[#This Row],[S Cap Diff]], 0)</f>
        <v>51.709299313411123</v>
      </c>
      <c r="CD29" s="31">
        <f>CB$41/Buckets_11_23[[#Totals],[NC To Fill]]*Buckets_11_23[[#This Row],[NC To Fill]]</f>
        <v>50.995868240262389</v>
      </c>
      <c r="CE29" s="31">
        <f>Buckets_11_23[[#This Row],[Crit Filled]]+Buckets_11_23[[#This Row],[Scaled]]</f>
        <v>499.28656892685126</v>
      </c>
      <c r="CF29" s="31">
        <f>Buckets_11_23[[#This Row],[NC Filled]]</f>
        <v>499.28656892685126</v>
      </c>
      <c r="CG29" s="31">
        <f>Buckets_11_23[[#This Row],[Capacity]]-Buckets_11_23[[#This Row],[Final]]</f>
        <v>0.71343107314874032</v>
      </c>
      <c r="CH29" s="33">
        <f>IF(Buckets_11_23[[#This Row],[Capacity]]=0, 1, Buckets_11_23[[#This Row],[Final]]/Buckets_11_23[[#This Row],[Capacity]])</f>
        <v>0.9985731378537025</v>
      </c>
      <c r="CJ29" s="40">
        <f>Buckets_11_23[[#This Row],[Final]]</f>
        <v>499.28656892685126</v>
      </c>
      <c r="CK29" s="40">
        <f>Buckets_11_23[[#This Row],[Capacity]]</f>
        <v>500</v>
      </c>
      <c r="CL29" s="41" t="b">
        <f t="shared" si="23"/>
        <v>0</v>
      </c>
      <c r="CM29" s="42">
        <v>-200</v>
      </c>
      <c r="CN29" s="42"/>
      <c r="CO29" s="42" t="e">
        <f>NA()</f>
        <v>#N/A</v>
      </c>
      <c r="CP29" s="42"/>
      <c r="CQ29" s="43"/>
      <c r="CR29" s="40">
        <f t="shared" si="24"/>
        <v>299.28656892685126</v>
      </c>
      <c r="CS29" s="40">
        <f t="shared" si="3"/>
        <v>500</v>
      </c>
      <c r="CT29" s="41" t="b">
        <f t="shared" si="4"/>
        <v>0</v>
      </c>
      <c r="CV29" s="29">
        <f t="shared" si="25"/>
        <v>299.28656892685126</v>
      </c>
      <c r="CW29" s="29">
        <f>GetTransactionTotal(AggregateTable2023[], AggregateTable2023[Start], CV$1, AggregateTable2023[#Headers], $D29)</f>
        <v>-182.89000000000001</v>
      </c>
      <c r="CX29" s="29">
        <f>Buckets_12_23[[#This Row],[Start]]+Buckets_12_23[[#This Row],[Transactions]]</f>
        <v>116.39656892685124</v>
      </c>
      <c r="CY29" s="29">
        <f t="shared" si="26"/>
        <v>500</v>
      </c>
      <c r="CZ29" s="29">
        <f>Buckets_12_23[[#This Row],[Capacity]]-Buckets_12_23[[#This Row],[After T]]</f>
        <v>383.60343107314873</v>
      </c>
      <c r="DA29" s="29">
        <f>MAX(-Buckets_12_23[[#This Row],[Cap Diff]], 0)</f>
        <v>0</v>
      </c>
      <c r="DB29" s="29">
        <f>Buckets_12_23[[#This Row],[After T]]-Buckets_12_23[[#This Row],[Slush]]</f>
        <v>116.39656892685124</v>
      </c>
      <c r="DC29" s="29">
        <f>Buckets_12_23[[#This Row],[Capacity]]-Buckets_12_23[[#This Row],[Before Fill]]</f>
        <v>383.60343107314873</v>
      </c>
      <c r="DD29" t="b">
        <f>OR(CT29, Buckets_12_23[[#This Row],[After T]]&lt;0)</f>
        <v>0</v>
      </c>
      <c r="DE29" s="29">
        <f>IF(Buckets_12_23[[#This Row],[Is Crit]], Buckets_12_23[[#This Row],[S Cap Diff]], 0)</f>
        <v>0</v>
      </c>
      <c r="DF29" s="29">
        <f>Buckets_12_23[[#This Row],[Before Fill]]+Buckets_12_23[[#This Row],[Crit To Fill]]</f>
        <v>116.39656892685124</v>
      </c>
      <c r="DG29" s="29">
        <f>IF(NOT(Buckets_12_23[[#This Row],[Is Crit]]), Buckets_12_23[[#This Row],[S Cap Diff]], 0)</f>
        <v>383.60343107314873</v>
      </c>
      <c r="DH29" s="31">
        <f>DF$41/Buckets_12_23[[#Totals],[NC To Fill]]*Buckets_12_23[[#This Row],[NC To Fill]]</f>
        <v>175.39118512140817</v>
      </c>
      <c r="DI29" s="31">
        <f>Buckets_12_23[[#This Row],[Crit Filled]]+Buckets_12_23[[#This Row],[Scaled]]</f>
        <v>291.78775404825944</v>
      </c>
      <c r="DJ29" s="31">
        <f>Buckets_12_23[[#This Row],[NC Filled]]</f>
        <v>291.78775404825944</v>
      </c>
      <c r="DK29" s="31">
        <f>Buckets_12_23[[#This Row],[Capacity]]-Buckets_12_23[[#This Row],[Final]]</f>
        <v>208.21224595174056</v>
      </c>
      <c r="DL29" s="33">
        <f>IF(Buckets_12_23[[#This Row],[Capacity]]=0, 1, Buckets_12_23[[#This Row],[Final]]/Buckets_12_23[[#This Row],[Capacity]])</f>
        <v>0.58357550809651892</v>
      </c>
      <c r="DN29" s="40">
        <f>Buckets_12_23[[#This Row],[Final]]</f>
        <v>291.78775404825944</v>
      </c>
      <c r="DO29" s="40">
        <f>Buckets_12_23[[#This Row],[Capacity]]</f>
        <v>500</v>
      </c>
      <c r="DP29" s="41" t="b">
        <f t="shared" si="27"/>
        <v>0</v>
      </c>
      <c r="DQ29" s="42"/>
      <c r="DR29" s="42"/>
      <c r="DS29" s="42" t="e">
        <f>NA()</f>
        <v>#N/A</v>
      </c>
      <c r="DT29" s="42"/>
      <c r="DU29" s="43"/>
      <c r="DV29" s="40">
        <f t="shared" si="28"/>
        <v>291.78775404825944</v>
      </c>
      <c r="DW29" s="40">
        <f t="shared" si="5"/>
        <v>500</v>
      </c>
      <c r="DX29" s="41" t="b">
        <f t="shared" si="6"/>
        <v>0</v>
      </c>
      <c r="DZ29" s="29">
        <f t="shared" si="29"/>
        <v>291.78775404825944</v>
      </c>
      <c r="EA29" s="29">
        <f>GetTransactionTotal(AggregateTable2024[], AggregateTable2024[Start], DZ$1, AggregateTable2024[#Headers], $D29)</f>
        <v>-30</v>
      </c>
      <c r="EB29" s="29">
        <f>Buckets_1_24[[#This Row],[Start]]+Buckets_1_24[[#This Row],[Transactions]]</f>
        <v>261.78775404825944</v>
      </c>
      <c r="EC29" s="29">
        <f t="shared" si="30"/>
        <v>500</v>
      </c>
      <c r="ED29" s="29">
        <f>Buckets_1_24[[#This Row],[Capacity]]-Buckets_1_24[[#This Row],[After T]]</f>
        <v>238.21224595174056</v>
      </c>
      <c r="EE29" s="29">
        <f>MAX(-Buckets_1_24[[#This Row],[Cap Diff]], 0)</f>
        <v>0</v>
      </c>
      <c r="EF29" s="29">
        <f>Buckets_1_24[[#This Row],[After T]]-Buckets_1_24[[#This Row],[Slush]]</f>
        <v>261.78775404825944</v>
      </c>
      <c r="EG29" s="29">
        <f>Buckets_1_24[[#This Row],[Capacity]]-Buckets_1_24[[#This Row],[Before Fill]]</f>
        <v>238.21224595174056</v>
      </c>
      <c r="EH29" t="b">
        <f>OR(DX29, Buckets_1_24[[#This Row],[After T]]&lt;0)</f>
        <v>0</v>
      </c>
      <c r="EI29" s="29">
        <f>IF(Buckets_1_24[[#This Row],[Is Crit]], Buckets_1_24[[#This Row],[S Cap Diff]], 0)</f>
        <v>0</v>
      </c>
      <c r="EJ29" s="29">
        <f>Buckets_1_24[[#This Row],[Before Fill]]+Buckets_1_24[[#This Row],[Crit To Fill]]</f>
        <v>261.78775404825944</v>
      </c>
      <c r="EK29" s="29">
        <f>IF(NOT(Buckets_1_24[[#This Row],[Is Crit]]), Buckets_1_24[[#This Row],[S Cap Diff]], 0)</f>
        <v>238.21224595174056</v>
      </c>
      <c r="EL29" s="31">
        <f>EJ$41/Buckets_1_24[[#Totals],[NC To Fill]]*Buckets_1_24[[#This Row],[NC To Fill]]</f>
        <v>146.26051342865421</v>
      </c>
      <c r="EM29" s="31">
        <f>Buckets_1_24[[#This Row],[Crit Filled]]+Buckets_1_24[[#This Row],[Scaled]]</f>
        <v>408.04826747691368</v>
      </c>
      <c r="EN29" s="31">
        <f>Buckets_1_24[[#This Row],[NC Filled]]</f>
        <v>408.04826747691368</v>
      </c>
      <c r="EO29" s="31">
        <f>Buckets_1_24[[#This Row],[Capacity]]-Buckets_1_24[[#This Row],[Final]]</f>
        <v>91.951732523086321</v>
      </c>
      <c r="EP29" s="33">
        <f>IF(Buckets_1_24[[#This Row],[Capacity]]=0, 1, Buckets_1_24[[#This Row],[Final]]/Buckets_1_24[[#This Row],[Capacity]])</f>
        <v>0.81609653495382739</v>
      </c>
      <c r="ER29" s="40">
        <f>Buckets_1_24[[#This Row],[Final]]</f>
        <v>408.04826747691368</v>
      </c>
      <c r="ES29" s="40">
        <f>Buckets_1_24[[#This Row],[Capacity]]</f>
        <v>500</v>
      </c>
      <c r="ET29" s="41" t="b">
        <f t="shared" si="31"/>
        <v>0</v>
      </c>
      <c r="EU29" s="42"/>
      <c r="EV29" s="42"/>
      <c r="EW29" s="42"/>
      <c r="EX29" s="42"/>
      <c r="EY29" s="43"/>
      <c r="EZ29" s="40">
        <f t="shared" si="32"/>
        <v>408.04826747691368</v>
      </c>
      <c r="FA29" s="40">
        <f t="shared" si="33"/>
        <v>500</v>
      </c>
      <c r="FB29" s="41" t="b">
        <f t="shared" si="7"/>
        <v>0</v>
      </c>
      <c r="FD29" s="29">
        <f t="shared" si="34"/>
        <v>408.04826747691368</v>
      </c>
      <c r="FE29" s="29">
        <f>GetTransactionTotal(AggregateTable2024[], AggregateTable2024[Start], FD$1, AggregateTable2024[#Headers], $D29)</f>
        <v>-30</v>
      </c>
      <c r="FF29" s="29">
        <f>Buckets_2_24[[#This Row],[Start]]+Buckets_2_24[[#This Row],[Transactions]]</f>
        <v>378.04826747691368</v>
      </c>
      <c r="FG29" s="29">
        <f t="shared" si="35"/>
        <v>500</v>
      </c>
      <c r="FH29" s="29">
        <f>Buckets_2_24[[#This Row],[Capacity]]-Buckets_2_24[[#This Row],[After T]]</f>
        <v>121.95173252308632</v>
      </c>
      <c r="FI29" s="29">
        <f>MAX(-Buckets_2_24[[#This Row],[Cap Diff]], 0)</f>
        <v>0</v>
      </c>
      <c r="FJ29" s="29">
        <f>Buckets_2_24[[#This Row],[After T]]-Buckets_2_24[[#This Row],[Slush]]</f>
        <v>378.04826747691368</v>
      </c>
      <c r="FK29" s="29">
        <f>Buckets_2_24[[#This Row],[Capacity]]-Buckets_2_24[[#This Row],[Before Fill]]</f>
        <v>121.95173252308632</v>
      </c>
      <c r="FL29" t="b">
        <f>OR(FB29, Buckets_2_24[[#This Row],[After T]]&lt;0)</f>
        <v>0</v>
      </c>
      <c r="FM29" s="29">
        <f>IF(Buckets_2_24[[#This Row],[Is Crit]], Buckets_2_24[[#This Row],[S Cap Diff]], 0)</f>
        <v>0</v>
      </c>
      <c r="FN29" s="29">
        <f>Buckets_2_24[[#This Row],[Before Fill]]+Buckets_2_24[[#This Row],[Crit To Fill]]</f>
        <v>378.04826747691368</v>
      </c>
      <c r="FO29" s="29">
        <f>IF(NOT(Buckets_2_24[[#This Row],[Is Crit]]), Buckets_2_24[[#This Row],[S Cap Diff]], 0)</f>
        <v>121.95173252308632</v>
      </c>
      <c r="FP29" s="31">
        <f>FN$41/Buckets_2_24[[#Totals],[NC To Fill]]*Buckets_2_24[[#This Row],[NC To Fill]]</f>
        <v>117.48168115524351</v>
      </c>
      <c r="FQ29" s="31">
        <f>Buckets_2_24[[#This Row],[Crit Filled]]+Buckets_2_24[[#This Row],[Scaled]]</f>
        <v>495.52994863215719</v>
      </c>
      <c r="FR29" s="31">
        <f>Buckets_2_24[[#This Row],[NC Filled]]</f>
        <v>495.52994863215719</v>
      </c>
      <c r="FS29" s="31">
        <f>Buckets_2_24[[#This Row],[Capacity]]-Buckets_2_24[[#This Row],[Final]]</f>
        <v>4.4700513678428138</v>
      </c>
      <c r="FT29" s="33">
        <f>IF(Buckets_2_24[[#This Row],[Capacity]]=0, 1, Buckets_2_24[[#This Row],[Final]]/Buckets_2_24[[#This Row],[Capacity]])</f>
        <v>0.99105989726431443</v>
      </c>
      <c r="FV29" s="40">
        <f>Buckets_2_24[[#This Row],[Final]]</f>
        <v>495.52994863215719</v>
      </c>
      <c r="FW29" s="40">
        <f>Buckets_2_24[[#This Row],[Capacity]]</f>
        <v>500</v>
      </c>
      <c r="FX29" s="41" t="b">
        <f t="shared" si="36"/>
        <v>0</v>
      </c>
      <c r="FY29" s="42"/>
      <c r="FZ29" s="42"/>
      <c r="GA29" s="42"/>
      <c r="GB29" s="42"/>
      <c r="GC29" s="43"/>
      <c r="GD29" s="40">
        <f t="shared" si="37"/>
        <v>495.52994863215719</v>
      </c>
      <c r="GE29" s="40">
        <f t="shared" si="38"/>
        <v>500</v>
      </c>
      <c r="GF29" s="41" t="b">
        <f t="shared" si="8"/>
        <v>0</v>
      </c>
      <c r="GH29" s="29">
        <f t="shared" si="39"/>
        <v>495.52994863215719</v>
      </c>
      <c r="GI29" s="29">
        <f>GetTransactionTotal(AggregateTable2024[], AggregateTable2024[Start], GH$1, AggregateTable2024[#Headers], $D29)</f>
        <v>-30</v>
      </c>
      <c r="GJ29" s="29">
        <f>Buckets_3_24[[#This Row],[Start]]+Buckets_3_24[[#This Row],[Transactions]]</f>
        <v>465.52994863215719</v>
      </c>
      <c r="GK29" s="29">
        <f t="shared" si="40"/>
        <v>500</v>
      </c>
      <c r="GL29" s="29">
        <f>Buckets_3_24[[#This Row],[Capacity]]-Buckets_3_24[[#This Row],[After T]]</f>
        <v>34.470051367842814</v>
      </c>
      <c r="GM29" s="29">
        <f>MAX(-Buckets_3_24[[#This Row],[Cap Diff]], 0)</f>
        <v>0</v>
      </c>
      <c r="GN29" s="29">
        <f>Buckets_3_24[[#This Row],[After T]]-Buckets_3_24[[#This Row],[Slush]]</f>
        <v>465.52994863215719</v>
      </c>
      <c r="GO29" s="29">
        <f>Buckets_3_24[[#This Row],[Capacity]]-Buckets_3_24[[#This Row],[Before Fill]]</f>
        <v>34.470051367842814</v>
      </c>
      <c r="GP29" t="b">
        <f>OR(GF29, Buckets_3_24[[#This Row],[After T]]&lt;0)</f>
        <v>0</v>
      </c>
      <c r="GQ29" s="29">
        <f>IF(Buckets_3_24[[#This Row],[Is Crit]], Buckets_3_24[[#This Row],[S Cap Diff]], 0)</f>
        <v>0</v>
      </c>
      <c r="GR29" s="29">
        <f>Buckets_3_24[[#This Row],[Before Fill]]+Buckets_3_24[[#This Row],[Crit To Fill]]</f>
        <v>465.52994863215719</v>
      </c>
      <c r="GS29" s="29">
        <f>IF(NOT(Buckets_3_24[[#This Row],[Is Crit]]), Buckets_3_24[[#This Row],[S Cap Diff]], 0)</f>
        <v>34.470051367842814</v>
      </c>
      <c r="GT29" s="31">
        <f>GR$41/Buckets_3_24[[#Totals],[NC To Fill]]*Buckets_3_24[[#This Row],[NC To Fill]]</f>
        <v>33.478650919297394</v>
      </c>
      <c r="GU29" s="31">
        <f>Buckets_3_24[[#This Row],[Crit Filled]]+Buckets_3_24[[#This Row],[Scaled]]</f>
        <v>499.00859955145461</v>
      </c>
      <c r="GV29" s="31">
        <f>Buckets_3_24[[#This Row],[NC Filled]]</f>
        <v>499.00859955145461</v>
      </c>
      <c r="GW29" s="31">
        <f>Buckets_3_24[[#This Row],[Capacity]]-Buckets_3_24[[#This Row],[Final]]</f>
        <v>0.99140044854539155</v>
      </c>
      <c r="GX29" s="33">
        <f>IF(Buckets_3_24[[#This Row],[Capacity]]=0, 1, Buckets_3_24[[#This Row],[Final]]/Buckets_3_24[[#This Row],[Capacity]])</f>
        <v>0.9980171991029092</v>
      </c>
      <c r="GZ29" s="40">
        <f>Buckets_3_24[[#This Row],[Final]]</f>
        <v>499.00859955145461</v>
      </c>
      <c r="HA29" s="40">
        <f>Buckets_3_24[[#This Row],[Capacity]]</f>
        <v>500</v>
      </c>
      <c r="HB29" s="41" t="b">
        <f t="shared" si="41"/>
        <v>0</v>
      </c>
      <c r="HC29" s="42"/>
      <c r="HD29" s="42"/>
      <c r="HE29" s="42"/>
      <c r="HF29" s="42"/>
      <c r="HG29" s="43"/>
      <c r="HH29" s="40">
        <f t="shared" si="42"/>
        <v>499.00859955145461</v>
      </c>
      <c r="HI29" s="40">
        <f t="shared" si="43"/>
        <v>500</v>
      </c>
      <c r="HJ29" s="41" t="b">
        <f t="shared" si="9"/>
        <v>0</v>
      </c>
      <c r="HL29" s="29">
        <f t="shared" si="44"/>
        <v>499.00859955145461</v>
      </c>
      <c r="HM29" s="29">
        <f>GetTransactionTotal(AggregateTable2024[], AggregateTable2024[Start], HL$1, AggregateTable2024[#Headers], $D29)</f>
        <v>-40.81</v>
      </c>
      <c r="HN29" s="29">
        <f>Buckets_4_24[[#This Row],[Start]]+Buckets_4_24[[#This Row],[Transactions]]</f>
        <v>458.19859955145461</v>
      </c>
      <c r="HO29" s="29">
        <f t="shared" si="45"/>
        <v>500</v>
      </c>
      <c r="HP29" s="29">
        <f>Buckets_4_24[[#This Row],[Capacity]]-Buckets_4_24[[#This Row],[After T]]</f>
        <v>41.801400448545394</v>
      </c>
      <c r="HQ29" s="29">
        <f>MAX(-Buckets_4_24[[#This Row],[Cap Diff]], 0)</f>
        <v>0</v>
      </c>
      <c r="HR29" s="29">
        <f>Buckets_4_24[[#This Row],[After T]]-Buckets_4_24[[#This Row],[Slush]]</f>
        <v>458.19859955145461</v>
      </c>
      <c r="HS29" s="29">
        <f>Buckets_4_24[[#This Row],[Capacity]]-Buckets_4_24[[#This Row],[Before Fill]]</f>
        <v>41.801400448545394</v>
      </c>
      <c r="HT29" t="b">
        <f>OR(HJ29, Buckets_4_24[[#This Row],[After T]]&lt;0)</f>
        <v>0</v>
      </c>
      <c r="HU29" s="29">
        <f>IF(Buckets_4_24[[#This Row],[Is Crit]], Buckets_4_24[[#This Row],[S Cap Diff]], 0)</f>
        <v>0</v>
      </c>
      <c r="HV29" s="29">
        <f>Buckets_4_24[[#This Row],[Before Fill]]+Buckets_4_24[[#This Row],[Crit To Fill]]</f>
        <v>458.19859955145461</v>
      </c>
      <c r="HW29" s="29">
        <f>IF(NOT(Buckets_4_24[[#This Row],[Is Crit]]), Buckets_4_24[[#This Row],[S Cap Diff]], 0)</f>
        <v>41.801400448545394</v>
      </c>
      <c r="HX29" s="31">
        <f>HV$41/Buckets_4_24[[#Totals],[NC To Fill]]*Buckets_4_24[[#This Row],[NC To Fill]]</f>
        <v>27.278741448707748</v>
      </c>
      <c r="HY29" s="31">
        <f>Buckets_4_24[[#This Row],[Crit Filled]]+Buckets_4_24[[#This Row],[Scaled]]</f>
        <v>485.47734100016237</v>
      </c>
      <c r="HZ29" s="31">
        <f>Buckets_4_24[[#This Row],[NC Filled]]</f>
        <v>485.47734100016237</v>
      </c>
      <c r="IA29" s="31">
        <f>Buckets_4_24[[#This Row],[Capacity]]-Buckets_4_24[[#This Row],[Final]]</f>
        <v>14.522658999837631</v>
      </c>
      <c r="IB29" s="33">
        <f>IF(Buckets_4_24[[#This Row],[Capacity]]=0, 1, Buckets_4_24[[#This Row],[Final]]/Buckets_4_24[[#This Row],[Capacity]])</f>
        <v>0.97095468200032475</v>
      </c>
      <c r="ID29" s="40">
        <f>Buckets_4_24[[#This Row],[Final]]</f>
        <v>485.47734100016237</v>
      </c>
      <c r="IE29" s="40">
        <f>Buckets_4_24[[#This Row],[Capacity]]</f>
        <v>500</v>
      </c>
      <c r="IF29" s="41" t="b">
        <f t="shared" si="46"/>
        <v>0</v>
      </c>
      <c r="IG29" s="42"/>
      <c r="IH29" s="42"/>
      <c r="II29" s="42"/>
      <c r="IJ29" s="42"/>
      <c r="IK29" s="43"/>
      <c r="IL29" s="40">
        <f t="shared" si="47"/>
        <v>485.47734100016237</v>
      </c>
      <c r="IM29" s="40">
        <f t="shared" si="48"/>
        <v>500</v>
      </c>
      <c r="IN29" s="41" t="b">
        <f t="shared" si="10"/>
        <v>0</v>
      </c>
    </row>
    <row r="30" spans="1:248" x14ac:dyDescent="0.25">
      <c r="A30" s="49"/>
      <c r="B30" t="s">
        <v>327</v>
      </c>
      <c r="C30" t="s">
        <v>286</v>
      </c>
      <c r="D30" t="s">
        <v>286</v>
      </c>
      <c r="F30" s="30">
        <v>50</v>
      </c>
      <c r="G30" s="38">
        <v>200</v>
      </c>
      <c r="H30" t="b">
        <v>0</v>
      </c>
      <c r="J30" s="29">
        <f t="shared" si="11"/>
        <v>50</v>
      </c>
      <c r="K30" s="29">
        <f>GetTransactionTotal(AggregateTable2023[], AggregateTable2023[Start], J$1, AggregateTable2023[#Headers], $D30)</f>
        <v>0</v>
      </c>
      <c r="L30" s="29">
        <f>Buckets_9_23[[#This Row],[Start]]+Buckets_9_23[[#This Row],[Transactions]]</f>
        <v>50</v>
      </c>
      <c r="M30" s="29">
        <f t="shared" si="12"/>
        <v>200</v>
      </c>
      <c r="N30" s="29">
        <f>Buckets_9_23[[#This Row],[Capacity]]-Buckets_9_23[[#This Row],[After T]]</f>
        <v>150</v>
      </c>
      <c r="O30" s="29">
        <f>IF(Buckets_9_23[[#This Row],[After T]]&lt;0, Buckets_9_23[[#This Row],[After T]], IF(Buckets_9_23[[#This Row],[Cap Diff]]&lt;0, -Buckets_9_23[[#This Row],[Cap Diff]], 0))</f>
        <v>0</v>
      </c>
      <c r="P30" s="29">
        <f>Buckets_9_23[[#This Row],[After T]]-Buckets_9_23[[#This Row],[Slush]]</f>
        <v>50</v>
      </c>
      <c r="Q30" s="29">
        <f>Buckets_9_23[[#This Row],[Capacity]]-Buckets_9_23[[#This Row],[Before Fill]]</f>
        <v>150</v>
      </c>
      <c r="R30" t="b">
        <f t="shared" si="0"/>
        <v>0</v>
      </c>
      <c r="S30" s="29">
        <f>IF(Buckets_9_23[[#This Row],[Is Crit]], Buckets_9_23[[#This Row],[S Cap Diff]], 0)</f>
        <v>0</v>
      </c>
      <c r="T30" s="29">
        <f>Buckets_9_23[[#This Row],[Before Fill]]+Buckets_9_23[[#This Row],[Crit To Fill]]</f>
        <v>50</v>
      </c>
      <c r="U30" s="29">
        <f>IF(NOT(Buckets_9_23[[#This Row],[Is Crit]]), Buckets_9_23[[#This Row],[S Cap Diff]], 0)</f>
        <v>150</v>
      </c>
      <c r="V30" s="31">
        <f>T$41/Buckets_9_23[[#Totals],[NC To Fill]]*Buckets_9_23[[#This Row],[NC To Fill]]</f>
        <v>130.92263956449588</v>
      </c>
      <c r="W30" s="31">
        <f>Buckets_9_23[[#This Row],[Crit Filled]]+Buckets_9_23[[#This Row],[Scaled]]</f>
        <v>180.92263956449588</v>
      </c>
      <c r="X30" s="31">
        <f>Buckets_9_23[[#This Row],[NC Filled]]</f>
        <v>180.92263956449588</v>
      </c>
      <c r="Y30" s="31">
        <f>Buckets_9_23[[#This Row],[Capacity]]-Buckets_9_23[[#This Row],[Final]]</f>
        <v>19.077360435504119</v>
      </c>
      <c r="Z30" s="33">
        <f>IF(Buckets_9_23[[#This Row],[Capacity]]=0, 1, Buckets_9_23[[#This Row],[Final]]/Buckets_9_23[[#This Row],[Capacity]])</f>
        <v>0.9046131978224794</v>
      </c>
      <c r="AB30" s="31">
        <f>Buckets_9_23[[#This Row],[Final]]</f>
        <v>180.92263956449588</v>
      </c>
      <c r="AC30" s="31">
        <f>Buckets_9_23[[#This Row],[Capacity]]</f>
        <v>200</v>
      </c>
      <c r="AD30" t="b">
        <f t="shared" si="13"/>
        <v>0</v>
      </c>
      <c r="AE30" s="43" t="e">
        <f>NA()</f>
        <v>#N/A</v>
      </c>
      <c r="AF30" s="42"/>
      <c r="AG30" s="43" t="e">
        <f>NA()</f>
        <v>#N/A</v>
      </c>
      <c r="AH30" s="42"/>
      <c r="AI30" s="43"/>
      <c r="AJ30" s="31">
        <f t="shared" si="14"/>
        <v>180.92263956449588</v>
      </c>
      <c r="AK30" s="31">
        <f t="shared" si="15"/>
        <v>200</v>
      </c>
      <c r="AL30" t="b">
        <f t="shared" si="16"/>
        <v>0</v>
      </c>
      <c r="AN30" s="29">
        <f t="shared" si="17"/>
        <v>180.92263956449588</v>
      </c>
      <c r="AO30" s="29">
        <f>GetTransactionTotal(AggregateTable2023[], AggregateTable2023[Start], AN$1, AggregateTable2023[#Headers], $D30)</f>
        <v>-49.480000000000004</v>
      </c>
      <c r="AP30" s="29">
        <f>Buckets_10_23[[#This Row],[Start]]+Buckets_10_23[[#This Row],[Transactions]]</f>
        <v>131.44263956449589</v>
      </c>
      <c r="AQ30" s="29">
        <f t="shared" si="18"/>
        <v>200</v>
      </c>
      <c r="AR30" s="29">
        <f>Buckets_10_23[[#This Row],[Capacity]]-Buckets_10_23[[#This Row],[After T]]</f>
        <v>68.557360435504108</v>
      </c>
      <c r="AS30" s="29">
        <f>MAX(-Buckets_10_23[[#This Row],[Cap Diff]], 0)</f>
        <v>0</v>
      </c>
      <c r="AT30" s="29">
        <f>Buckets_10_23[[#This Row],[After T]]-Buckets_10_23[[#This Row],[Slush]]</f>
        <v>131.44263956449589</v>
      </c>
      <c r="AU30" s="29">
        <f>Buckets_10_23[[#This Row],[Capacity]]-Buckets_10_23[[#This Row],[Before Fill]]</f>
        <v>68.557360435504108</v>
      </c>
      <c r="AV30" t="b">
        <f>OR(AL30, Buckets_10_23[[#This Row],[After T]]&lt;0)</f>
        <v>0</v>
      </c>
      <c r="AW30" s="29">
        <f>IF(Buckets_10_23[[#This Row],[Is Crit]], Buckets_10_23[[#This Row],[S Cap Diff]], 0)</f>
        <v>0</v>
      </c>
      <c r="AX30" s="29">
        <f>Buckets_10_23[[#This Row],[Before Fill]]+Buckets_10_23[[#This Row],[Crit To Fill]]</f>
        <v>131.44263956449589</v>
      </c>
      <c r="AY30" s="29">
        <f>IF(NOT(Buckets_10_23[[#This Row],[Is Crit]]), Buckets_10_23[[#This Row],[S Cap Diff]], 0)</f>
        <v>68.557360435504108</v>
      </c>
      <c r="AZ30" s="31">
        <f>AX$41/Buckets_10_23[[#Totals],[NC To Fill]]*Buckets_10_23[[#This Row],[NC To Fill]]</f>
        <v>40.721175668703296</v>
      </c>
      <c r="BA30" s="31">
        <f>Buckets_10_23[[#This Row],[Crit Filled]]+Buckets_10_23[[#This Row],[Scaled]]</f>
        <v>172.16381523319919</v>
      </c>
      <c r="BB30" s="31">
        <f>Buckets_10_23[[#This Row],[NC Filled]]</f>
        <v>172.16381523319919</v>
      </c>
      <c r="BC30" s="31">
        <f>Buckets_10_23[[#This Row],[Capacity]]-Buckets_10_23[[#This Row],[Final]]</f>
        <v>27.836184766800812</v>
      </c>
      <c r="BD30" s="33">
        <f>IF(Buckets_10_23[[#This Row],[Capacity]]=0, 1, Buckets_10_23[[#This Row],[Final]]/Buckets_10_23[[#This Row],[Capacity]])</f>
        <v>0.86081907616599596</v>
      </c>
      <c r="BF30" s="31">
        <f>Buckets_10_23[[#This Row],[Final]]</f>
        <v>172.16381523319919</v>
      </c>
      <c r="BG30" s="31">
        <f>Buckets_10_23[[#This Row],[Capacity]]</f>
        <v>200</v>
      </c>
      <c r="BH30" t="b">
        <f t="shared" si="19"/>
        <v>0</v>
      </c>
      <c r="BI30" s="43" t="e">
        <f>NA()</f>
        <v>#N/A</v>
      </c>
      <c r="BJ30" s="42"/>
      <c r="BK30" s="43" t="e">
        <f>NA()</f>
        <v>#N/A</v>
      </c>
      <c r="BL30" s="42"/>
      <c r="BM30" s="43"/>
      <c r="BN30" s="31">
        <f t="shared" si="20"/>
        <v>172.16381523319919</v>
      </c>
      <c r="BO30" s="31">
        <f t="shared" si="1"/>
        <v>200</v>
      </c>
      <c r="BP30" t="b">
        <f t="shared" si="2"/>
        <v>0</v>
      </c>
      <c r="BR30" s="29">
        <f t="shared" si="21"/>
        <v>172.16381523319919</v>
      </c>
      <c r="BS30" s="29">
        <f>GetTransactionTotal(AggregateTable2023[], AggregateTable2023[Start], BR$1, AggregateTable2023[#Headers], $D30)</f>
        <v>-186.24</v>
      </c>
      <c r="BT30" s="29">
        <f>Buckets_11_23[[#This Row],[Start]]+Buckets_11_23[[#This Row],[Transactions]]</f>
        <v>-14.076184766800822</v>
      </c>
      <c r="BU30" s="29">
        <f t="shared" si="22"/>
        <v>200</v>
      </c>
      <c r="BV30" s="29">
        <f>Buckets_11_23[[#This Row],[Capacity]]-Buckets_11_23[[#This Row],[After T]]</f>
        <v>214.07618476680082</v>
      </c>
      <c r="BW30" s="29">
        <f>MAX(-Buckets_11_23[[#This Row],[Cap Diff]], 0)</f>
        <v>0</v>
      </c>
      <c r="BX30" s="29">
        <f>Buckets_11_23[[#This Row],[After T]]-Buckets_11_23[[#This Row],[Slush]]</f>
        <v>-14.076184766800822</v>
      </c>
      <c r="BY30" s="29">
        <f>Buckets_11_23[[#This Row],[Capacity]]-Buckets_11_23[[#This Row],[Before Fill]]</f>
        <v>214.07618476680082</v>
      </c>
      <c r="BZ30" t="b">
        <f>OR(BP30, Buckets_11_23[[#This Row],[After T]]&lt;0)</f>
        <v>1</v>
      </c>
      <c r="CA30" s="29">
        <f>IF(Buckets_11_23[[#This Row],[Is Crit]], Buckets_11_23[[#This Row],[S Cap Diff]], 0)</f>
        <v>214.07618476680082</v>
      </c>
      <c r="CB30" s="29">
        <f>Buckets_11_23[[#This Row],[Before Fill]]+Buckets_11_23[[#This Row],[Crit To Fill]]</f>
        <v>200</v>
      </c>
      <c r="CC30" s="29">
        <f>IF(NOT(Buckets_11_23[[#This Row],[Is Crit]]), Buckets_11_23[[#This Row],[S Cap Diff]], 0)</f>
        <v>0</v>
      </c>
      <c r="CD30" s="31">
        <f>CB$41/Buckets_11_23[[#Totals],[NC To Fill]]*Buckets_11_23[[#This Row],[NC To Fill]]</f>
        <v>0</v>
      </c>
      <c r="CE30" s="31">
        <f>Buckets_11_23[[#This Row],[Crit Filled]]+Buckets_11_23[[#This Row],[Scaled]]</f>
        <v>200</v>
      </c>
      <c r="CF30" s="31">
        <f>Buckets_11_23[[#This Row],[NC Filled]]</f>
        <v>200</v>
      </c>
      <c r="CG30" s="31">
        <f>Buckets_11_23[[#This Row],[Capacity]]-Buckets_11_23[[#This Row],[Final]]</f>
        <v>0</v>
      </c>
      <c r="CH30" s="33">
        <f>IF(Buckets_11_23[[#This Row],[Capacity]]=0, 1, Buckets_11_23[[#This Row],[Final]]/Buckets_11_23[[#This Row],[Capacity]])</f>
        <v>1</v>
      </c>
      <c r="CJ30" s="40">
        <f>Buckets_11_23[[#This Row],[Final]]</f>
        <v>200</v>
      </c>
      <c r="CK30" s="40">
        <f>Buckets_11_23[[#This Row],[Capacity]]</f>
        <v>200</v>
      </c>
      <c r="CL30" s="41" t="b">
        <f t="shared" si="23"/>
        <v>0</v>
      </c>
      <c r="CM30" s="42"/>
      <c r="CN30" s="42"/>
      <c r="CO30" s="42" t="e">
        <f>NA()</f>
        <v>#N/A</v>
      </c>
      <c r="CP30" s="42"/>
      <c r="CQ30" s="43"/>
      <c r="CR30" s="40">
        <f t="shared" si="24"/>
        <v>200</v>
      </c>
      <c r="CS30" s="40">
        <f t="shared" si="3"/>
        <v>200</v>
      </c>
      <c r="CT30" s="41" t="b">
        <f t="shared" si="4"/>
        <v>0</v>
      </c>
      <c r="CV30" s="29">
        <f t="shared" si="25"/>
        <v>200</v>
      </c>
      <c r="CW30" s="29">
        <f>GetTransactionTotal(AggregateTable2023[], AggregateTable2023[Start], CV$1, AggregateTable2023[#Headers], $D30)</f>
        <v>0</v>
      </c>
      <c r="CX30" s="29">
        <f>Buckets_12_23[[#This Row],[Start]]+Buckets_12_23[[#This Row],[Transactions]]</f>
        <v>200</v>
      </c>
      <c r="CY30" s="29">
        <f t="shared" si="26"/>
        <v>200</v>
      </c>
      <c r="CZ30" s="29">
        <f>Buckets_12_23[[#This Row],[Capacity]]-Buckets_12_23[[#This Row],[After T]]</f>
        <v>0</v>
      </c>
      <c r="DA30" s="29">
        <f>MAX(-Buckets_12_23[[#This Row],[Cap Diff]], 0)</f>
        <v>0</v>
      </c>
      <c r="DB30" s="29">
        <f>Buckets_12_23[[#This Row],[After T]]-Buckets_12_23[[#This Row],[Slush]]</f>
        <v>200</v>
      </c>
      <c r="DC30" s="29">
        <f>Buckets_12_23[[#This Row],[Capacity]]-Buckets_12_23[[#This Row],[Before Fill]]</f>
        <v>0</v>
      </c>
      <c r="DD30" t="b">
        <f>OR(CT30, Buckets_12_23[[#This Row],[After T]]&lt;0)</f>
        <v>0</v>
      </c>
      <c r="DE30" s="29">
        <f>IF(Buckets_12_23[[#This Row],[Is Crit]], Buckets_12_23[[#This Row],[S Cap Diff]], 0)</f>
        <v>0</v>
      </c>
      <c r="DF30" s="29">
        <f>Buckets_12_23[[#This Row],[Before Fill]]+Buckets_12_23[[#This Row],[Crit To Fill]]</f>
        <v>200</v>
      </c>
      <c r="DG30" s="29">
        <f>IF(NOT(Buckets_12_23[[#This Row],[Is Crit]]), Buckets_12_23[[#This Row],[S Cap Diff]], 0)</f>
        <v>0</v>
      </c>
      <c r="DH30" s="31">
        <f>DF$41/Buckets_12_23[[#Totals],[NC To Fill]]*Buckets_12_23[[#This Row],[NC To Fill]]</f>
        <v>0</v>
      </c>
      <c r="DI30" s="31">
        <f>Buckets_12_23[[#This Row],[Crit Filled]]+Buckets_12_23[[#This Row],[Scaled]]</f>
        <v>200</v>
      </c>
      <c r="DJ30" s="31">
        <f>Buckets_12_23[[#This Row],[NC Filled]]</f>
        <v>200</v>
      </c>
      <c r="DK30" s="31">
        <f>Buckets_12_23[[#This Row],[Capacity]]-Buckets_12_23[[#This Row],[Final]]</f>
        <v>0</v>
      </c>
      <c r="DL30" s="33">
        <f>IF(Buckets_12_23[[#This Row],[Capacity]]=0, 1, Buckets_12_23[[#This Row],[Final]]/Buckets_12_23[[#This Row],[Capacity]])</f>
        <v>1</v>
      </c>
      <c r="DN30" s="40">
        <f>Buckets_12_23[[#This Row],[Final]]</f>
        <v>200</v>
      </c>
      <c r="DO30" s="40">
        <f>Buckets_12_23[[#This Row],[Capacity]]</f>
        <v>200</v>
      </c>
      <c r="DP30" s="41" t="b">
        <f t="shared" si="27"/>
        <v>0</v>
      </c>
      <c r="DQ30" s="42"/>
      <c r="DR30" s="42"/>
      <c r="DS30" s="42" t="e">
        <f>NA()</f>
        <v>#N/A</v>
      </c>
      <c r="DT30" s="42"/>
      <c r="DU30" s="43"/>
      <c r="DV30" s="40">
        <f t="shared" si="28"/>
        <v>200</v>
      </c>
      <c r="DW30" s="40">
        <f t="shared" si="5"/>
        <v>200</v>
      </c>
      <c r="DX30" s="41" t="b">
        <f t="shared" si="6"/>
        <v>0</v>
      </c>
      <c r="DZ30" s="29">
        <f t="shared" si="29"/>
        <v>200</v>
      </c>
      <c r="EA30" s="29">
        <f>GetTransactionTotal(AggregateTable2024[], AggregateTable2024[Start], DZ$1, AggregateTable2024[#Headers], $D30)</f>
        <v>-56.25</v>
      </c>
      <c r="EB30" s="29">
        <f>Buckets_1_24[[#This Row],[Start]]+Buckets_1_24[[#This Row],[Transactions]]</f>
        <v>143.75</v>
      </c>
      <c r="EC30" s="29">
        <f t="shared" si="30"/>
        <v>200</v>
      </c>
      <c r="ED30" s="29">
        <f>Buckets_1_24[[#This Row],[Capacity]]-Buckets_1_24[[#This Row],[After T]]</f>
        <v>56.25</v>
      </c>
      <c r="EE30" s="29">
        <f>MAX(-Buckets_1_24[[#This Row],[Cap Diff]], 0)</f>
        <v>0</v>
      </c>
      <c r="EF30" s="29">
        <f>Buckets_1_24[[#This Row],[After T]]-Buckets_1_24[[#This Row],[Slush]]</f>
        <v>143.75</v>
      </c>
      <c r="EG30" s="29">
        <f>Buckets_1_24[[#This Row],[Capacity]]-Buckets_1_24[[#This Row],[Before Fill]]</f>
        <v>56.25</v>
      </c>
      <c r="EH30" t="b">
        <f>OR(DX30, Buckets_1_24[[#This Row],[After T]]&lt;0)</f>
        <v>0</v>
      </c>
      <c r="EI30" s="29">
        <f>IF(Buckets_1_24[[#This Row],[Is Crit]], Buckets_1_24[[#This Row],[S Cap Diff]], 0)</f>
        <v>0</v>
      </c>
      <c r="EJ30" s="29">
        <f>Buckets_1_24[[#This Row],[Before Fill]]+Buckets_1_24[[#This Row],[Crit To Fill]]</f>
        <v>143.75</v>
      </c>
      <c r="EK30" s="29">
        <f>IF(NOT(Buckets_1_24[[#This Row],[Is Crit]]), Buckets_1_24[[#This Row],[S Cap Diff]], 0)</f>
        <v>56.25</v>
      </c>
      <c r="EL30" s="31">
        <f>EJ$41/Buckets_1_24[[#Totals],[NC To Fill]]*Buckets_1_24[[#This Row],[NC To Fill]]</f>
        <v>34.537073639902374</v>
      </c>
      <c r="EM30" s="31">
        <f>Buckets_1_24[[#This Row],[Crit Filled]]+Buckets_1_24[[#This Row],[Scaled]]</f>
        <v>178.28707363990236</v>
      </c>
      <c r="EN30" s="31">
        <f>Buckets_1_24[[#This Row],[NC Filled]]</f>
        <v>178.28707363990236</v>
      </c>
      <c r="EO30" s="31">
        <f>Buckets_1_24[[#This Row],[Capacity]]-Buckets_1_24[[#This Row],[Final]]</f>
        <v>21.71292636009764</v>
      </c>
      <c r="EP30" s="33">
        <f>IF(Buckets_1_24[[#This Row],[Capacity]]=0, 1, Buckets_1_24[[#This Row],[Final]]/Buckets_1_24[[#This Row],[Capacity]])</f>
        <v>0.89143536819951175</v>
      </c>
      <c r="ER30" s="40">
        <f>Buckets_1_24[[#This Row],[Final]]</f>
        <v>178.28707363990236</v>
      </c>
      <c r="ES30" s="40">
        <f>Buckets_1_24[[#This Row],[Capacity]]</f>
        <v>200</v>
      </c>
      <c r="ET30" s="41" t="b">
        <f t="shared" si="31"/>
        <v>0</v>
      </c>
      <c r="EU30" s="42"/>
      <c r="EV30" s="42"/>
      <c r="EW30" s="42"/>
      <c r="EX30" s="42"/>
      <c r="EY30" s="43"/>
      <c r="EZ30" s="40">
        <f t="shared" si="32"/>
        <v>178.28707363990236</v>
      </c>
      <c r="FA30" s="40">
        <f t="shared" si="33"/>
        <v>200</v>
      </c>
      <c r="FB30" s="41" t="b">
        <f t="shared" si="7"/>
        <v>0</v>
      </c>
      <c r="FD30" s="29">
        <f t="shared" si="34"/>
        <v>178.28707363990236</v>
      </c>
      <c r="FE30" s="29">
        <f>GetTransactionTotal(AggregateTable2024[], AggregateTable2024[Start], FD$1, AggregateTable2024[#Headers], $D30)</f>
        <v>0</v>
      </c>
      <c r="FF30" s="29">
        <f>Buckets_2_24[[#This Row],[Start]]+Buckets_2_24[[#This Row],[Transactions]]</f>
        <v>178.28707363990236</v>
      </c>
      <c r="FG30" s="29">
        <f t="shared" si="35"/>
        <v>200</v>
      </c>
      <c r="FH30" s="29">
        <f>Buckets_2_24[[#This Row],[Capacity]]-Buckets_2_24[[#This Row],[After T]]</f>
        <v>21.71292636009764</v>
      </c>
      <c r="FI30" s="29">
        <f>MAX(-Buckets_2_24[[#This Row],[Cap Diff]], 0)</f>
        <v>0</v>
      </c>
      <c r="FJ30" s="29">
        <f>Buckets_2_24[[#This Row],[After T]]-Buckets_2_24[[#This Row],[Slush]]</f>
        <v>178.28707363990236</v>
      </c>
      <c r="FK30" s="29">
        <f>Buckets_2_24[[#This Row],[Capacity]]-Buckets_2_24[[#This Row],[Before Fill]]</f>
        <v>21.71292636009764</v>
      </c>
      <c r="FL30" t="b">
        <f>OR(FB30, Buckets_2_24[[#This Row],[After T]]&lt;0)</f>
        <v>0</v>
      </c>
      <c r="FM30" s="29">
        <f>IF(Buckets_2_24[[#This Row],[Is Crit]], Buckets_2_24[[#This Row],[S Cap Diff]], 0)</f>
        <v>0</v>
      </c>
      <c r="FN30" s="29">
        <f>Buckets_2_24[[#This Row],[Before Fill]]+Buckets_2_24[[#This Row],[Crit To Fill]]</f>
        <v>178.28707363990236</v>
      </c>
      <c r="FO30" s="29">
        <f>IF(NOT(Buckets_2_24[[#This Row],[Is Crit]]), Buckets_2_24[[#This Row],[S Cap Diff]], 0)</f>
        <v>21.71292636009764</v>
      </c>
      <c r="FP30" s="31">
        <f>FN$41/Buckets_2_24[[#Totals],[NC To Fill]]*Buckets_2_24[[#This Row],[NC To Fill]]</f>
        <v>20.917054959439589</v>
      </c>
      <c r="FQ30" s="31">
        <f>Buckets_2_24[[#This Row],[Crit Filled]]+Buckets_2_24[[#This Row],[Scaled]]</f>
        <v>199.20412859934194</v>
      </c>
      <c r="FR30" s="31">
        <f>Buckets_2_24[[#This Row],[NC Filled]]</f>
        <v>199.20412859934194</v>
      </c>
      <c r="FS30" s="31">
        <f>Buckets_2_24[[#This Row],[Capacity]]-Buckets_2_24[[#This Row],[Final]]</f>
        <v>0.79587140065805784</v>
      </c>
      <c r="FT30" s="33">
        <f>IF(Buckets_2_24[[#This Row],[Capacity]]=0, 1, Buckets_2_24[[#This Row],[Final]]/Buckets_2_24[[#This Row],[Capacity]])</f>
        <v>0.99602064299670967</v>
      </c>
      <c r="FV30" s="40">
        <f>Buckets_2_24[[#This Row],[Final]]</f>
        <v>199.20412859934194</v>
      </c>
      <c r="FW30" s="40">
        <f>Buckets_2_24[[#This Row],[Capacity]]</f>
        <v>200</v>
      </c>
      <c r="FX30" s="41" t="b">
        <f t="shared" si="36"/>
        <v>0</v>
      </c>
      <c r="FY30" s="42"/>
      <c r="FZ30" s="42"/>
      <c r="GA30" s="42"/>
      <c r="GB30" s="42"/>
      <c r="GC30" s="43"/>
      <c r="GD30" s="40">
        <f t="shared" si="37"/>
        <v>199.20412859934194</v>
      </c>
      <c r="GE30" s="40">
        <f t="shared" si="38"/>
        <v>200</v>
      </c>
      <c r="GF30" s="41" t="b">
        <f t="shared" si="8"/>
        <v>0</v>
      </c>
      <c r="GH30" s="29">
        <f t="shared" si="39"/>
        <v>199.20412859934194</v>
      </c>
      <c r="GI30" s="29">
        <f>GetTransactionTotal(AggregateTable2024[], AggregateTable2024[Start], GH$1, AggregateTable2024[#Headers], $D30)</f>
        <v>0</v>
      </c>
      <c r="GJ30" s="29">
        <f>Buckets_3_24[[#This Row],[Start]]+Buckets_3_24[[#This Row],[Transactions]]</f>
        <v>199.20412859934194</v>
      </c>
      <c r="GK30" s="29">
        <f t="shared" si="40"/>
        <v>200</v>
      </c>
      <c r="GL30" s="29">
        <f>Buckets_3_24[[#This Row],[Capacity]]-Buckets_3_24[[#This Row],[After T]]</f>
        <v>0.79587140065805784</v>
      </c>
      <c r="GM30" s="29">
        <f>MAX(-Buckets_3_24[[#This Row],[Cap Diff]], 0)</f>
        <v>0</v>
      </c>
      <c r="GN30" s="29">
        <f>Buckets_3_24[[#This Row],[After T]]-Buckets_3_24[[#This Row],[Slush]]</f>
        <v>199.20412859934194</v>
      </c>
      <c r="GO30" s="29">
        <f>Buckets_3_24[[#This Row],[Capacity]]-Buckets_3_24[[#This Row],[Before Fill]]</f>
        <v>0.79587140065805784</v>
      </c>
      <c r="GP30" t="b">
        <f>OR(GF30, Buckets_3_24[[#This Row],[After T]]&lt;0)</f>
        <v>0</v>
      </c>
      <c r="GQ30" s="29">
        <f>IF(Buckets_3_24[[#This Row],[Is Crit]], Buckets_3_24[[#This Row],[S Cap Diff]], 0)</f>
        <v>0</v>
      </c>
      <c r="GR30" s="29">
        <f>Buckets_3_24[[#This Row],[Before Fill]]+Buckets_3_24[[#This Row],[Crit To Fill]]</f>
        <v>199.20412859934194</v>
      </c>
      <c r="GS30" s="29">
        <f>IF(NOT(Buckets_3_24[[#This Row],[Is Crit]]), Buckets_3_24[[#This Row],[S Cap Diff]], 0)</f>
        <v>0.79587140065805784</v>
      </c>
      <c r="GT30" s="31">
        <f>GR$41/Buckets_3_24[[#Totals],[NC To Fill]]*Buckets_3_24[[#This Row],[NC To Fill]]</f>
        <v>0.77298117472897909</v>
      </c>
      <c r="GU30" s="31">
        <f>Buckets_3_24[[#This Row],[Crit Filled]]+Buckets_3_24[[#This Row],[Scaled]]</f>
        <v>199.97710977407093</v>
      </c>
      <c r="GV30" s="31">
        <f>Buckets_3_24[[#This Row],[NC Filled]]</f>
        <v>199.97710977407093</v>
      </c>
      <c r="GW30" s="31">
        <f>Buckets_3_24[[#This Row],[Capacity]]-Buckets_3_24[[#This Row],[Final]]</f>
        <v>2.2890225929074859E-2</v>
      </c>
      <c r="GX30" s="33">
        <f>IF(Buckets_3_24[[#This Row],[Capacity]]=0, 1, Buckets_3_24[[#This Row],[Final]]/Buckets_3_24[[#This Row],[Capacity]])</f>
        <v>0.99988554887035463</v>
      </c>
      <c r="GZ30" s="40">
        <f>Buckets_3_24[[#This Row],[Final]]</f>
        <v>199.97710977407093</v>
      </c>
      <c r="HA30" s="40">
        <f>Buckets_3_24[[#This Row],[Capacity]]</f>
        <v>200</v>
      </c>
      <c r="HB30" s="41" t="b">
        <f t="shared" si="41"/>
        <v>0</v>
      </c>
      <c r="HC30" s="42"/>
      <c r="HD30" s="42"/>
      <c r="HE30" s="42"/>
      <c r="HF30" s="42"/>
      <c r="HG30" s="43"/>
      <c r="HH30" s="40">
        <f t="shared" si="42"/>
        <v>199.97710977407093</v>
      </c>
      <c r="HI30" s="40">
        <f t="shared" si="43"/>
        <v>200</v>
      </c>
      <c r="HJ30" s="41" t="b">
        <f t="shared" si="9"/>
        <v>0</v>
      </c>
      <c r="HL30" s="29">
        <f t="shared" si="44"/>
        <v>199.97710977407093</v>
      </c>
      <c r="HM30" s="29">
        <f>GetTransactionTotal(AggregateTable2024[], AggregateTable2024[Start], HL$1, AggregateTable2024[#Headers], $D30)</f>
        <v>-34</v>
      </c>
      <c r="HN30" s="29">
        <f>Buckets_4_24[[#This Row],[Start]]+Buckets_4_24[[#This Row],[Transactions]]</f>
        <v>165.97710977407093</v>
      </c>
      <c r="HO30" s="29">
        <f t="shared" si="45"/>
        <v>200</v>
      </c>
      <c r="HP30" s="29">
        <f>Buckets_4_24[[#This Row],[Capacity]]-Buckets_4_24[[#This Row],[After T]]</f>
        <v>34.022890225929075</v>
      </c>
      <c r="HQ30" s="29">
        <f>MAX(-Buckets_4_24[[#This Row],[Cap Diff]], 0)</f>
        <v>0</v>
      </c>
      <c r="HR30" s="29">
        <f>Buckets_4_24[[#This Row],[After T]]-Buckets_4_24[[#This Row],[Slush]]</f>
        <v>165.97710977407093</v>
      </c>
      <c r="HS30" s="29">
        <f>Buckets_4_24[[#This Row],[Capacity]]-Buckets_4_24[[#This Row],[Before Fill]]</f>
        <v>34.022890225929075</v>
      </c>
      <c r="HT30" t="b">
        <f>OR(HJ30, Buckets_4_24[[#This Row],[After T]]&lt;0)</f>
        <v>0</v>
      </c>
      <c r="HU30" s="29">
        <f>IF(Buckets_4_24[[#This Row],[Is Crit]], Buckets_4_24[[#This Row],[S Cap Diff]], 0)</f>
        <v>0</v>
      </c>
      <c r="HV30" s="29">
        <f>Buckets_4_24[[#This Row],[Before Fill]]+Buckets_4_24[[#This Row],[Crit To Fill]]</f>
        <v>165.97710977407093</v>
      </c>
      <c r="HW30" s="29">
        <f>IF(NOT(Buckets_4_24[[#This Row],[Is Crit]]), Buckets_4_24[[#This Row],[S Cap Diff]], 0)</f>
        <v>34.022890225929075</v>
      </c>
      <c r="HX30" s="31">
        <f>HV$41/Buckets_4_24[[#Totals],[NC To Fill]]*Buckets_4_24[[#This Row],[NC To Fill]]</f>
        <v>22.202644309807596</v>
      </c>
      <c r="HY30" s="31">
        <f>Buckets_4_24[[#This Row],[Crit Filled]]+Buckets_4_24[[#This Row],[Scaled]]</f>
        <v>188.17975408387852</v>
      </c>
      <c r="HZ30" s="31">
        <f>Buckets_4_24[[#This Row],[NC Filled]]</f>
        <v>188.17975408387852</v>
      </c>
      <c r="IA30" s="31">
        <f>Buckets_4_24[[#This Row],[Capacity]]-Buckets_4_24[[#This Row],[Final]]</f>
        <v>11.820245916121479</v>
      </c>
      <c r="IB30" s="33">
        <f>IF(Buckets_4_24[[#This Row],[Capacity]]=0, 1, Buckets_4_24[[#This Row],[Final]]/Buckets_4_24[[#This Row],[Capacity]])</f>
        <v>0.94089877041939263</v>
      </c>
      <c r="ID30" s="40">
        <f>Buckets_4_24[[#This Row],[Final]]</f>
        <v>188.17975408387852</v>
      </c>
      <c r="IE30" s="40">
        <f>Buckets_4_24[[#This Row],[Capacity]]</f>
        <v>200</v>
      </c>
      <c r="IF30" s="41" t="b">
        <f t="shared" si="46"/>
        <v>0</v>
      </c>
      <c r="IG30" s="42"/>
      <c r="IH30" s="42"/>
      <c r="II30" s="42"/>
      <c r="IJ30" s="42"/>
      <c r="IK30" s="43"/>
      <c r="IL30" s="40">
        <f t="shared" si="47"/>
        <v>188.17975408387852</v>
      </c>
      <c r="IM30" s="40">
        <f t="shared" si="48"/>
        <v>200</v>
      </c>
      <c r="IN30" s="41" t="b">
        <f t="shared" si="10"/>
        <v>0</v>
      </c>
    </row>
    <row r="31" spans="1:248" x14ac:dyDescent="0.25">
      <c r="A31" s="49" t="s">
        <v>212</v>
      </c>
      <c r="B31" t="s">
        <v>328</v>
      </c>
      <c r="C31" t="s">
        <v>309</v>
      </c>
      <c r="D31" t="s">
        <v>309</v>
      </c>
      <c r="F31" s="30">
        <v>0</v>
      </c>
      <c r="G31" s="38">
        <v>0</v>
      </c>
      <c r="H31" t="b">
        <v>0</v>
      </c>
      <c r="J31" s="29">
        <f t="shared" si="11"/>
        <v>0</v>
      </c>
      <c r="K31" s="29">
        <f>GetTransactionTotal(AggregateTable2023[], AggregateTable2023[Start], J$1, AggregateTable2023[#Headers], $D31)</f>
        <v>5000</v>
      </c>
      <c r="L31" s="29">
        <f>Buckets_9_23[[#This Row],[Start]]+Buckets_9_23[[#This Row],[Transactions]]</f>
        <v>5000</v>
      </c>
      <c r="M31" s="29">
        <f t="shared" si="12"/>
        <v>0</v>
      </c>
      <c r="N31" s="29">
        <f>Buckets_9_23[[#This Row],[Capacity]]-Buckets_9_23[[#This Row],[After T]]</f>
        <v>-5000</v>
      </c>
      <c r="O31" s="29">
        <f>IF(Buckets_9_23[[#This Row],[After T]]&lt;0, Buckets_9_23[[#This Row],[After T]], IF(Buckets_9_23[[#This Row],[Cap Diff]]&lt;0, -Buckets_9_23[[#This Row],[Cap Diff]], 0))</f>
        <v>5000</v>
      </c>
      <c r="P31" s="29">
        <f>Buckets_9_23[[#This Row],[After T]]-Buckets_9_23[[#This Row],[Slush]]</f>
        <v>0</v>
      </c>
      <c r="Q31" s="29">
        <f>Buckets_9_23[[#This Row],[Capacity]]-Buckets_9_23[[#This Row],[Before Fill]]</f>
        <v>0</v>
      </c>
      <c r="R31" t="b">
        <f t="shared" si="0"/>
        <v>0</v>
      </c>
      <c r="S31" s="29">
        <f>IF(Buckets_9_23[[#This Row],[Is Crit]], Buckets_9_23[[#This Row],[S Cap Diff]], 0)</f>
        <v>0</v>
      </c>
      <c r="T31" s="29">
        <f>Buckets_9_23[[#This Row],[Before Fill]]+Buckets_9_23[[#This Row],[Crit To Fill]]</f>
        <v>0</v>
      </c>
      <c r="U31" s="29">
        <f>IF(NOT(Buckets_9_23[[#This Row],[Is Crit]]), Buckets_9_23[[#This Row],[S Cap Diff]], 0)</f>
        <v>0</v>
      </c>
      <c r="V31" s="31">
        <f>T$41/Buckets_9_23[[#Totals],[NC To Fill]]*Buckets_9_23[[#This Row],[NC To Fill]]</f>
        <v>0</v>
      </c>
      <c r="W31" s="31">
        <f>Buckets_9_23[[#This Row],[Crit Filled]]+Buckets_9_23[[#This Row],[Scaled]]</f>
        <v>0</v>
      </c>
      <c r="X31" s="31">
        <f>Buckets_9_23[[#This Row],[NC Filled]]</f>
        <v>0</v>
      </c>
      <c r="Y31" s="31">
        <f>Buckets_9_23[[#This Row],[Capacity]]-Buckets_9_23[[#This Row],[Final]]</f>
        <v>0</v>
      </c>
      <c r="Z31" s="33">
        <f>IF(Buckets_9_23[[#This Row],[Capacity]]=0, 1, Buckets_9_23[[#This Row],[Final]]/Buckets_9_23[[#This Row],[Capacity]])</f>
        <v>1</v>
      </c>
      <c r="AB31" s="31">
        <f>Buckets_9_23[[#This Row],[Final]]</f>
        <v>0</v>
      </c>
      <c r="AC31" s="31">
        <f>Buckets_9_23[[#This Row],[Capacity]]</f>
        <v>0</v>
      </c>
      <c r="AD31" t="b">
        <f t="shared" si="13"/>
        <v>0</v>
      </c>
      <c r="AE31" s="43" t="e">
        <f>NA()</f>
        <v>#N/A</v>
      </c>
      <c r="AF31" s="42"/>
      <c r="AG31" s="43" t="e">
        <f>NA()</f>
        <v>#N/A</v>
      </c>
      <c r="AH31" s="42"/>
      <c r="AI31" s="43"/>
      <c r="AJ31" s="31">
        <f t="shared" si="14"/>
        <v>0</v>
      </c>
      <c r="AK31" s="31">
        <f t="shared" si="15"/>
        <v>0</v>
      </c>
      <c r="AL31" t="b">
        <f t="shared" si="16"/>
        <v>0</v>
      </c>
      <c r="AN31" s="29">
        <f t="shared" si="17"/>
        <v>0</v>
      </c>
      <c r="AO31" s="29">
        <f>GetTransactionTotal(AggregateTable2023[], AggregateTable2023[Start], AN$1, AggregateTable2023[#Headers], $D31)</f>
        <v>-1000</v>
      </c>
      <c r="AP31" s="29">
        <f>Buckets_10_23[[#This Row],[Start]]+Buckets_10_23[[#This Row],[Transactions]]</f>
        <v>-1000</v>
      </c>
      <c r="AQ31" s="29">
        <f t="shared" si="18"/>
        <v>0</v>
      </c>
      <c r="AR31" s="29">
        <f>Buckets_10_23[[#This Row],[Capacity]]-Buckets_10_23[[#This Row],[After T]]</f>
        <v>1000</v>
      </c>
      <c r="AS31" s="29">
        <f>MAX(-Buckets_10_23[[#This Row],[Cap Diff]], 0)</f>
        <v>0</v>
      </c>
      <c r="AT31" s="29">
        <f>Buckets_10_23[[#This Row],[After T]]-Buckets_10_23[[#This Row],[Slush]]</f>
        <v>-1000</v>
      </c>
      <c r="AU31" s="29">
        <f>Buckets_10_23[[#This Row],[Capacity]]-Buckets_10_23[[#This Row],[Before Fill]]</f>
        <v>1000</v>
      </c>
      <c r="AV31" t="b">
        <f>OR(AL31, Buckets_10_23[[#This Row],[After T]]&lt;0)</f>
        <v>1</v>
      </c>
      <c r="AW31" s="29">
        <f>IF(Buckets_10_23[[#This Row],[Is Crit]], Buckets_10_23[[#This Row],[S Cap Diff]], 0)</f>
        <v>1000</v>
      </c>
      <c r="AX31" s="29">
        <f>Buckets_10_23[[#This Row],[Before Fill]]+Buckets_10_23[[#This Row],[Crit To Fill]]</f>
        <v>0</v>
      </c>
      <c r="AY31" s="29">
        <f>IF(NOT(Buckets_10_23[[#This Row],[Is Crit]]), Buckets_10_23[[#This Row],[S Cap Diff]], 0)</f>
        <v>0</v>
      </c>
      <c r="AZ31" s="31">
        <f>AX$41/Buckets_10_23[[#Totals],[NC To Fill]]*Buckets_10_23[[#This Row],[NC To Fill]]</f>
        <v>0</v>
      </c>
      <c r="BA31" s="31">
        <f>Buckets_10_23[[#This Row],[Crit Filled]]+Buckets_10_23[[#This Row],[Scaled]]</f>
        <v>0</v>
      </c>
      <c r="BB31" s="31">
        <f>Buckets_10_23[[#This Row],[NC Filled]]</f>
        <v>0</v>
      </c>
      <c r="BC31" s="31">
        <f>Buckets_10_23[[#This Row],[Capacity]]-Buckets_10_23[[#This Row],[Final]]</f>
        <v>0</v>
      </c>
      <c r="BD31" s="33">
        <f>IF(Buckets_10_23[[#This Row],[Capacity]]=0, 1, Buckets_10_23[[#This Row],[Final]]/Buckets_10_23[[#This Row],[Capacity]])</f>
        <v>1</v>
      </c>
      <c r="BF31" s="31">
        <f>Buckets_10_23[[#This Row],[Final]]</f>
        <v>0</v>
      </c>
      <c r="BG31" s="31">
        <f>Buckets_10_23[[#This Row],[Capacity]]</f>
        <v>0</v>
      </c>
      <c r="BH31" t="b">
        <f t="shared" si="19"/>
        <v>0</v>
      </c>
      <c r="BI31" s="43" t="e">
        <f>NA()</f>
        <v>#N/A</v>
      </c>
      <c r="BJ31" s="42"/>
      <c r="BK31" s="43" t="e">
        <f>NA()</f>
        <v>#N/A</v>
      </c>
      <c r="BL31" s="42"/>
      <c r="BM31" s="43"/>
      <c r="BN31" s="31">
        <f t="shared" si="20"/>
        <v>0</v>
      </c>
      <c r="BO31" s="31">
        <f t="shared" si="1"/>
        <v>0</v>
      </c>
      <c r="BP31" t="b">
        <f t="shared" si="2"/>
        <v>0</v>
      </c>
      <c r="BR31" s="29">
        <f t="shared" si="21"/>
        <v>0</v>
      </c>
      <c r="BS31" s="29">
        <f>GetTransactionTotal(AggregateTable2023[], AggregateTable2023[Start], BR$1, AggregateTable2023[#Headers], $D31)</f>
        <v>0</v>
      </c>
      <c r="BT31" s="29">
        <f>Buckets_11_23[[#This Row],[Start]]+Buckets_11_23[[#This Row],[Transactions]]</f>
        <v>0</v>
      </c>
      <c r="BU31" s="29">
        <f t="shared" si="22"/>
        <v>0</v>
      </c>
      <c r="BV31" s="29">
        <f>Buckets_11_23[[#This Row],[Capacity]]-Buckets_11_23[[#This Row],[After T]]</f>
        <v>0</v>
      </c>
      <c r="BW31" s="29">
        <f>MAX(-Buckets_11_23[[#This Row],[Cap Diff]], 0)</f>
        <v>0</v>
      </c>
      <c r="BX31" s="29">
        <f>Buckets_11_23[[#This Row],[After T]]-Buckets_11_23[[#This Row],[Slush]]</f>
        <v>0</v>
      </c>
      <c r="BY31" s="29">
        <f>Buckets_11_23[[#This Row],[Capacity]]-Buckets_11_23[[#This Row],[Before Fill]]</f>
        <v>0</v>
      </c>
      <c r="BZ31" t="b">
        <f>OR(BP31, Buckets_11_23[[#This Row],[After T]]&lt;0)</f>
        <v>0</v>
      </c>
      <c r="CA31" s="29">
        <f>IF(Buckets_11_23[[#This Row],[Is Crit]], Buckets_11_23[[#This Row],[S Cap Diff]], 0)</f>
        <v>0</v>
      </c>
      <c r="CB31" s="29">
        <f>Buckets_11_23[[#This Row],[Before Fill]]+Buckets_11_23[[#This Row],[Crit To Fill]]</f>
        <v>0</v>
      </c>
      <c r="CC31" s="29">
        <f>IF(NOT(Buckets_11_23[[#This Row],[Is Crit]]), Buckets_11_23[[#This Row],[S Cap Diff]], 0)</f>
        <v>0</v>
      </c>
      <c r="CD31" s="31">
        <f>CB$41/Buckets_11_23[[#Totals],[NC To Fill]]*Buckets_11_23[[#This Row],[NC To Fill]]</f>
        <v>0</v>
      </c>
      <c r="CE31" s="31">
        <f>Buckets_11_23[[#This Row],[Crit Filled]]+Buckets_11_23[[#This Row],[Scaled]]</f>
        <v>0</v>
      </c>
      <c r="CF31" s="31">
        <f>Buckets_11_23[[#This Row],[NC Filled]]</f>
        <v>0</v>
      </c>
      <c r="CG31" s="31">
        <f>Buckets_11_23[[#This Row],[Capacity]]-Buckets_11_23[[#This Row],[Final]]</f>
        <v>0</v>
      </c>
      <c r="CH31" s="33">
        <f>IF(Buckets_11_23[[#This Row],[Capacity]]=0, 1, Buckets_11_23[[#This Row],[Final]]/Buckets_11_23[[#This Row],[Capacity]])</f>
        <v>1</v>
      </c>
      <c r="CJ31" s="40">
        <f>Buckets_11_23[[#This Row],[Final]]</f>
        <v>0</v>
      </c>
      <c r="CK31" s="40">
        <f>Buckets_11_23[[#This Row],[Capacity]]</f>
        <v>0</v>
      </c>
      <c r="CL31" s="41" t="b">
        <f t="shared" si="23"/>
        <v>0</v>
      </c>
      <c r="CM31" s="42"/>
      <c r="CN31" s="42"/>
      <c r="CO31" s="42" t="e">
        <f>NA()</f>
        <v>#N/A</v>
      </c>
      <c r="CP31" s="42"/>
      <c r="CQ31" s="43"/>
      <c r="CR31" s="40">
        <f t="shared" si="24"/>
        <v>0</v>
      </c>
      <c r="CS31" s="40">
        <f t="shared" si="3"/>
        <v>0</v>
      </c>
      <c r="CT31" s="41" t="b">
        <f t="shared" si="4"/>
        <v>0</v>
      </c>
      <c r="CV31" s="29">
        <f t="shared" si="25"/>
        <v>0</v>
      </c>
      <c r="CW31" s="29">
        <f>GetTransactionTotal(AggregateTable2023[], AggregateTable2023[Start], CV$1, AggregateTable2023[#Headers], $D31)</f>
        <v>0</v>
      </c>
      <c r="CX31" s="29">
        <f>Buckets_12_23[[#This Row],[Start]]+Buckets_12_23[[#This Row],[Transactions]]</f>
        <v>0</v>
      </c>
      <c r="CY31" s="29">
        <f t="shared" si="26"/>
        <v>0</v>
      </c>
      <c r="CZ31" s="29">
        <f>Buckets_12_23[[#This Row],[Capacity]]-Buckets_12_23[[#This Row],[After T]]</f>
        <v>0</v>
      </c>
      <c r="DA31" s="29">
        <f>MAX(-Buckets_12_23[[#This Row],[Cap Diff]], 0)</f>
        <v>0</v>
      </c>
      <c r="DB31" s="29">
        <f>Buckets_12_23[[#This Row],[After T]]-Buckets_12_23[[#This Row],[Slush]]</f>
        <v>0</v>
      </c>
      <c r="DC31" s="29">
        <f>Buckets_12_23[[#This Row],[Capacity]]-Buckets_12_23[[#This Row],[Before Fill]]</f>
        <v>0</v>
      </c>
      <c r="DD31" t="b">
        <f>OR(CT31, Buckets_12_23[[#This Row],[After T]]&lt;0)</f>
        <v>0</v>
      </c>
      <c r="DE31" s="29">
        <f>IF(Buckets_12_23[[#This Row],[Is Crit]], Buckets_12_23[[#This Row],[S Cap Diff]], 0)</f>
        <v>0</v>
      </c>
      <c r="DF31" s="29">
        <f>Buckets_12_23[[#This Row],[Before Fill]]+Buckets_12_23[[#This Row],[Crit To Fill]]</f>
        <v>0</v>
      </c>
      <c r="DG31" s="29">
        <f>IF(NOT(Buckets_12_23[[#This Row],[Is Crit]]), Buckets_12_23[[#This Row],[S Cap Diff]], 0)</f>
        <v>0</v>
      </c>
      <c r="DH31" s="31">
        <f>DF$41/Buckets_12_23[[#Totals],[NC To Fill]]*Buckets_12_23[[#This Row],[NC To Fill]]</f>
        <v>0</v>
      </c>
      <c r="DI31" s="31">
        <f>Buckets_12_23[[#This Row],[Crit Filled]]+Buckets_12_23[[#This Row],[Scaled]]</f>
        <v>0</v>
      </c>
      <c r="DJ31" s="31">
        <f>Buckets_12_23[[#This Row],[NC Filled]]</f>
        <v>0</v>
      </c>
      <c r="DK31" s="31">
        <f>Buckets_12_23[[#This Row],[Capacity]]-Buckets_12_23[[#This Row],[Final]]</f>
        <v>0</v>
      </c>
      <c r="DL31" s="33">
        <f>IF(Buckets_12_23[[#This Row],[Capacity]]=0, 1, Buckets_12_23[[#This Row],[Final]]/Buckets_12_23[[#This Row],[Capacity]])</f>
        <v>1</v>
      </c>
      <c r="DN31" s="40">
        <f>Buckets_12_23[[#This Row],[Final]]</f>
        <v>0</v>
      </c>
      <c r="DO31" s="40">
        <f>Buckets_12_23[[#This Row],[Capacity]]</f>
        <v>0</v>
      </c>
      <c r="DP31" s="41" t="b">
        <f t="shared" si="27"/>
        <v>0</v>
      </c>
      <c r="DQ31" s="42"/>
      <c r="DR31" s="42"/>
      <c r="DS31" s="42" t="e">
        <f>NA()</f>
        <v>#N/A</v>
      </c>
      <c r="DT31" s="42"/>
      <c r="DU31" s="43"/>
      <c r="DV31" s="40">
        <f t="shared" si="28"/>
        <v>0</v>
      </c>
      <c r="DW31" s="40">
        <f t="shared" si="5"/>
        <v>0</v>
      </c>
      <c r="DX31" s="41" t="b">
        <f t="shared" si="6"/>
        <v>0</v>
      </c>
      <c r="DZ31" s="29">
        <f t="shared" si="29"/>
        <v>0</v>
      </c>
      <c r="EA31" s="29">
        <f>GetTransactionTotal(AggregateTable2024[], AggregateTable2024[Start], DZ$1, AggregateTable2024[#Headers], $D31)</f>
        <v>0</v>
      </c>
      <c r="EB31" s="29">
        <f>Buckets_1_24[[#This Row],[Start]]+Buckets_1_24[[#This Row],[Transactions]]</f>
        <v>0</v>
      </c>
      <c r="EC31" s="29">
        <f t="shared" si="30"/>
        <v>0</v>
      </c>
      <c r="ED31" s="29">
        <f>Buckets_1_24[[#This Row],[Capacity]]-Buckets_1_24[[#This Row],[After T]]</f>
        <v>0</v>
      </c>
      <c r="EE31" s="29">
        <f>MAX(-Buckets_1_24[[#This Row],[Cap Diff]], 0)</f>
        <v>0</v>
      </c>
      <c r="EF31" s="29">
        <f>Buckets_1_24[[#This Row],[After T]]-Buckets_1_24[[#This Row],[Slush]]</f>
        <v>0</v>
      </c>
      <c r="EG31" s="29">
        <f>Buckets_1_24[[#This Row],[Capacity]]-Buckets_1_24[[#This Row],[Before Fill]]</f>
        <v>0</v>
      </c>
      <c r="EH31" t="b">
        <f>OR(DX31, Buckets_1_24[[#This Row],[After T]]&lt;0)</f>
        <v>0</v>
      </c>
      <c r="EI31" s="29">
        <f>IF(Buckets_1_24[[#This Row],[Is Crit]], Buckets_1_24[[#This Row],[S Cap Diff]], 0)</f>
        <v>0</v>
      </c>
      <c r="EJ31" s="29">
        <f>Buckets_1_24[[#This Row],[Before Fill]]+Buckets_1_24[[#This Row],[Crit To Fill]]</f>
        <v>0</v>
      </c>
      <c r="EK31" s="29">
        <f>IF(NOT(Buckets_1_24[[#This Row],[Is Crit]]), Buckets_1_24[[#This Row],[S Cap Diff]], 0)</f>
        <v>0</v>
      </c>
      <c r="EL31" s="31">
        <f>EJ$41/Buckets_1_24[[#Totals],[NC To Fill]]*Buckets_1_24[[#This Row],[NC To Fill]]</f>
        <v>0</v>
      </c>
      <c r="EM31" s="31">
        <f>Buckets_1_24[[#This Row],[Crit Filled]]+Buckets_1_24[[#This Row],[Scaled]]</f>
        <v>0</v>
      </c>
      <c r="EN31" s="31">
        <f>Buckets_1_24[[#This Row],[NC Filled]]</f>
        <v>0</v>
      </c>
      <c r="EO31" s="31">
        <f>Buckets_1_24[[#This Row],[Capacity]]-Buckets_1_24[[#This Row],[Final]]</f>
        <v>0</v>
      </c>
      <c r="EP31" s="33">
        <f>IF(Buckets_1_24[[#This Row],[Capacity]]=0, 1, Buckets_1_24[[#This Row],[Final]]/Buckets_1_24[[#This Row],[Capacity]])</f>
        <v>1</v>
      </c>
      <c r="ER31" s="40">
        <f>Buckets_1_24[[#This Row],[Final]]</f>
        <v>0</v>
      </c>
      <c r="ES31" s="40">
        <f>Buckets_1_24[[#This Row],[Capacity]]</f>
        <v>0</v>
      </c>
      <c r="ET31" s="41" t="b">
        <f t="shared" si="31"/>
        <v>0</v>
      </c>
      <c r="EU31" s="42"/>
      <c r="EV31" s="42"/>
      <c r="EW31" s="42"/>
      <c r="EX31" s="42"/>
      <c r="EY31" s="43"/>
      <c r="EZ31" s="40">
        <f t="shared" si="32"/>
        <v>0</v>
      </c>
      <c r="FA31" s="40">
        <f t="shared" si="33"/>
        <v>0</v>
      </c>
      <c r="FB31" s="41" t="b">
        <f t="shared" si="7"/>
        <v>0</v>
      </c>
      <c r="FD31" s="29">
        <f t="shared" si="34"/>
        <v>0</v>
      </c>
      <c r="FE31" s="29">
        <f>GetTransactionTotal(AggregateTable2024[], AggregateTable2024[Start], FD$1, AggregateTable2024[#Headers], $D31)</f>
        <v>0</v>
      </c>
      <c r="FF31" s="29">
        <f>Buckets_2_24[[#This Row],[Start]]+Buckets_2_24[[#This Row],[Transactions]]</f>
        <v>0</v>
      </c>
      <c r="FG31" s="29">
        <f t="shared" si="35"/>
        <v>0</v>
      </c>
      <c r="FH31" s="29">
        <f>Buckets_2_24[[#This Row],[Capacity]]-Buckets_2_24[[#This Row],[After T]]</f>
        <v>0</v>
      </c>
      <c r="FI31" s="29">
        <f>MAX(-Buckets_2_24[[#This Row],[Cap Diff]], 0)</f>
        <v>0</v>
      </c>
      <c r="FJ31" s="29">
        <f>Buckets_2_24[[#This Row],[After T]]-Buckets_2_24[[#This Row],[Slush]]</f>
        <v>0</v>
      </c>
      <c r="FK31" s="29">
        <f>Buckets_2_24[[#This Row],[Capacity]]-Buckets_2_24[[#This Row],[Before Fill]]</f>
        <v>0</v>
      </c>
      <c r="FL31" t="b">
        <f>OR(FB31, Buckets_2_24[[#This Row],[After T]]&lt;0)</f>
        <v>0</v>
      </c>
      <c r="FM31" s="29">
        <f>IF(Buckets_2_24[[#This Row],[Is Crit]], Buckets_2_24[[#This Row],[S Cap Diff]], 0)</f>
        <v>0</v>
      </c>
      <c r="FN31" s="29">
        <f>Buckets_2_24[[#This Row],[Before Fill]]+Buckets_2_24[[#This Row],[Crit To Fill]]</f>
        <v>0</v>
      </c>
      <c r="FO31" s="29">
        <f>IF(NOT(Buckets_2_24[[#This Row],[Is Crit]]), Buckets_2_24[[#This Row],[S Cap Diff]], 0)</f>
        <v>0</v>
      </c>
      <c r="FP31" s="31">
        <f>FN$41/Buckets_2_24[[#Totals],[NC To Fill]]*Buckets_2_24[[#This Row],[NC To Fill]]</f>
        <v>0</v>
      </c>
      <c r="FQ31" s="31">
        <f>Buckets_2_24[[#This Row],[Crit Filled]]+Buckets_2_24[[#This Row],[Scaled]]</f>
        <v>0</v>
      </c>
      <c r="FR31" s="31">
        <f>Buckets_2_24[[#This Row],[NC Filled]]</f>
        <v>0</v>
      </c>
      <c r="FS31" s="31">
        <f>Buckets_2_24[[#This Row],[Capacity]]-Buckets_2_24[[#This Row],[Final]]</f>
        <v>0</v>
      </c>
      <c r="FT31" s="33">
        <f>IF(Buckets_2_24[[#This Row],[Capacity]]=0, 1, Buckets_2_24[[#This Row],[Final]]/Buckets_2_24[[#This Row],[Capacity]])</f>
        <v>1</v>
      </c>
      <c r="FV31" s="40">
        <f>Buckets_2_24[[#This Row],[Final]]</f>
        <v>0</v>
      </c>
      <c r="FW31" s="40">
        <f>Buckets_2_24[[#This Row],[Capacity]]</f>
        <v>0</v>
      </c>
      <c r="FX31" s="41" t="b">
        <f t="shared" si="36"/>
        <v>0</v>
      </c>
      <c r="FY31" s="42"/>
      <c r="FZ31" s="42"/>
      <c r="GA31" s="42"/>
      <c r="GB31" s="42"/>
      <c r="GC31" s="43"/>
      <c r="GD31" s="40">
        <f t="shared" si="37"/>
        <v>0</v>
      </c>
      <c r="GE31" s="40">
        <f t="shared" si="38"/>
        <v>0</v>
      </c>
      <c r="GF31" s="41" t="b">
        <f t="shared" si="8"/>
        <v>0</v>
      </c>
      <c r="GH31" s="29">
        <f t="shared" si="39"/>
        <v>0</v>
      </c>
      <c r="GI31" s="29">
        <f>GetTransactionTotal(AggregateTable2024[], AggregateTable2024[Start], GH$1, AggregateTable2024[#Headers], $D31)</f>
        <v>0</v>
      </c>
      <c r="GJ31" s="29">
        <f>Buckets_3_24[[#This Row],[Start]]+Buckets_3_24[[#This Row],[Transactions]]</f>
        <v>0</v>
      </c>
      <c r="GK31" s="29">
        <f t="shared" si="40"/>
        <v>0</v>
      </c>
      <c r="GL31" s="29">
        <f>Buckets_3_24[[#This Row],[Capacity]]-Buckets_3_24[[#This Row],[After T]]</f>
        <v>0</v>
      </c>
      <c r="GM31" s="29">
        <f>MAX(-Buckets_3_24[[#This Row],[Cap Diff]], 0)</f>
        <v>0</v>
      </c>
      <c r="GN31" s="29">
        <f>Buckets_3_24[[#This Row],[After T]]-Buckets_3_24[[#This Row],[Slush]]</f>
        <v>0</v>
      </c>
      <c r="GO31" s="29">
        <f>Buckets_3_24[[#This Row],[Capacity]]-Buckets_3_24[[#This Row],[Before Fill]]</f>
        <v>0</v>
      </c>
      <c r="GP31" t="b">
        <f>OR(GF31, Buckets_3_24[[#This Row],[After T]]&lt;0)</f>
        <v>0</v>
      </c>
      <c r="GQ31" s="29">
        <f>IF(Buckets_3_24[[#This Row],[Is Crit]], Buckets_3_24[[#This Row],[S Cap Diff]], 0)</f>
        <v>0</v>
      </c>
      <c r="GR31" s="29">
        <f>Buckets_3_24[[#This Row],[Before Fill]]+Buckets_3_24[[#This Row],[Crit To Fill]]</f>
        <v>0</v>
      </c>
      <c r="GS31" s="29">
        <f>IF(NOT(Buckets_3_24[[#This Row],[Is Crit]]), Buckets_3_24[[#This Row],[S Cap Diff]], 0)</f>
        <v>0</v>
      </c>
      <c r="GT31" s="31">
        <f>GR$41/Buckets_3_24[[#Totals],[NC To Fill]]*Buckets_3_24[[#This Row],[NC To Fill]]</f>
        <v>0</v>
      </c>
      <c r="GU31" s="31">
        <f>Buckets_3_24[[#This Row],[Crit Filled]]+Buckets_3_24[[#This Row],[Scaled]]</f>
        <v>0</v>
      </c>
      <c r="GV31" s="31">
        <f>Buckets_3_24[[#This Row],[NC Filled]]</f>
        <v>0</v>
      </c>
      <c r="GW31" s="31">
        <f>Buckets_3_24[[#This Row],[Capacity]]-Buckets_3_24[[#This Row],[Final]]</f>
        <v>0</v>
      </c>
      <c r="GX31" s="33">
        <f>IF(Buckets_3_24[[#This Row],[Capacity]]=0, 1, Buckets_3_24[[#This Row],[Final]]/Buckets_3_24[[#This Row],[Capacity]])</f>
        <v>1</v>
      </c>
      <c r="GZ31" s="40">
        <f>Buckets_3_24[[#This Row],[Final]]</f>
        <v>0</v>
      </c>
      <c r="HA31" s="40">
        <f>Buckets_3_24[[#This Row],[Capacity]]</f>
        <v>0</v>
      </c>
      <c r="HB31" s="41" t="b">
        <f t="shared" si="41"/>
        <v>0</v>
      </c>
      <c r="HC31" s="42"/>
      <c r="HD31" s="42"/>
      <c r="HE31" s="42"/>
      <c r="HF31" s="42"/>
      <c r="HG31" s="43"/>
      <c r="HH31" s="40">
        <f t="shared" si="42"/>
        <v>0</v>
      </c>
      <c r="HI31" s="40">
        <f t="shared" si="43"/>
        <v>0</v>
      </c>
      <c r="HJ31" s="41" t="b">
        <f t="shared" si="9"/>
        <v>0</v>
      </c>
      <c r="HL31" s="29">
        <f t="shared" si="44"/>
        <v>0</v>
      </c>
      <c r="HM31" s="29">
        <f>GetTransactionTotal(AggregateTable2024[], AggregateTable2024[Start], HL$1, AggregateTable2024[#Headers], $D31)</f>
        <v>0</v>
      </c>
      <c r="HN31" s="29">
        <f>Buckets_4_24[[#This Row],[Start]]+Buckets_4_24[[#This Row],[Transactions]]</f>
        <v>0</v>
      </c>
      <c r="HO31" s="29">
        <f t="shared" si="45"/>
        <v>0</v>
      </c>
      <c r="HP31" s="29">
        <f>Buckets_4_24[[#This Row],[Capacity]]-Buckets_4_24[[#This Row],[After T]]</f>
        <v>0</v>
      </c>
      <c r="HQ31" s="29">
        <f>MAX(-Buckets_4_24[[#This Row],[Cap Diff]], 0)</f>
        <v>0</v>
      </c>
      <c r="HR31" s="29">
        <f>Buckets_4_24[[#This Row],[After T]]-Buckets_4_24[[#This Row],[Slush]]</f>
        <v>0</v>
      </c>
      <c r="HS31" s="29">
        <f>Buckets_4_24[[#This Row],[Capacity]]-Buckets_4_24[[#This Row],[Before Fill]]</f>
        <v>0</v>
      </c>
      <c r="HT31" t="b">
        <f>OR(HJ31, Buckets_4_24[[#This Row],[After T]]&lt;0)</f>
        <v>0</v>
      </c>
      <c r="HU31" s="29">
        <f>IF(Buckets_4_24[[#This Row],[Is Crit]], Buckets_4_24[[#This Row],[S Cap Diff]], 0)</f>
        <v>0</v>
      </c>
      <c r="HV31" s="29">
        <f>Buckets_4_24[[#This Row],[Before Fill]]+Buckets_4_24[[#This Row],[Crit To Fill]]</f>
        <v>0</v>
      </c>
      <c r="HW31" s="29">
        <f>IF(NOT(Buckets_4_24[[#This Row],[Is Crit]]), Buckets_4_24[[#This Row],[S Cap Diff]], 0)</f>
        <v>0</v>
      </c>
      <c r="HX31" s="31">
        <f>HV$41/Buckets_4_24[[#Totals],[NC To Fill]]*Buckets_4_24[[#This Row],[NC To Fill]]</f>
        <v>0</v>
      </c>
      <c r="HY31" s="31">
        <f>Buckets_4_24[[#This Row],[Crit Filled]]+Buckets_4_24[[#This Row],[Scaled]]</f>
        <v>0</v>
      </c>
      <c r="HZ31" s="31">
        <f>Buckets_4_24[[#This Row],[NC Filled]]</f>
        <v>0</v>
      </c>
      <c r="IA31" s="31">
        <f>Buckets_4_24[[#This Row],[Capacity]]-Buckets_4_24[[#This Row],[Final]]</f>
        <v>0</v>
      </c>
      <c r="IB31" s="33">
        <f>IF(Buckets_4_24[[#This Row],[Capacity]]=0, 1, Buckets_4_24[[#This Row],[Final]]/Buckets_4_24[[#This Row],[Capacity]])</f>
        <v>1</v>
      </c>
      <c r="ID31" s="40">
        <f>Buckets_4_24[[#This Row],[Final]]</f>
        <v>0</v>
      </c>
      <c r="IE31" s="40">
        <f>Buckets_4_24[[#This Row],[Capacity]]</f>
        <v>0</v>
      </c>
      <c r="IF31" s="41" t="b">
        <f t="shared" si="46"/>
        <v>0</v>
      </c>
      <c r="IG31" s="42"/>
      <c r="IH31" s="42"/>
      <c r="II31" s="42"/>
      <c r="IJ31" s="42"/>
      <c r="IK31" s="43"/>
      <c r="IL31" s="40">
        <f t="shared" si="47"/>
        <v>0</v>
      </c>
      <c r="IM31" s="40">
        <f t="shared" si="48"/>
        <v>0</v>
      </c>
      <c r="IN31" s="41" t="b">
        <f t="shared" si="10"/>
        <v>0</v>
      </c>
    </row>
    <row r="32" spans="1:248" x14ac:dyDescent="0.25">
      <c r="A32" s="49"/>
      <c r="B32" t="s">
        <v>212</v>
      </c>
      <c r="C32" t="s">
        <v>305</v>
      </c>
      <c r="D32" t="s">
        <v>305</v>
      </c>
      <c r="F32" s="30">
        <v>0</v>
      </c>
      <c r="G32" s="38">
        <v>0</v>
      </c>
      <c r="H32" t="b">
        <v>0</v>
      </c>
      <c r="J32" s="29">
        <f t="shared" si="11"/>
        <v>0</v>
      </c>
      <c r="K32" s="29">
        <f>GetTransactionTotal(AggregateTable2023[], AggregateTable2023[Start], J$1, AggregateTable2023[#Headers], $D32)</f>
        <v>9154.32</v>
      </c>
      <c r="L32" s="29">
        <f>Buckets_9_23[[#This Row],[Start]]+Buckets_9_23[[#This Row],[Transactions]]</f>
        <v>9154.32</v>
      </c>
      <c r="M32" s="29">
        <f t="shared" si="12"/>
        <v>0</v>
      </c>
      <c r="N32" s="29">
        <f>Buckets_9_23[[#This Row],[Capacity]]-Buckets_9_23[[#This Row],[After T]]</f>
        <v>-9154.32</v>
      </c>
      <c r="O32" s="29">
        <f>IF(Buckets_9_23[[#This Row],[After T]]&lt;0, Buckets_9_23[[#This Row],[After T]], IF(Buckets_9_23[[#This Row],[Cap Diff]]&lt;0, -Buckets_9_23[[#This Row],[Cap Diff]], 0))</f>
        <v>9154.32</v>
      </c>
      <c r="P32" s="29">
        <f>Buckets_9_23[[#This Row],[After T]]-Buckets_9_23[[#This Row],[Slush]]</f>
        <v>0</v>
      </c>
      <c r="Q32" s="29">
        <f>Buckets_9_23[[#This Row],[Capacity]]-Buckets_9_23[[#This Row],[Before Fill]]</f>
        <v>0</v>
      </c>
      <c r="R32" t="b">
        <f t="shared" si="0"/>
        <v>0</v>
      </c>
      <c r="S32" s="29">
        <f>IF(Buckets_9_23[[#This Row],[Is Crit]], Buckets_9_23[[#This Row],[S Cap Diff]], 0)</f>
        <v>0</v>
      </c>
      <c r="T32" s="29">
        <f>Buckets_9_23[[#This Row],[Before Fill]]+Buckets_9_23[[#This Row],[Crit To Fill]]</f>
        <v>0</v>
      </c>
      <c r="U32" s="29">
        <f>IF(NOT(Buckets_9_23[[#This Row],[Is Crit]]), Buckets_9_23[[#This Row],[S Cap Diff]], 0)</f>
        <v>0</v>
      </c>
      <c r="V32" s="31">
        <f>T$41/Buckets_9_23[[#Totals],[NC To Fill]]*Buckets_9_23[[#This Row],[NC To Fill]]</f>
        <v>0</v>
      </c>
      <c r="W32" s="31">
        <f>Buckets_9_23[[#This Row],[Crit Filled]]+Buckets_9_23[[#This Row],[Scaled]]</f>
        <v>0</v>
      </c>
      <c r="X32" s="31">
        <f>Buckets_9_23[[#This Row],[NC Filled]]</f>
        <v>0</v>
      </c>
      <c r="Y32" s="31">
        <f>Buckets_9_23[[#This Row],[Capacity]]-Buckets_9_23[[#This Row],[Final]]</f>
        <v>0</v>
      </c>
      <c r="Z32" s="33">
        <f>IF(Buckets_9_23[[#This Row],[Capacity]]=0, 1, Buckets_9_23[[#This Row],[Final]]/Buckets_9_23[[#This Row],[Capacity]])</f>
        <v>1</v>
      </c>
      <c r="AB32" s="31">
        <f>Buckets_9_23[[#This Row],[Final]]</f>
        <v>0</v>
      </c>
      <c r="AC32" s="31">
        <f>Buckets_9_23[[#This Row],[Capacity]]</f>
        <v>0</v>
      </c>
      <c r="AD32" t="b">
        <f t="shared" si="13"/>
        <v>0</v>
      </c>
      <c r="AE32" s="43" t="e">
        <f>NA()</f>
        <v>#N/A</v>
      </c>
      <c r="AF32" s="42"/>
      <c r="AG32" s="43" t="e">
        <f>NA()</f>
        <v>#N/A</v>
      </c>
      <c r="AH32" s="42"/>
      <c r="AI32" s="43"/>
      <c r="AJ32" s="31">
        <f t="shared" si="14"/>
        <v>0</v>
      </c>
      <c r="AK32" s="31">
        <f t="shared" si="15"/>
        <v>0</v>
      </c>
      <c r="AL32" t="b">
        <f t="shared" si="16"/>
        <v>0</v>
      </c>
      <c r="AN32" s="29">
        <f t="shared" si="17"/>
        <v>0</v>
      </c>
      <c r="AO32" s="29">
        <f>GetTransactionTotal(AggregateTable2023[], AggregateTable2023[Start], AN$1, AggregateTable2023[#Headers], $D32)</f>
        <v>5578.98</v>
      </c>
      <c r="AP32" s="29">
        <f>Buckets_10_23[[#This Row],[Start]]+Buckets_10_23[[#This Row],[Transactions]]</f>
        <v>5578.98</v>
      </c>
      <c r="AQ32" s="29">
        <f t="shared" si="18"/>
        <v>0</v>
      </c>
      <c r="AR32" s="29">
        <f>Buckets_10_23[[#This Row],[Capacity]]-Buckets_10_23[[#This Row],[After T]]</f>
        <v>-5578.98</v>
      </c>
      <c r="AS32" s="29">
        <f>MAX(-Buckets_10_23[[#This Row],[Cap Diff]], 0)</f>
        <v>5578.98</v>
      </c>
      <c r="AT32" s="29">
        <f>Buckets_10_23[[#This Row],[After T]]-Buckets_10_23[[#This Row],[Slush]]</f>
        <v>0</v>
      </c>
      <c r="AU32" s="29">
        <f>Buckets_10_23[[#This Row],[Capacity]]-Buckets_10_23[[#This Row],[Before Fill]]</f>
        <v>0</v>
      </c>
      <c r="AV32" t="b">
        <f>OR(AL32, Buckets_10_23[[#This Row],[After T]]&lt;0)</f>
        <v>0</v>
      </c>
      <c r="AW32" s="29">
        <f>IF(Buckets_10_23[[#This Row],[Is Crit]], Buckets_10_23[[#This Row],[S Cap Diff]], 0)</f>
        <v>0</v>
      </c>
      <c r="AX32" s="29">
        <f>Buckets_10_23[[#This Row],[Before Fill]]+Buckets_10_23[[#This Row],[Crit To Fill]]</f>
        <v>0</v>
      </c>
      <c r="AY32" s="29">
        <f>IF(NOT(Buckets_10_23[[#This Row],[Is Crit]]), Buckets_10_23[[#This Row],[S Cap Diff]], 0)</f>
        <v>0</v>
      </c>
      <c r="AZ32" s="31">
        <f>AX$41/Buckets_10_23[[#Totals],[NC To Fill]]*Buckets_10_23[[#This Row],[NC To Fill]]</f>
        <v>0</v>
      </c>
      <c r="BA32" s="31">
        <f>Buckets_10_23[[#This Row],[Crit Filled]]+Buckets_10_23[[#This Row],[Scaled]]</f>
        <v>0</v>
      </c>
      <c r="BB32" s="31">
        <f>Buckets_10_23[[#This Row],[NC Filled]]</f>
        <v>0</v>
      </c>
      <c r="BC32" s="31">
        <f>Buckets_10_23[[#This Row],[Capacity]]-Buckets_10_23[[#This Row],[Final]]</f>
        <v>0</v>
      </c>
      <c r="BD32" s="33">
        <f>IF(Buckets_10_23[[#This Row],[Capacity]]=0, 1, Buckets_10_23[[#This Row],[Final]]/Buckets_10_23[[#This Row],[Capacity]])</f>
        <v>1</v>
      </c>
      <c r="BF32" s="31">
        <f>Buckets_10_23[[#This Row],[Final]]</f>
        <v>0</v>
      </c>
      <c r="BG32" s="31">
        <f>Buckets_10_23[[#This Row],[Capacity]]</f>
        <v>0</v>
      </c>
      <c r="BH32" t="b">
        <f t="shared" si="19"/>
        <v>0</v>
      </c>
      <c r="BI32" s="43" t="e">
        <f>NA()</f>
        <v>#N/A</v>
      </c>
      <c r="BJ32" s="42"/>
      <c r="BK32" s="43" t="e">
        <f>NA()</f>
        <v>#N/A</v>
      </c>
      <c r="BL32" s="42"/>
      <c r="BM32" s="43"/>
      <c r="BN32" s="31">
        <f t="shared" si="20"/>
        <v>0</v>
      </c>
      <c r="BO32" s="31">
        <f t="shared" si="1"/>
        <v>0</v>
      </c>
      <c r="BP32" t="b">
        <f t="shared" si="2"/>
        <v>0</v>
      </c>
      <c r="BR32" s="29">
        <f t="shared" si="21"/>
        <v>0</v>
      </c>
      <c r="BS32" s="29">
        <f>GetTransactionTotal(AggregateTable2023[], AggregateTable2023[Start], BR$1, AggregateTable2023[#Headers], $D32)</f>
        <v>6287.27</v>
      </c>
      <c r="BT32" s="29">
        <f>Buckets_11_23[[#This Row],[Start]]+Buckets_11_23[[#This Row],[Transactions]]</f>
        <v>6287.27</v>
      </c>
      <c r="BU32" s="29">
        <f t="shared" si="22"/>
        <v>0</v>
      </c>
      <c r="BV32" s="29">
        <f>Buckets_11_23[[#This Row],[Capacity]]-Buckets_11_23[[#This Row],[After T]]</f>
        <v>-6287.27</v>
      </c>
      <c r="BW32" s="29">
        <f>MAX(-Buckets_11_23[[#This Row],[Cap Diff]], 0)</f>
        <v>6287.27</v>
      </c>
      <c r="BX32" s="29">
        <f>Buckets_11_23[[#This Row],[After T]]-Buckets_11_23[[#This Row],[Slush]]</f>
        <v>0</v>
      </c>
      <c r="BY32" s="29">
        <f>Buckets_11_23[[#This Row],[Capacity]]-Buckets_11_23[[#This Row],[Before Fill]]</f>
        <v>0</v>
      </c>
      <c r="BZ32" t="b">
        <f>OR(BP32, Buckets_11_23[[#This Row],[After T]]&lt;0)</f>
        <v>0</v>
      </c>
      <c r="CA32" s="29">
        <f>IF(Buckets_11_23[[#This Row],[Is Crit]], Buckets_11_23[[#This Row],[S Cap Diff]], 0)</f>
        <v>0</v>
      </c>
      <c r="CB32" s="29">
        <f>Buckets_11_23[[#This Row],[Before Fill]]+Buckets_11_23[[#This Row],[Crit To Fill]]</f>
        <v>0</v>
      </c>
      <c r="CC32" s="29">
        <f>IF(NOT(Buckets_11_23[[#This Row],[Is Crit]]), Buckets_11_23[[#This Row],[S Cap Diff]], 0)</f>
        <v>0</v>
      </c>
      <c r="CD32" s="31">
        <f>CB$41/Buckets_11_23[[#Totals],[NC To Fill]]*Buckets_11_23[[#This Row],[NC To Fill]]</f>
        <v>0</v>
      </c>
      <c r="CE32" s="31">
        <f>Buckets_11_23[[#This Row],[Crit Filled]]+Buckets_11_23[[#This Row],[Scaled]]</f>
        <v>0</v>
      </c>
      <c r="CF32" s="31">
        <f>Buckets_11_23[[#This Row],[NC Filled]]</f>
        <v>0</v>
      </c>
      <c r="CG32" s="31">
        <f>Buckets_11_23[[#This Row],[Capacity]]-Buckets_11_23[[#This Row],[Final]]</f>
        <v>0</v>
      </c>
      <c r="CH32" s="33">
        <f>IF(Buckets_11_23[[#This Row],[Capacity]]=0, 1, Buckets_11_23[[#This Row],[Final]]/Buckets_11_23[[#This Row],[Capacity]])</f>
        <v>1</v>
      </c>
      <c r="CJ32" s="40">
        <f>Buckets_11_23[[#This Row],[Final]]</f>
        <v>0</v>
      </c>
      <c r="CK32" s="40">
        <f>Buckets_11_23[[#This Row],[Capacity]]</f>
        <v>0</v>
      </c>
      <c r="CL32" s="41" t="b">
        <f t="shared" si="23"/>
        <v>0</v>
      </c>
      <c r="CM32" s="42"/>
      <c r="CN32" s="42"/>
      <c r="CO32" s="42" t="e">
        <f>NA()</f>
        <v>#N/A</v>
      </c>
      <c r="CP32" s="42"/>
      <c r="CQ32" s="43"/>
      <c r="CR32" s="40">
        <f t="shared" si="24"/>
        <v>0</v>
      </c>
      <c r="CS32" s="40">
        <f t="shared" si="3"/>
        <v>0</v>
      </c>
      <c r="CT32" s="41" t="b">
        <f t="shared" si="4"/>
        <v>0</v>
      </c>
      <c r="CV32" s="29">
        <f t="shared" si="25"/>
        <v>0</v>
      </c>
      <c r="CW32" s="29">
        <f>GetTransactionTotal(AggregateTable2023[], AggregateTable2023[Start], CV$1, AggregateTable2023[#Headers], $D32)</f>
        <v>5579.1</v>
      </c>
      <c r="CX32" s="29">
        <f>Buckets_12_23[[#This Row],[Start]]+Buckets_12_23[[#This Row],[Transactions]]</f>
        <v>5579.1</v>
      </c>
      <c r="CY32" s="29">
        <f t="shared" si="26"/>
        <v>0</v>
      </c>
      <c r="CZ32" s="29">
        <f>Buckets_12_23[[#This Row],[Capacity]]-Buckets_12_23[[#This Row],[After T]]</f>
        <v>-5579.1</v>
      </c>
      <c r="DA32" s="29">
        <f>MAX(-Buckets_12_23[[#This Row],[Cap Diff]], 0)</f>
        <v>5579.1</v>
      </c>
      <c r="DB32" s="29">
        <f>Buckets_12_23[[#This Row],[After T]]-Buckets_12_23[[#This Row],[Slush]]</f>
        <v>0</v>
      </c>
      <c r="DC32" s="29">
        <f>Buckets_12_23[[#This Row],[Capacity]]-Buckets_12_23[[#This Row],[Before Fill]]</f>
        <v>0</v>
      </c>
      <c r="DD32" t="b">
        <f>OR(CT32, Buckets_12_23[[#This Row],[After T]]&lt;0)</f>
        <v>0</v>
      </c>
      <c r="DE32" s="29">
        <f>IF(Buckets_12_23[[#This Row],[Is Crit]], Buckets_12_23[[#This Row],[S Cap Diff]], 0)</f>
        <v>0</v>
      </c>
      <c r="DF32" s="29">
        <f>Buckets_12_23[[#This Row],[Before Fill]]+Buckets_12_23[[#This Row],[Crit To Fill]]</f>
        <v>0</v>
      </c>
      <c r="DG32" s="29">
        <f>IF(NOT(Buckets_12_23[[#This Row],[Is Crit]]), Buckets_12_23[[#This Row],[S Cap Diff]], 0)</f>
        <v>0</v>
      </c>
      <c r="DH32" s="31">
        <f>DF$41/Buckets_12_23[[#Totals],[NC To Fill]]*Buckets_12_23[[#This Row],[NC To Fill]]</f>
        <v>0</v>
      </c>
      <c r="DI32" s="31">
        <f>Buckets_12_23[[#This Row],[Crit Filled]]+Buckets_12_23[[#This Row],[Scaled]]</f>
        <v>0</v>
      </c>
      <c r="DJ32" s="31">
        <f>Buckets_12_23[[#This Row],[NC Filled]]</f>
        <v>0</v>
      </c>
      <c r="DK32" s="31">
        <f>Buckets_12_23[[#This Row],[Capacity]]-Buckets_12_23[[#This Row],[Final]]</f>
        <v>0</v>
      </c>
      <c r="DL32" s="33">
        <f>IF(Buckets_12_23[[#This Row],[Capacity]]=0, 1, Buckets_12_23[[#This Row],[Final]]/Buckets_12_23[[#This Row],[Capacity]])</f>
        <v>1</v>
      </c>
      <c r="DN32" s="40">
        <f>Buckets_12_23[[#This Row],[Final]]</f>
        <v>0</v>
      </c>
      <c r="DO32" s="40">
        <f>Buckets_12_23[[#This Row],[Capacity]]</f>
        <v>0</v>
      </c>
      <c r="DP32" s="41" t="b">
        <f t="shared" si="27"/>
        <v>0</v>
      </c>
      <c r="DQ32" s="42"/>
      <c r="DR32" s="42"/>
      <c r="DS32" s="42" t="e">
        <f>NA()</f>
        <v>#N/A</v>
      </c>
      <c r="DT32" s="42"/>
      <c r="DU32" s="43"/>
      <c r="DV32" s="40">
        <f t="shared" si="28"/>
        <v>0</v>
      </c>
      <c r="DW32" s="40">
        <f t="shared" si="5"/>
        <v>0</v>
      </c>
      <c r="DX32" s="41" t="b">
        <f t="shared" si="6"/>
        <v>0</v>
      </c>
      <c r="DZ32" s="29">
        <f t="shared" si="29"/>
        <v>0</v>
      </c>
      <c r="EA32" s="29">
        <f>GetTransactionTotal(AggregateTable2024[], AggregateTable2024[Start], DZ$1, AggregateTable2024[#Headers], $D32)</f>
        <v>5616.04</v>
      </c>
      <c r="EB32" s="29">
        <f>Buckets_1_24[[#This Row],[Start]]+Buckets_1_24[[#This Row],[Transactions]]</f>
        <v>5616.04</v>
      </c>
      <c r="EC32" s="29">
        <f t="shared" si="30"/>
        <v>0</v>
      </c>
      <c r="ED32" s="29">
        <f>Buckets_1_24[[#This Row],[Capacity]]-Buckets_1_24[[#This Row],[After T]]</f>
        <v>-5616.04</v>
      </c>
      <c r="EE32" s="29">
        <f>MAX(-Buckets_1_24[[#This Row],[Cap Diff]], 0)</f>
        <v>5616.04</v>
      </c>
      <c r="EF32" s="29">
        <f>Buckets_1_24[[#This Row],[After T]]-Buckets_1_24[[#This Row],[Slush]]</f>
        <v>0</v>
      </c>
      <c r="EG32" s="29">
        <f>Buckets_1_24[[#This Row],[Capacity]]-Buckets_1_24[[#This Row],[Before Fill]]</f>
        <v>0</v>
      </c>
      <c r="EH32" t="b">
        <f>OR(DX32, Buckets_1_24[[#This Row],[After T]]&lt;0)</f>
        <v>0</v>
      </c>
      <c r="EI32" s="29">
        <f>IF(Buckets_1_24[[#This Row],[Is Crit]], Buckets_1_24[[#This Row],[S Cap Diff]], 0)</f>
        <v>0</v>
      </c>
      <c r="EJ32" s="29">
        <f>Buckets_1_24[[#This Row],[Before Fill]]+Buckets_1_24[[#This Row],[Crit To Fill]]</f>
        <v>0</v>
      </c>
      <c r="EK32" s="29">
        <f>IF(NOT(Buckets_1_24[[#This Row],[Is Crit]]), Buckets_1_24[[#This Row],[S Cap Diff]], 0)</f>
        <v>0</v>
      </c>
      <c r="EL32" s="31">
        <f>EJ$41/Buckets_1_24[[#Totals],[NC To Fill]]*Buckets_1_24[[#This Row],[NC To Fill]]</f>
        <v>0</v>
      </c>
      <c r="EM32" s="31">
        <f>Buckets_1_24[[#This Row],[Crit Filled]]+Buckets_1_24[[#This Row],[Scaled]]</f>
        <v>0</v>
      </c>
      <c r="EN32" s="31">
        <f>Buckets_1_24[[#This Row],[NC Filled]]</f>
        <v>0</v>
      </c>
      <c r="EO32" s="31">
        <f>Buckets_1_24[[#This Row],[Capacity]]-Buckets_1_24[[#This Row],[Final]]</f>
        <v>0</v>
      </c>
      <c r="EP32" s="33">
        <f>IF(Buckets_1_24[[#This Row],[Capacity]]=0, 1, Buckets_1_24[[#This Row],[Final]]/Buckets_1_24[[#This Row],[Capacity]])</f>
        <v>1</v>
      </c>
      <c r="ER32" s="40">
        <f>Buckets_1_24[[#This Row],[Final]]</f>
        <v>0</v>
      </c>
      <c r="ES32" s="40">
        <f>Buckets_1_24[[#This Row],[Capacity]]</f>
        <v>0</v>
      </c>
      <c r="ET32" s="41" t="b">
        <f t="shared" si="31"/>
        <v>0</v>
      </c>
      <c r="EU32" s="42"/>
      <c r="EV32" s="42"/>
      <c r="EW32" s="42"/>
      <c r="EX32" s="42"/>
      <c r="EY32" s="43"/>
      <c r="EZ32" s="40">
        <f t="shared" si="32"/>
        <v>0</v>
      </c>
      <c r="FA32" s="40">
        <f t="shared" si="33"/>
        <v>0</v>
      </c>
      <c r="FB32" s="41" t="b">
        <f t="shared" si="7"/>
        <v>0</v>
      </c>
      <c r="FD32" s="29">
        <f t="shared" si="34"/>
        <v>0</v>
      </c>
      <c r="FE32" s="29">
        <f>GetTransactionTotal(AggregateTable2024[], AggregateTable2024[Start], FD$1, AggregateTable2024[#Headers], $D32)</f>
        <v>5616.04</v>
      </c>
      <c r="FF32" s="29">
        <f>Buckets_2_24[[#This Row],[Start]]+Buckets_2_24[[#This Row],[Transactions]]</f>
        <v>5616.04</v>
      </c>
      <c r="FG32" s="29">
        <f t="shared" si="35"/>
        <v>0</v>
      </c>
      <c r="FH32" s="29">
        <f>Buckets_2_24[[#This Row],[Capacity]]-Buckets_2_24[[#This Row],[After T]]</f>
        <v>-5616.04</v>
      </c>
      <c r="FI32" s="29">
        <f>MAX(-Buckets_2_24[[#This Row],[Cap Diff]], 0)</f>
        <v>5616.04</v>
      </c>
      <c r="FJ32" s="29">
        <f>Buckets_2_24[[#This Row],[After T]]-Buckets_2_24[[#This Row],[Slush]]</f>
        <v>0</v>
      </c>
      <c r="FK32" s="29">
        <f>Buckets_2_24[[#This Row],[Capacity]]-Buckets_2_24[[#This Row],[Before Fill]]</f>
        <v>0</v>
      </c>
      <c r="FL32" t="b">
        <f>OR(FB32, Buckets_2_24[[#This Row],[After T]]&lt;0)</f>
        <v>0</v>
      </c>
      <c r="FM32" s="29">
        <f>IF(Buckets_2_24[[#This Row],[Is Crit]], Buckets_2_24[[#This Row],[S Cap Diff]], 0)</f>
        <v>0</v>
      </c>
      <c r="FN32" s="29">
        <f>Buckets_2_24[[#This Row],[Before Fill]]+Buckets_2_24[[#This Row],[Crit To Fill]]</f>
        <v>0</v>
      </c>
      <c r="FO32" s="29">
        <f>IF(NOT(Buckets_2_24[[#This Row],[Is Crit]]), Buckets_2_24[[#This Row],[S Cap Diff]], 0)</f>
        <v>0</v>
      </c>
      <c r="FP32" s="31">
        <f>FN$41/Buckets_2_24[[#Totals],[NC To Fill]]*Buckets_2_24[[#This Row],[NC To Fill]]</f>
        <v>0</v>
      </c>
      <c r="FQ32" s="31">
        <f>Buckets_2_24[[#This Row],[Crit Filled]]+Buckets_2_24[[#This Row],[Scaled]]</f>
        <v>0</v>
      </c>
      <c r="FR32" s="31">
        <f>Buckets_2_24[[#This Row],[NC Filled]]</f>
        <v>0</v>
      </c>
      <c r="FS32" s="31">
        <f>Buckets_2_24[[#This Row],[Capacity]]-Buckets_2_24[[#This Row],[Final]]</f>
        <v>0</v>
      </c>
      <c r="FT32" s="33">
        <f>IF(Buckets_2_24[[#This Row],[Capacity]]=0, 1, Buckets_2_24[[#This Row],[Final]]/Buckets_2_24[[#This Row],[Capacity]])</f>
        <v>1</v>
      </c>
      <c r="FV32" s="40">
        <f>Buckets_2_24[[#This Row],[Final]]</f>
        <v>0</v>
      </c>
      <c r="FW32" s="40">
        <f>Buckets_2_24[[#This Row],[Capacity]]</f>
        <v>0</v>
      </c>
      <c r="FX32" s="41" t="b">
        <f t="shared" si="36"/>
        <v>0</v>
      </c>
      <c r="FY32" s="42"/>
      <c r="FZ32" s="42"/>
      <c r="GA32" s="42"/>
      <c r="GB32" s="42"/>
      <c r="GC32" s="43"/>
      <c r="GD32" s="40">
        <f t="shared" si="37"/>
        <v>0</v>
      </c>
      <c r="GE32" s="40">
        <f t="shared" si="38"/>
        <v>0</v>
      </c>
      <c r="GF32" s="41" t="b">
        <f t="shared" si="8"/>
        <v>0</v>
      </c>
      <c r="GH32" s="29">
        <f t="shared" si="39"/>
        <v>0</v>
      </c>
      <c r="GI32" s="29">
        <f>GetTransactionTotal(AggregateTable2024[], AggregateTable2024[Start], GH$1, AggregateTable2024[#Headers], $D32)</f>
        <v>5616.04</v>
      </c>
      <c r="GJ32" s="29">
        <f>Buckets_3_24[[#This Row],[Start]]+Buckets_3_24[[#This Row],[Transactions]]</f>
        <v>5616.04</v>
      </c>
      <c r="GK32" s="29">
        <f t="shared" si="40"/>
        <v>0</v>
      </c>
      <c r="GL32" s="29">
        <f>Buckets_3_24[[#This Row],[Capacity]]-Buckets_3_24[[#This Row],[After T]]</f>
        <v>-5616.04</v>
      </c>
      <c r="GM32" s="29">
        <f>MAX(-Buckets_3_24[[#This Row],[Cap Diff]], 0)</f>
        <v>5616.04</v>
      </c>
      <c r="GN32" s="29">
        <f>Buckets_3_24[[#This Row],[After T]]-Buckets_3_24[[#This Row],[Slush]]</f>
        <v>0</v>
      </c>
      <c r="GO32" s="29">
        <f>Buckets_3_24[[#This Row],[Capacity]]-Buckets_3_24[[#This Row],[Before Fill]]</f>
        <v>0</v>
      </c>
      <c r="GP32" t="b">
        <f>OR(GF32, Buckets_3_24[[#This Row],[After T]]&lt;0)</f>
        <v>0</v>
      </c>
      <c r="GQ32" s="29">
        <f>IF(Buckets_3_24[[#This Row],[Is Crit]], Buckets_3_24[[#This Row],[S Cap Diff]], 0)</f>
        <v>0</v>
      </c>
      <c r="GR32" s="29">
        <f>Buckets_3_24[[#This Row],[Before Fill]]+Buckets_3_24[[#This Row],[Crit To Fill]]</f>
        <v>0</v>
      </c>
      <c r="GS32" s="29">
        <f>IF(NOT(Buckets_3_24[[#This Row],[Is Crit]]), Buckets_3_24[[#This Row],[S Cap Diff]], 0)</f>
        <v>0</v>
      </c>
      <c r="GT32" s="31">
        <f>GR$41/Buckets_3_24[[#Totals],[NC To Fill]]*Buckets_3_24[[#This Row],[NC To Fill]]</f>
        <v>0</v>
      </c>
      <c r="GU32" s="31">
        <f>Buckets_3_24[[#This Row],[Crit Filled]]+Buckets_3_24[[#This Row],[Scaled]]</f>
        <v>0</v>
      </c>
      <c r="GV32" s="31">
        <f>Buckets_3_24[[#This Row],[NC Filled]]</f>
        <v>0</v>
      </c>
      <c r="GW32" s="31">
        <f>Buckets_3_24[[#This Row],[Capacity]]-Buckets_3_24[[#This Row],[Final]]</f>
        <v>0</v>
      </c>
      <c r="GX32" s="33">
        <f>IF(Buckets_3_24[[#This Row],[Capacity]]=0, 1, Buckets_3_24[[#This Row],[Final]]/Buckets_3_24[[#This Row],[Capacity]])</f>
        <v>1</v>
      </c>
      <c r="GZ32" s="40">
        <f>Buckets_3_24[[#This Row],[Final]]</f>
        <v>0</v>
      </c>
      <c r="HA32" s="40">
        <f>Buckets_3_24[[#This Row],[Capacity]]</f>
        <v>0</v>
      </c>
      <c r="HB32" s="41" t="b">
        <f t="shared" si="41"/>
        <v>0</v>
      </c>
      <c r="HC32" s="42"/>
      <c r="HD32" s="42"/>
      <c r="HE32" s="42"/>
      <c r="HF32" s="42"/>
      <c r="HG32" s="43"/>
      <c r="HH32" s="40">
        <f t="shared" si="42"/>
        <v>0</v>
      </c>
      <c r="HI32" s="40">
        <f t="shared" si="43"/>
        <v>0</v>
      </c>
      <c r="HJ32" s="41" t="b">
        <f t="shared" si="9"/>
        <v>0</v>
      </c>
      <c r="HL32" s="29">
        <f t="shared" si="44"/>
        <v>0</v>
      </c>
      <c r="HM32" s="29">
        <f>GetTransactionTotal(AggregateTable2024[], AggregateTable2024[Start], HL$1, AggregateTable2024[#Headers], $D32)</f>
        <v>5616.04</v>
      </c>
      <c r="HN32" s="29">
        <f>Buckets_4_24[[#This Row],[Start]]+Buckets_4_24[[#This Row],[Transactions]]</f>
        <v>5616.04</v>
      </c>
      <c r="HO32" s="29">
        <f t="shared" si="45"/>
        <v>0</v>
      </c>
      <c r="HP32" s="29">
        <f>Buckets_4_24[[#This Row],[Capacity]]-Buckets_4_24[[#This Row],[After T]]</f>
        <v>-5616.04</v>
      </c>
      <c r="HQ32" s="29">
        <f>MAX(-Buckets_4_24[[#This Row],[Cap Diff]], 0)</f>
        <v>5616.04</v>
      </c>
      <c r="HR32" s="29">
        <f>Buckets_4_24[[#This Row],[After T]]-Buckets_4_24[[#This Row],[Slush]]</f>
        <v>0</v>
      </c>
      <c r="HS32" s="29">
        <f>Buckets_4_24[[#This Row],[Capacity]]-Buckets_4_24[[#This Row],[Before Fill]]</f>
        <v>0</v>
      </c>
      <c r="HT32" t="b">
        <f>OR(HJ32, Buckets_4_24[[#This Row],[After T]]&lt;0)</f>
        <v>0</v>
      </c>
      <c r="HU32" s="29">
        <f>IF(Buckets_4_24[[#This Row],[Is Crit]], Buckets_4_24[[#This Row],[S Cap Diff]], 0)</f>
        <v>0</v>
      </c>
      <c r="HV32" s="29">
        <f>Buckets_4_24[[#This Row],[Before Fill]]+Buckets_4_24[[#This Row],[Crit To Fill]]</f>
        <v>0</v>
      </c>
      <c r="HW32" s="29">
        <f>IF(NOT(Buckets_4_24[[#This Row],[Is Crit]]), Buckets_4_24[[#This Row],[S Cap Diff]], 0)</f>
        <v>0</v>
      </c>
      <c r="HX32" s="31">
        <f>HV$41/Buckets_4_24[[#Totals],[NC To Fill]]*Buckets_4_24[[#This Row],[NC To Fill]]</f>
        <v>0</v>
      </c>
      <c r="HY32" s="31">
        <f>Buckets_4_24[[#This Row],[Crit Filled]]+Buckets_4_24[[#This Row],[Scaled]]</f>
        <v>0</v>
      </c>
      <c r="HZ32" s="31">
        <f>Buckets_4_24[[#This Row],[NC Filled]]</f>
        <v>0</v>
      </c>
      <c r="IA32" s="31">
        <f>Buckets_4_24[[#This Row],[Capacity]]-Buckets_4_24[[#This Row],[Final]]</f>
        <v>0</v>
      </c>
      <c r="IB32" s="33">
        <f>IF(Buckets_4_24[[#This Row],[Capacity]]=0, 1, Buckets_4_24[[#This Row],[Final]]/Buckets_4_24[[#This Row],[Capacity]])</f>
        <v>1</v>
      </c>
      <c r="ID32" s="40">
        <f>Buckets_4_24[[#This Row],[Final]]</f>
        <v>0</v>
      </c>
      <c r="IE32" s="40">
        <f>Buckets_4_24[[#This Row],[Capacity]]</f>
        <v>0</v>
      </c>
      <c r="IF32" s="41" t="b">
        <f t="shared" si="46"/>
        <v>0</v>
      </c>
      <c r="IG32" s="42"/>
      <c r="IH32" s="42"/>
      <c r="II32" s="42"/>
      <c r="IJ32" s="42"/>
      <c r="IK32" s="43"/>
      <c r="IL32" s="40">
        <f t="shared" si="47"/>
        <v>0</v>
      </c>
      <c r="IM32" s="40">
        <f t="shared" si="48"/>
        <v>0</v>
      </c>
      <c r="IN32" s="41" t="b">
        <f t="shared" si="10"/>
        <v>0</v>
      </c>
    </row>
    <row r="33" spans="1:248" x14ac:dyDescent="0.25">
      <c r="A33" s="49"/>
      <c r="B33" t="s">
        <v>212</v>
      </c>
      <c r="C33" t="s">
        <v>321</v>
      </c>
      <c r="D33" t="s">
        <v>306</v>
      </c>
      <c r="F33" s="30">
        <v>0</v>
      </c>
      <c r="G33" s="38">
        <v>0</v>
      </c>
      <c r="H33" t="b">
        <v>0</v>
      </c>
      <c r="J33" s="29">
        <f t="shared" si="11"/>
        <v>0</v>
      </c>
      <c r="K33" s="29">
        <f>GetTransactionTotal(AggregateTable2023[], AggregateTable2023[Start], J$1, AggregateTable2023[#Headers], $D33)</f>
        <v>50.05</v>
      </c>
      <c r="L33" s="29">
        <f>Buckets_9_23[[#This Row],[Start]]+Buckets_9_23[[#This Row],[Transactions]]</f>
        <v>50.05</v>
      </c>
      <c r="M33" s="29">
        <f t="shared" si="12"/>
        <v>0</v>
      </c>
      <c r="N33" s="29">
        <f>Buckets_9_23[[#This Row],[Capacity]]-Buckets_9_23[[#This Row],[After T]]</f>
        <v>-50.05</v>
      </c>
      <c r="O33" s="29">
        <f>IF(Buckets_9_23[[#This Row],[After T]]&lt;0, Buckets_9_23[[#This Row],[After T]], IF(Buckets_9_23[[#This Row],[Cap Diff]]&lt;0, -Buckets_9_23[[#This Row],[Cap Diff]], 0))</f>
        <v>50.05</v>
      </c>
      <c r="P33" s="29">
        <f>Buckets_9_23[[#This Row],[After T]]-Buckets_9_23[[#This Row],[Slush]]</f>
        <v>0</v>
      </c>
      <c r="Q33" s="29">
        <f>Buckets_9_23[[#This Row],[Capacity]]-Buckets_9_23[[#This Row],[Before Fill]]</f>
        <v>0</v>
      </c>
      <c r="R33" t="b">
        <f t="shared" si="0"/>
        <v>0</v>
      </c>
      <c r="S33" s="29">
        <f>IF(Buckets_9_23[[#This Row],[Is Crit]], Buckets_9_23[[#This Row],[S Cap Diff]], 0)</f>
        <v>0</v>
      </c>
      <c r="T33" s="29">
        <f>Buckets_9_23[[#This Row],[Before Fill]]+Buckets_9_23[[#This Row],[Crit To Fill]]</f>
        <v>0</v>
      </c>
      <c r="U33" s="29">
        <f>IF(NOT(Buckets_9_23[[#This Row],[Is Crit]]), Buckets_9_23[[#This Row],[S Cap Diff]], 0)</f>
        <v>0</v>
      </c>
      <c r="V33" s="31">
        <f>T$41/Buckets_9_23[[#Totals],[NC To Fill]]*Buckets_9_23[[#This Row],[NC To Fill]]</f>
        <v>0</v>
      </c>
      <c r="W33" s="31">
        <f>Buckets_9_23[[#This Row],[Crit Filled]]+Buckets_9_23[[#This Row],[Scaled]]</f>
        <v>0</v>
      </c>
      <c r="X33" s="31">
        <f>Buckets_9_23[[#This Row],[NC Filled]]</f>
        <v>0</v>
      </c>
      <c r="Y33" s="31">
        <f>Buckets_9_23[[#This Row],[Capacity]]-Buckets_9_23[[#This Row],[Final]]</f>
        <v>0</v>
      </c>
      <c r="Z33" s="33">
        <f>IF(Buckets_9_23[[#This Row],[Capacity]]=0, 1, Buckets_9_23[[#This Row],[Final]]/Buckets_9_23[[#This Row],[Capacity]])</f>
        <v>1</v>
      </c>
      <c r="AB33" s="31">
        <f>Buckets_9_23[[#This Row],[Final]]</f>
        <v>0</v>
      </c>
      <c r="AC33" s="31">
        <f>Buckets_9_23[[#This Row],[Capacity]]</f>
        <v>0</v>
      </c>
      <c r="AD33" t="b">
        <f t="shared" si="13"/>
        <v>0</v>
      </c>
      <c r="AE33" s="43" t="e">
        <f>NA()</f>
        <v>#N/A</v>
      </c>
      <c r="AF33" s="42"/>
      <c r="AG33" s="43" t="e">
        <f>NA()</f>
        <v>#N/A</v>
      </c>
      <c r="AH33" s="42"/>
      <c r="AI33" s="43"/>
      <c r="AJ33" s="31">
        <f t="shared" si="14"/>
        <v>0</v>
      </c>
      <c r="AK33" s="31">
        <f t="shared" si="15"/>
        <v>0</v>
      </c>
      <c r="AL33" t="b">
        <f t="shared" si="16"/>
        <v>0</v>
      </c>
      <c r="AN33" s="29">
        <f t="shared" si="17"/>
        <v>0</v>
      </c>
      <c r="AO33" s="29">
        <f>GetTransactionTotal(AggregateTable2023[], AggregateTable2023[Start], AN$1, AggregateTable2023[#Headers], $D33)</f>
        <v>25.08</v>
      </c>
      <c r="AP33" s="29">
        <f>Buckets_10_23[[#This Row],[Start]]+Buckets_10_23[[#This Row],[Transactions]]</f>
        <v>25.08</v>
      </c>
      <c r="AQ33" s="29">
        <f t="shared" si="18"/>
        <v>0</v>
      </c>
      <c r="AR33" s="29">
        <f>Buckets_10_23[[#This Row],[Capacity]]-Buckets_10_23[[#This Row],[After T]]</f>
        <v>-25.08</v>
      </c>
      <c r="AS33" s="29">
        <f>MAX(-Buckets_10_23[[#This Row],[Cap Diff]], 0)</f>
        <v>25.08</v>
      </c>
      <c r="AT33" s="29">
        <f>Buckets_10_23[[#This Row],[After T]]-Buckets_10_23[[#This Row],[Slush]]</f>
        <v>0</v>
      </c>
      <c r="AU33" s="29">
        <f>Buckets_10_23[[#This Row],[Capacity]]-Buckets_10_23[[#This Row],[Before Fill]]</f>
        <v>0</v>
      </c>
      <c r="AV33" t="b">
        <f>OR(AL33, Buckets_10_23[[#This Row],[After T]]&lt;0)</f>
        <v>0</v>
      </c>
      <c r="AW33" s="29">
        <f>IF(Buckets_10_23[[#This Row],[Is Crit]], Buckets_10_23[[#This Row],[S Cap Diff]], 0)</f>
        <v>0</v>
      </c>
      <c r="AX33" s="29">
        <f>Buckets_10_23[[#This Row],[Before Fill]]+Buckets_10_23[[#This Row],[Crit To Fill]]</f>
        <v>0</v>
      </c>
      <c r="AY33" s="29">
        <f>IF(NOT(Buckets_10_23[[#This Row],[Is Crit]]), Buckets_10_23[[#This Row],[S Cap Diff]], 0)</f>
        <v>0</v>
      </c>
      <c r="AZ33" s="31">
        <f>AX$41/Buckets_10_23[[#Totals],[NC To Fill]]*Buckets_10_23[[#This Row],[NC To Fill]]</f>
        <v>0</v>
      </c>
      <c r="BA33" s="31">
        <f>Buckets_10_23[[#This Row],[Crit Filled]]+Buckets_10_23[[#This Row],[Scaled]]</f>
        <v>0</v>
      </c>
      <c r="BB33" s="31">
        <f>Buckets_10_23[[#This Row],[NC Filled]]</f>
        <v>0</v>
      </c>
      <c r="BC33" s="31">
        <f>Buckets_10_23[[#This Row],[Capacity]]-Buckets_10_23[[#This Row],[Final]]</f>
        <v>0</v>
      </c>
      <c r="BD33" s="33">
        <f>IF(Buckets_10_23[[#This Row],[Capacity]]=0, 1, Buckets_10_23[[#This Row],[Final]]/Buckets_10_23[[#This Row],[Capacity]])</f>
        <v>1</v>
      </c>
      <c r="BF33" s="31">
        <f>Buckets_10_23[[#This Row],[Final]]</f>
        <v>0</v>
      </c>
      <c r="BG33" s="31">
        <f>Buckets_10_23[[#This Row],[Capacity]]</f>
        <v>0</v>
      </c>
      <c r="BH33" t="b">
        <f t="shared" si="19"/>
        <v>0</v>
      </c>
      <c r="BI33" s="43" t="e">
        <f>NA()</f>
        <v>#N/A</v>
      </c>
      <c r="BJ33" s="42"/>
      <c r="BK33" s="43" t="e">
        <f>NA()</f>
        <v>#N/A</v>
      </c>
      <c r="BL33" s="42"/>
      <c r="BM33" s="43"/>
      <c r="BN33" s="31">
        <f t="shared" si="20"/>
        <v>0</v>
      </c>
      <c r="BO33" s="31">
        <f t="shared" si="1"/>
        <v>0</v>
      </c>
      <c r="BP33" t="b">
        <f t="shared" si="2"/>
        <v>0</v>
      </c>
      <c r="BR33" s="29">
        <f t="shared" si="21"/>
        <v>0</v>
      </c>
      <c r="BS33" s="29">
        <f>GetTransactionTotal(AggregateTable2023[], AggregateTable2023[Start], BR$1, AggregateTable2023[#Headers], $D33)</f>
        <v>7.0000000000000007E-2</v>
      </c>
      <c r="BT33" s="29">
        <f>Buckets_11_23[[#This Row],[Start]]+Buckets_11_23[[#This Row],[Transactions]]</f>
        <v>7.0000000000000007E-2</v>
      </c>
      <c r="BU33" s="29">
        <f t="shared" si="22"/>
        <v>0</v>
      </c>
      <c r="BV33" s="29">
        <f>Buckets_11_23[[#This Row],[Capacity]]-Buckets_11_23[[#This Row],[After T]]</f>
        <v>-7.0000000000000007E-2</v>
      </c>
      <c r="BW33" s="29">
        <f>MAX(-Buckets_11_23[[#This Row],[Cap Diff]], 0)</f>
        <v>7.0000000000000007E-2</v>
      </c>
      <c r="BX33" s="29">
        <f>Buckets_11_23[[#This Row],[After T]]-Buckets_11_23[[#This Row],[Slush]]</f>
        <v>0</v>
      </c>
      <c r="BY33" s="29">
        <f>Buckets_11_23[[#This Row],[Capacity]]-Buckets_11_23[[#This Row],[Before Fill]]</f>
        <v>0</v>
      </c>
      <c r="BZ33" t="b">
        <f>OR(BP33, Buckets_11_23[[#This Row],[After T]]&lt;0)</f>
        <v>0</v>
      </c>
      <c r="CA33" s="29">
        <f>IF(Buckets_11_23[[#This Row],[Is Crit]], Buckets_11_23[[#This Row],[S Cap Diff]], 0)</f>
        <v>0</v>
      </c>
      <c r="CB33" s="29">
        <f>Buckets_11_23[[#This Row],[Before Fill]]+Buckets_11_23[[#This Row],[Crit To Fill]]</f>
        <v>0</v>
      </c>
      <c r="CC33" s="29">
        <f>IF(NOT(Buckets_11_23[[#This Row],[Is Crit]]), Buckets_11_23[[#This Row],[S Cap Diff]], 0)</f>
        <v>0</v>
      </c>
      <c r="CD33" s="31">
        <f>CB$41/Buckets_11_23[[#Totals],[NC To Fill]]*Buckets_11_23[[#This Row],[NC To Fill]]</f>
        <v>0</v>
      </c>
      <c r="CE33" s="31">
        <f>Buckets_11_23[[#This Row],[Crit Filled]]+Buckets_11_23[[#This Row],[Scaled]]</f>
        <v>0</v>
      </c>
      <c r="CF33" s="31">
        <f>Buckets_11_23[[#This Row],[NC Filled]]</f>
        <v>0</v>
      </c>
      <c r="CG33" s="31">
        <f>Buckets_11_23[[#This Row],[Capacity]]-Buckets_11_23[[#This Row],[Final]]</f>
        <v>0</v>
      </c>
      <c r="CH33" s="33">
        <f>IF(Buckets_11_23[[#This Row],[Capacity]]=0, 1, Buckets_11_23[[#This Row],[Final]]/Buckets_11_23[[#This Row],[Capacity]])</f>
        <v>1</v>
      </c>
      <c r="CJ33" s="40">
        <f>Buckets_11_23[[#This Row],[Final]]</f>
        <v>0</v>
      </c>
      <c r="CK33" s="40">
        <f>Buckets_11_23[[#This Row],[Capacity]]</f>
        <v>0</v>
      </c>
      <c r="CL33" s="41" t="b">
        <f t="shared" si="23"/>
        <v>0</v>
      </c>
      <c r="CM33" s="42"/>
      <c r="CN33" s="42"/>
      <c r="CO33" s="42" t="e">
        <f>NA()</f>
        <v>#N/A</v>
      </c>
      <c r="CP33" s="42"/>
      <c r="CQ33" s="43"/>
      <c r="CR33" s="40">
        <f t="shared" si="24"/>
        <v>0</v>
      </c>
      <c r="CS33" s="40">
        <f t="shared" si="3"/>
        <v>0</v>
      </c>
      <c r="CT33" s="41" t="b">
        <f t="shared" si="4"/>
        <v>0</v>
      </c>
      <c r="CV33" s="29">
        <f t="shared" si="25"/>
        <v>0</v>
      </c>
      <c r="CW33" s="29">
        <f>GetTransactionTotal(AggregateTable2023[], AggregateTable2023[Start], CV$1, AggregateTable2023[#Headers], $D33)</f>
        <v>50.08</v>
      </c>
      <c r="CX33" s="29">
        <f>Buckets_12_23[[#This Row],[Start]]+Buckets_12_23[[#This Row],[Transactions]]</f>
        <v>50.08</v>
      </c>
      <c r="CY33" s="29">
        <f t="shared" si="26"/>
        <v>0</v>
      </c>
      <c r="CZ33" s="29">
        <f>Buckets_12_23[[#This Row],[Capacity]]-Buckets_12_23[[#This Row],[After T]]</f>
        <v>-50.08</v>
      </c>
      <c r="DA33" s="29">
        <f>MAX(-Buckets_12_23[[#This Row],[Cap Diff]], 0)</f>
        <v>50.08</v>
      </c>
      <c r="DB33" s="29">
        <f>Buckets_12_23[[#This Row],[After T]]-Buckets_12_23[[#This Row],[Slush]]</f>
        <v>0</v>
      </c>
      <c r="DC33" s="29">
        <f>Buckets_12_23[[#This Row],[Capacity]]-Buckets_12_23[[#This Row],[Before Fill]]</f>
        <v>0</v>
      </c>
      <c r="DD33" t="b">
        <f>OR(CT33, Buckets_12_23[[#This Row],[After T]]&lt;0)</f>
        <v>0</v>
      </c>
      <c r="DE33" s="29">
        <f>IF(Buckets_12_23[[#This Row],[Is Crit]], Buckets_12_23[[#This Row],[S Cap Diff]], 0)</f>
        <v>0</v>
      </c>
      <c r="DF33" s="29">
        <f>Buckets_12_23[[#This Row],[Before Fill]]+Buckets_12_23[[#This Row],[Crit To Fill]]</f>
        <v>0</v>
      </c>
      <c r="DG33" s="29">
        <f>IF(NOT(Buckets_12_23[[#This Row],[Is Crit]]), Buckets_12_23[[#This Row],[S Cap Diff]], 0)</f>
        <v>0</v>
      </c>
      <c r="DH33" s="31">
        <f>DF$41/Buckets_12_23[[#Totals],[NC To Fill]]*Buckets_12_23[[#This Row],[NC To Fill]]</f>
        <v>0</v>
      </c>
      <c r="DI33" s="31">
        <f>Buckets_12_23[[#This Row],[Crit Filled]]+Buckets_12_23[[#This Row],[Scaled]]</f>
        <v>0</v>
      </c>
      <c r="DJ33" s="31">
        <f>Buckets_12_23[[#This Row],[NC Filled]]</f>
        <v>0</v>
      </c>
      <c r="DK33" s="31">
        <f>Buckets_12_23[[#This Row],[Capacity]]-Buckets_12_23[[#This Row],[Final]]</f>
        <v>0</v>
      </c>
      <c r="DL33" s="33">
        <f>IF(Buckets_12_23[[#This Row],[Capacity]]=0, 1, Buckets_12_23[[#This Row],[Final]]/Buckets_12_23[[#This Row],[Capacity]])</f>
        <v>1</v>
      </c>
      <c r="DN33" s="40">
        <f>Buckets_12_23[[#This Row],[Final]]</f>
        <v>0</v>
      </c>
      <c r="DO33" s="40">
        <f>Buckets_12_23[[#This Row],[Capacity]]</f>
        <v>0</v>
      </c>
      <c r="DP33" s="41" t="b">
        <f t="shared" si="27"/>
        <v>0</v>
      </c>
      <c r="DQ33" s="42"/>
      <c r="DR33" s="42"/>
      <c r="DS33" s="42" t="e">
        <f>NA()</f>
        <v>#N/A</v>
      </c>
      <c r="DT33" s="42"/>
      <c r="DU33" s="43"/>
      <c r="DV33" s="40">
        <f t="shared" si="28"/>
        <v>0</v>
      </c>
      <c r="DW33" s="40">
        <f t="shared" si="5"/>
        <v>0</v>
      </c>
      <c r="DX33" s="41" t="b">
        <f t="shared" si="6"/>
        <v>0</v>
      </c>
      <c r="DZ33" s="29">
        <f t="shared" si="29"/>
        <v>0</v>
      </c>
      <c r="EA33" s="29">
        <f>GetTransactionTotal(AggregateTable2024[], AggregateTable2024[Start], DZ$1, AggregateTable2024[#Headers], $D33)</f>
        <v>9.9999999999999992E-2</v>
      </c>
      <c r="EB33" s="29">
        <f>Buckets_1_24[[#This Row],[Start]]+Buckets_1_24[[#This Row],[Transactions]]</f>
        <v>9.9999999999999992E-2</v>
      </c>
      <c r="EC33" s="29">
        <f t="shared" si="30"/>
        <v>0</v>
      </c>
      <c r="ED33" s="29">
        <f>Buckets_1_24[[#This Row],[Capacity]]-Buckets_1_24[[#This Row],[After T]]</f>
        <v>-9.9999999999999992E-2</v>
      </c>
      <c r="EE33" s="29">
        <f>MAX(-Buckets_1_24[[#This Row],[Cap Diff]], 0)</f>
        <v>9.9999999999999992E-2</v>
      </c>
      <c r="EF33" s="29">
        <f>Buckets_1_24[[#This Row],[After T]]-Buckets_1_24[[#This Row],[Slush]]</f>
        <v>0</v>
      </c>
      <c r="EG33" s="29">
        <f>Buckets_1_24[[#This Row],[Capacity]]-Buckets_1_24[[#This Row],[Before Fill]]</f>
        <v>0</v>
      </c>
      <c r="EH33" t="b">
        <f>OR(DX33, Buckets_1_24[[#This Row],[After T]]&lt;0)</f>
        <v>0</v>
      </c>
      <c r="EI33" s="29">
        <f>IF(Buckets_1_24[[#This Row],[Is Crit]], Buckets_1_24[[#This Row],[S Cap Diff]], 0)</f>
        <v>0</v>
      </c>
      <c r="EJ33" s="29">
        <f>Buckets_1_24[[#This Row],[Before Fill]]+Buckets_1_24[[#This Row],[Crit To Fill]]</f>
        <v>0</v>
      </c>
      <c r="EK33" s="29">
        <f>IF(NOT(Buckets_1_24[[#This Row],[Is Crit]]), Buckets_1_24[[#This Row],[S Cap Diff]], 0)</f>
        <v>0</v>
      </c>
      <c r="EL33" s="31">
        <f>EJ$41/Buckets_1_24[[#Totals],[NC To Fill]]*Buckets_1_24[[#This Row],[NC To Fill]]</f>
        <v>0</v>
      </c>
      <c r="EM33" s="31">
        <f>Buckets_1_24[[#This Row],[Crit Filled]]+Buckets_1_24[[#This Row],[Scaled]]</f>
        <v>0</v>
      </c>
      <c r="EN33" s="31">
        <f>Buckets_1_24[[#This Row],[NC Filled]]</f>
        <v>0</v>
      </c>
      <c r="EO33" s="31">
        <f>Buckets_1_24[[#This Row],[Capacity]]-Buckets_1_24[[#This Row],[Final]]</f>
        <v>0</v>
      </c>
      <c r="EP33" s="33">
        <f>IF(Buckets_1_24[[#This Row],[Capacity]]=0, 1, Buckets_1_24[[#This Row],[Final]]/Buckets_1_24[[#This Row],[Capacity]])</f>
        <v>1</v>
      </c>
      <c r="ER33" s="40">
        <f>Buckets_1_24[[#This Row],[Final]]</f>
        <v>0</v>
      </c>
      <c r="ES33" s="40">
        <f>Buckets_1_24[[#This Row],[Capacity]]</f>
        <v>0</v>
      </c>
      <c r="ET33" s="41" t="b">
        <f t="shared" si="31"/>
        <v>0</v>
      </c>
      <c r="EU33" s="42"/>
      <c r="EV33" s="42"/>
      <c r="EW33" s="42"/>
      <c r="EX33" s="42"/>
      <c r="EY33" s="43"/>
      <c r="EZ33" s="40">
        <f t="shared" si="32"/>
        <v>0</v>
      </c>
      <c r="FA33" s="40">
        <f t="shared" si="33"/>
        <v>0</v>
      </c>
      <c r="FB33" s="41" t="b">
        <f t="shared" si="7"/>
        <v>0</v>
      </c>
      <c r="FD33" s="29">
        <f t="shared" si="34"/>
        <v>0</v>
      </c>
      <c r="FE33" s="29">
        <f>GetTransactionTotal(AggregateTable2024[], AggregateTable2024[Start], FD$1, AggregateTable2024[#Headers], $D33)</f>
        <v>1194.9199999999998</v>
      </c>
      <c r="FF33" s="29">
        <f>Buckets_2_24[[#This Row],[Start]]+Buckets_2_24[[#This Row],[Transactions]]</f>
        <v>1194.9199999999998</v>
      </c>
      <c r="FG33" s="29">
        <f t="shared" si="35"/>
        <v>0</v>
      </c>
      <c r="FH33" s="29">
        <f>Buckets_2_24[[#This Row],[Capacity]]-Buckets_2_24[[#This Row],[After T]]</f>
        <v>-1194.9199999999998</v>
      </c>
      <c r="FI33" s="29">
        <f>MAX(-Buckets_2_24[[#This Row],[Cap Diff]], 0)</f>
        <v>1194.9199999999998</v>
      </c>
      <c r="FJ33" s="29">
        <f>Buckets_2_24[[#This Row],[After T]]-Buckets_2_24[[#This Row],[Slush]]</f>
        <v>0</v>
      </c>
      <c r="FK33" s="29">
        <f>Buckets_2_24[[#This Row],[Capacity]]-Buckets_2_24[[#This Row],[Before Fill]]</f>
        <v>0</v>
      </c>
      <c r="FL33" t="b">
        <f>OR(FB33, Buckets_2_24[[#This Row],[After T]]&lt;0)</f>
        <v>0</v>
      </c>
      <c r="FM33" s="29">
        <f>IF(Buckets_2_24[[#This Row],[Is Crit]], Buckets_2_24[[#This Row],[S Cap Diff]], 0)</f>
        <v>0</v>
      </c>
      <c r="FN33" s="29">
        <f>Buckets_2_24[[#This Row],[Before Fill]]+Buckets_2_24[[#This Row],[Crit To Fill]]</f>
        <v>0</v>
      </c>
      <c r="FO33" s="29">
        <f>IF(NOT(Buckets_2_24[[#This Row],[Is Crit]]), Buckets_2_24[[#This Row],[S Cap Diff]], 0)</f>
        <v>0</v>
      </c>
      <c r="FP33" s="31">
        <f>FN$41/Buckets_2_24[[#Totals],[NC To Fill]]*Buckets_2_24[[#This Row],[NC To Fill]]</f>
        <v>0</v>
      </c>
      <c r="FQ33" s="31">
        <f>Buckets_2_24[[#This Row],[Crit Filled]]+Buckets_2_24[[#This Row],[Scaled]]</f>
        <v>0</v>
      </c>
      <c r="FR33" s="31">
        <f>Buckets_2_24[[#This Row],[NC Filled]]</f>
        <v>0</v>
      </c>
      <c r="FS33" s="31">
        <f>Buckets_2_24[[#This Row],[Capacity]]-Buckets_2_24[[#This Row],[Final]]</f>
        <v>0</v>
      </c>
      <c r="FT33" s="33">
        <f>IF(Buckets_2_24[[#This Row],[Capacity]]=0, 1, Buckets_2_24[[#This Row],[Final]]/Buckets_2_24[[#This Row],[Capacity]])</f>
        <v>1</v>
      </c>
      <c r="FV33" s="40">
        <f>Buckets_2_24[[#This Row],[Final]]</f>
        <v>0</v>
      </c>
      <c r="FW33" s="40">
        <f>Buckets_2_24[[#This Row],[Capacity]]</f>
        <v>0</v>
      </c>
      <c r="FX33" s="41" t="b">
        <f t="shared" si="36"/>
        <v>0</v>
      </c>
      <c r="FY33" s="42"/>
      <c r="FZ33" s="42"/>
      <c r="GA33" s="42"/>
      <c r="GB33" s="42"/>
      <c r="GC33" s="43"/>
      <c r="GD33" s="40">
        <f t="shared" si="37"/>
        <v>0</v>
      </c>
      <c r="GE33" s="40">
        <f t="shared" si="38"/>
        <v>0</v>
      </c>
      <c r="GF33" s="41" t="b">
        <f t="shared" si="8"/>
        <v>0</v>
      </c>
      <c r="GH33" s="29">
        <f t="shared" si="39"/>
        <v>0</v>
      </c>
      <c r="GI33" s="29">
        <f>GetTransactionTotal(AggregateTable2024[], AggregateTable2024[Start], GH$1, AggregateTable2024[#Headers], $D33)</f>
        <v>0.12</v>
      </c>
      <c r="GJ33" s="29">
        <f>Buckets_3_24[[#This Row],[Start]]+Buckets_3_24[[#This Row],[Transactions]]</f>
        <v>0.12</v>
      </c>
      <c r="GK33" s="29">
        <f t="shared" si="40"/>
        <v>0</v>
      </c>
      <c r="GL33" s="29">
        <f>Buckets_3_24[[#This Row],[Capacity]]-Buckets_3_24[[#This Row],[After T]]</f>
        <v>-0.12</v>
      </c>
      <c r="GM33" s="29">
        <f>MAX(-Buckets_3_24[[#This Row],[Cap Diff]], 0)</f>
        <v>0.12</v>
      </c>
      <c r="GN33" s="29">
        <f>Buckets_3_24[[#This Row],[After T]]-Buckets_3_24[[#This Row],[Slush]]</f>
        <v>0</v>
      </c>
      <c r="GO33" s="29">
        <f>Buckets_3_24[[#This Row],[Capacity]]-Buckets_3_24[[#This Row],[Before Fill]]</f>
        <v>0</v>
      </c>
      <c r="GP33" t="b">
        <f>OR(GF33, Buckets_3_24[[#This Row],[After T]]&lt;0)</f>
        <v>0</v>
      </c>
      <c r="GQ33" s="29">
        <f>IF(Buckets_3_24[[#This Row],[Is Crit]], Buckets_3_24[[#This Row],[S Cap Diff]], 0)</f>
        <v>0</v>
      </c>
      <c r="GR33" s="29">
        <f>Buckets_3_24[[#This Row],[Before Fill]]+Buckets_3_24[[#This Row],[Crit To Fill]]</f>
        <v>0</v>
      </c>
      <c r="GS33" s="29">
        <f>IF(NOT(Buckets_3_24[[#This Row],[Is Crit]]), Buckets_3_24[[#This Row],[S Cap Diff]], 0)</f>
        <v>0</v>
      </c>
      <c r="GT33" s="31">
        <f>GR$41/Buckets_3_24[[#Totals],[NC To Fill]]*Buckets_3_24[[#This Row],[NC To Fill]]</f>
        <v>0</v>
      </c>
      <c r="GU33" s="31">
        <f>Buckets_3_24[[#This Row],[Crit Filled]]+Buckets_3_24[[#This Row],[Scaled]]</f>
        <v>0</v>
      </c>
      <c r="GV33" s="31">
        <f>Buckets_3_24[[#This Row],[NC Filled]]</f>
        <v>0</v>
      </c>
      <c r="GW33" s="31">
        <f>Buckets_3_24[[#This Row],[Capacity]]-Buckets_3_24[[#This Row],[Final]]</f>
        <v>0</v>
      </c>
      <c r="GX33" s="33">
        <f>IF(Buckets_3_24[[#This Row],[Capacity]]=0, 1, Buckets_3_24[[#This Row],[Final]]/Buckets_3_24[[#This Row],[Capacity]])</f>
        <v>1</v>
      </c>
      <c r="GZ33" s="40">
        <f>Buckets_3_24[[#This Row],[Final]]</f>
        <v>0</v>
      </c>
      <c r="HA33" s="40">
        <f>Buckets_3_24[[#This Row],[Capacity]]</f>
        <v>0</v>
      </c>
      <c r="HB33" s="41" t="b">
        <f t="shared" si="41"/>
        <v>0</v>
      </c>
      <c r="HC33" s="42"/>
      <c r="HD33" s="42"/>
      <c r="HE33" s="42"/>
      <c r="HF33" s="42"/>
      <c r="HG33" s="43"/>
      <c r="HH33" s="40">
        <f t="shared" si="42"/>
        <v>0</v>
      </c>
      <c r="HI33" s="40">
        <f t="shared" si="43"/>
        <v>0</v>
      </c>
      <c r="HJ33" s="41" t="b">
        <f t="shared" si="9"/>
        <v>0</v>
      </c>
      <c r="HL33" s="29">
        <f t="shared" si="44"/>
        <v>0</v>
      </c>
      <c r="HM33" s="29">
        <f>GetTransactionTotal(AggregateTable2024[], AggregateTable2024[Start], HL$1, AggregateTable2024[#Headers], $D33)</f>
        <v>5283.13</v>
      </c>
      <c r="HN33" s="29">
        <f>Buckets_4_24[[#This Row],[Start]]+Buckets_4_24[[#This Row],[Transactions]]</f>
        <v>5283.13</v>
      </c>
      <c r="HO33" s="29">
        <f t="shared" si="45"/>
        <v>0</v>
      </c>
      <c r="HP33" s="29">
        <f>Buckets_4_24[[#This Row],[Capacity]]-Buckets_4_24[[#This Row],[After T]]</f>
        <v>-5283.13</v>
      </c>
      <c r="HQ33" s="29">
        <f>MAX(-Buckets_4_24[[#This Row],[Cap Diff]], 0)</f>
        <v>5283.13</v>
      </c>
      <c r="HR33" s="29">
        <f>Buckets_4_24[[#This Row],[After T]]-Buckets_4_24[[#This Row],[Slush]]</f>
        <v>0</v>
      </c>
      <c r="HS33" s="29">
        <f>Buckets_4_24[[#This Row],[Capacity]]-Buckets_4_24[[#This Row],[Before Fill]]</f>
        <v>0</v>
      </c>
      <c r="HT33" t="b">
        <f>OR(HJ33, Buckets_4_24[[#This Row],[After T]]&lt;0)</f>
        <v>0</v>
      </c>
      <c r="HU33" s="29">
        <f>IF(Buckets_4_24[[#This Row],[Is Crit]], Buckets_4_24[[#This Row],[S Cap Diff]], 0)</f>
        <v>0</v>
      </c>
      <c r="HV33" s="29">
        <f>Buckets_4_24[[#This Row],[Before Fill]]+Buckets_4_24[[#This Row],[Crit To Fill]]</f>
        <v>0</v>
      </c>
      <c r="HW33" s="29">
        <f>IF(NOT(Buckets_4_24[[#This Row],[Is Crit]]), Buckets_4_24[[#This Row],[S Cap Diff]], 0)</f>
        <v>0</v>
      </c>
      <c r="HX33" s="31">
        <f>HV$41/Buckets_4_24[[#Totals],[NC To Fill]]*Buckets_4_24[[#This Row],[NC To Fill]]</f>
        <v>0</v>
      </c>
      <c r="HY33" s="31">
        <f>Buckets_4_24[[#This Row],[Crit Filled]]+Buckets_4_24[[#This Row],[Scaled]]</f>
        <v>0</v>
      </c>
      <c r="HZ33" s="31">
        <f>Buckets_4_24[[#This Row],[NC Filled]]</f>
        <v>0</v>
      </c>
      <c r="IA33" s="31">
        <f>Buckets_4_24[[#This Row],[Capacity]]-Buckets_4_24[[#This Row],[Final]]</f>
        <v>0</v>
      </c>
      <c r="IB33" s="33">
        <f>IF(Buckets_4_24[[#This Row],[Capacity]]=0, 1, Buckets_4_24[[#This Row],[Final]]/Buckets_4_24[[#This Row],[Capacity]])</f>
        <v>1</v>
      </c>
      <c r="ID33" s="40">
        <f>Buckets_4_24[[#This Row],[Final]]</f>
        <v>0</v>
      </c>
      <c r="IE33" s="40">
        <f>Buckets_4_24[[#This Row],[Capacity]]</f>
        <v>0</v>
      </c>
      <c r="IF33" s="41" t="b">
        <f t="shared" si="46"/>
        <v>0</v>
      </c>
      <c r="IG33" s="42"/>
      <c r="IH33" s="42"/>
      <c r="II33" s="42"/>
      <c r="IJ33" s="42"/>
      <c r="IK33" s="43"/>
      <c r="IL33" s="40">
        <f t="shared" si="47"/>
        <v>0</v>
      </c>
      <c r="IM33" s="40">
        <f t="shared" si="48"/>
        <v>0</v>
      </c>
      <c r="IN33" s="41" t="b">
        <f t="shared" si="10"/>
        <v>0</v>
      </c>
    </row>
    <row r="34" spans="1:248" x14ac:dyDescent="0.25">
      <c r="A34" s="48" t="s">
        <v>317</v>
      </c>
      <c r="B34" t="s">
        <v>308</v>
      </c>
      <c r="C34" t="s">
        <v>307</v>
      </c>
      <c r="D34" t="s">
        <v>307</v>
      </c>
      <c r="F34" s="30">
        <v>0</v>
      </c>
      <c r="G34" s="38">
        <v>0</v>
      </c>
      <c r="H34" t="b">
        <v>0</v>
      </c>
      <c r="J34" s="29">
        <f t="shared" si="11"/>
        <v>0</v>
      </c>
      <c r="K34" s="29">
        <f>GetTransactionTotal(AggregateTable2023[], AggregateTable2023[Start], J$1, AggregateTable2023[#Headers], $D34)</f>
        <v>0</v>
      </c>
      <c r="L34" s="29">
        <f>Buckets_9_23[[#This Row],[Start]]+Buckets_9_23[[#This Row],[Transactions]]</f>
        <v>0</v>
      </c>
      <c r="M34" s="29">
        <f t="shared" si="12"/>
        <v>0</v>
      </c>
      <c r="N34" s="29">
        <f>Buckets_9_23[[#This Row],[Capacity]]-Buckets_9_23[[#This Row],[After T]]</f>
        <v>0</v>
      </c>
      <c r="O34" s="29">
        <f>IF(Buckets_9_23[[#This Row],[After T]]&lt;0, Buckets_9_23[[#This Row],[After T]], IF(Buckets_9_23[[#This Row],[Cap Diff]]&lt;0, -Buckets_9_23[[#This Row],[Cap Diff]], 0))</f>
        <v>0</v>
      </c>
      <c r="P34" s="29">
        <f>Buckets_9_23[[#This Row],[After T]]-Buckets_9_23[[#This Row],[Slush]]</f>
        <v>0</v>
      </c>
      <c r="Q34" s="29">
        <f>Buckets_9_23[[#This Row],[Capacity]]-Buckets_9_23[[#This Row],[Before Fill]]</f>
        <v>0</v>
      </c>
      <c r="R34" t="b">
        <f t="shared" si="0"/>
        <v>0</v>
      </c>
      <c r="S34" s="29">
        <f>IF(Buckets_9_23[[#This Row],[Is Crit]], Buckets_9_23[[#This Row],[S Cap Diff]], 0)</f>
        <v>0</v>
      </c>
      <c r="T34" s="29">
        <f>Buckets_9_23[[#This Row],[Before Fill]]+Buckets_9_23[[#This Row],[Crit To Fill]]</f>
        <v>0</v>
      </c>
      <c r="U34" s="29">
        <f>IF(NOT(Buckets_9_23[[#This Row],[Is Crit]]), Buckets_9_23[[#This Row],[S Cap Diff]], 0)</f>
        <v>0</v>
      </c>
      <c r="V34" s="31">
        <f>T$41/Buckets_9_23[[#Totals],[NC To Fill]]*Buckets_9_23[[#This Row],[NC To Fill]]</f>
        <v>0</v>
      </c>
      <c r="W34" s="31">
        <f>Buckets_9_23[[#This Row],[Crit Filled]]+Buckets_9_23[[#This Row],[Scaled]]</f>
        <v>0</v>
      </c>
      <c r="X34" s="31">
        <f>Buckets_9_23[[#This Row],[NC Filled]]</f>
        <v>0</v>
      </c>
      <c r="Y34" s="31">
        <f>Buckets_9_23[[#This Row],[Capacity]]-Buckets_9_23[[#This Row],[Final]]</f>
        <v>0</v>
      </c>
      <c r="Z34" s="33">
        <f>IF(Buckets_9_23[[#This Row],[Capacity]]=0, 1, Buckets_9_23[[#This Row],[Final]]/Buckets_9_23[[#This Row],[Capacity]])</f>
        <v>1</v>
      </c>
      <c r="AB34" s="31">
        <f>Buckets_9_23[[#This Row],[Final]]</f>
        <v>0</v>
      </c>
      <c r="AC34" s="31">
        <f>Buckets_9_23[[#This Row],[Capacity]]</f>
        <v>0</v>
      </c>
      <c r="AD34" t="b">
        <f t="shared" si="13"/>
        <v>0</v>
      </c>
      <c r="AE34" s="43" t="e">
        <f>NA()</f>
        <v>#N/A</v>
      </c>
      <c r="AF34" s="42"/>
      <c r="AG34" s="43" t="e">
        <f>NA()</f>
        <v>#N/A</v>
      </c>
      <c r="AH34" s="42"/>
      <c r="AI34" s="43"/>
      <c r="AJ34" s="31">
        <f t="shared" si="14"/>
        <v>0</v>
      </c>
      <c r="AK34" s="31">
        <f t="shared" si="15"/>
        <v>0</v>
      </c>
      <c r="AL34" t="b">
        <f t="shared" si="16"/>
        <v>0</v>
      </c>
      <c r="AN34" s="29">
        <f t="shared" si="17"/>
        <v>0</v>
      </c>
      <c r="AO34" s="29">
        <f>GetTransactionTotal(AggregateTable2023[], AggregateTable2023[Start], AN$1, AggregateTable2023[#Headers], $D34)</f>
        <v>0</v>
      </c>
      <c r="AP34" s="29">
        <f>Buckets_10_23[[#This Row],[Start]]+Buckets_10_23[[#This Row],[Transactions]]</f>
        <v>0</v>
      </c>
      <c r="AQ34" s="29">
        <f t="shared" si="18"/>
        <v>0</v>
      </c>
      <c r="AR34" s="29">
        <f>Buckets_10_23[[#This Row],[Capacity]]-Buckets_10_23[[#This Row],[After T]]</f>
        <v>0</v>
      </c>
      <c r="AS34" s="29">
        <f>MAX(-Buckets_10_23[[#This Row],[Cap Diff]], 0)</f>
        <v>0</v>
      </c>
      <c r="AT34" s="29">
        <f>Buckets_10_23[[#This Row],[After T]]-Buckets_10_23[[#This Row],[Slush]]</f>
        <v>0</v>
      </c>
      <c r="AU34" s="29">
        <f>Buckets_10_23[[#This Row],[Capacity]]-Buckets_10_23[[#This Row],[Before Fill]]</f>
        <v>0</v>
      </c>
      <c r="AV34" t="b">
        <f>OR(AL34, Buckets_10_23[[#This Row],[After T]]&lt;0)</f>
        <v>0</v>
      </c>
      <c r="AW34" s="29">
        <f>IF(Buckets_10_23[[#This Row],[Is Crit]], Buckets_10_23[[#This Row],[S Cap Diff]], 0)</f>
        <v>0</v>
      </c>
      <c r="AX34" s="29">
        <f>Buckets_10_23[[#This Row],[Before Fill]]+Buckets_10_23[[#This Row],[Crit To Fill]]</f>
        <v>0</v>
      </c>
      <c r="AY34" s="29">
        <f>IF(NOT(Buckets_10_23[[#This Row],[Is Crit]]), Buckets_10_23[[#This Row],[S Cap Diff]], 0)</f>
        <v>0</v>
      </c>
      <c r="AZ34" s="31">
        <f>AX$41/Buckets_10_23[[#Totals],[NC To Fill]]*Buckets_10_23[[#This Row],[NC To Fill]]</f>
        <v>0</v>
      </c>
      <c r="BA34" s="31">
        <f>Buckets_10_23[[#This Row],[Crit Filled]]+Buckets_10_23[[#This Row],[Scaled]]</f>
        <v>0</v>
      </c>
      <c r="BB34" s="31">
        <f>Buckets_10_23[[#This Row],[NC Filled]]</f>
        <v>0</v>
      </c>
      <c r="BC34" s="31">
        <f>Buckets_10_23[[#This Row],[Capacity]]-Buckets_10_23[[#This Row],[Final]]</f>
        <v>0</v>
      </c>
      <c r="BD34" s="33">
        <f>IF(Buckets_10_23[[#This Row],[Capacity]]=0, 1, Buckets_10_23[[#This Row],[Final]]/Buckets_10_23[[#This Row],[Capacity]])</f>
        <v>1</v>
      </c>
      <c r="BF34" s="31">
        <f>Buckets_10_23[[#This Row],[Final]]</f>
        <v>0</v>
      </c>
      <c r="BG34" s="31">
        <f>Buckets_10_23[[#This Row],[Capacity]]</f>
        <v>0</v>
      </c>
      <c r="BH34" t="b">
        <f t="shared" si="19"/>
        <v>0</v>
      </c>
      <c r="BI34" s="43" t="e">
        <f>NA()</f>
        <v>#N/A</v>
      </c>
      <c r="BJ34" s="42"/>
      <c r="BK34" s="43" t="e">
        <f>NA()</f>
        <v>#N/A</v>
      </c>
      <c r="BL34" s="42"/>
      <c r="BM34" s="43"/>
      <c r="BN34" s="31">
        <f t="shared" si="20"/>
        <v>0</v>
      </c>
      <c r="BO34" s="31">
        <f t="shared" si="1"/>
        <v>0</v>
      </c>
      <c r="BP34" t="b">
        <f t="shared" si="2"/>
        <v>0</v>
      </c>
      <c r="BR34" s="29">
        <f t="shared" si="21"/>
        <v>0</v>
      </c>
      <c r="BS34" s="29">
        <f>GetTransactionTotal(AggregateTable2023[], AggregateTable2023[Start], BR$1, AggregateTable2023[#Headers], $D34)</f>
        <v>0</v>
      </c>
      <c r="BT34" s="29">
        <f>Buckets_11_23[[#This Row],[Start]]+Buckets_11_23[[#This Row],[Transactions]]</f>
        <v>0</v>
      </c>
      <c r="BU34" s="29">
        <f t="shared" si="22"/>
        <v>0</v>
      </c>
      <c r="BV34" s="29">
        <f>Buckets_11_23[[#This Row],[Capacity]]-Buckets_11_23[[#This Row],[After T]]</f>
        <v>0</v>
      </c>
      <c r="BW34" s="29">
        <f>MAX(-Buckets_11_23[[#This Row],[Cap Diff]], 0)</f>
        <v>0</v>
      </c>
      <c r="BX34" s="29">
        <f>Buckets_11_23[[#This Row],[After T]]-Buckets_11_23[[#This Row],[Slush]]</f>
        <v>0</v>
      </c>
      <c r="BY34" s="29">
        <f>Buckets_11_23[[#This Row],[Capacity]]-Buckets_11_23[[#This Row],[Before Fill]]</f>
        <v>0</v>
      </c>
      <c r="BZ34" t="b">
        <f>OR(BP34, Buckets_11_23[[#This Row],[After T]]&lt;0)</f>
        <v>0</v>
      </c>
      <c r="CA34" s="29">
        <f>IF(Buckets_11_23[[#This Row],[Is Crit]], Buckets_11_23[[#This Row],[S Cap Diff]], 0)</f>
        <v>0</v>
      </c>
      <c r="CB34" s="29">
        <f>Buckets_11_23[[#This Row],[Before Fill]]+Buckets_11_23[[#This Row],[Crit To Fill]]</f>
        <v>0</v>
      </c>
      <c r="CC34" s="29">
        <f>IF(NOT(Buckets_11_23[[#This Row],[Is Crit]]), Buckets_11_23[[#This Row],[S Cap Diff]], 0)</f>
        <v>0</v>
      </c>
      <c r="CD34" s="31">
        <f>CB$41/Buckets_11_23[[#Totals],[NC To Fill]]*Buckets_11_23[[#This Row],[NC To Fill]]</f>
        <v>0</v>
      </c>
      <c r="CE34" s="31">
        <f>Buckets_11_23[[#This Row],[Crit Filled]]+Buckets_11_23[[#This Row],[Scaled]]</f>
        <v>0</v>
      </c>
      <c r="CF34" s="31">
        <f>Buckets_11_23[[#This Row],[NC Filled]]</f>
        <v>0</v>
      </c>
      <c r="CG34" s="31">
        <f>Buckets_11_23[[#This Row],[Capacity]]-Buckets_11_23[[#This Row],[Final]]</f>
        <v>0</v>
      </c>
      <c r="CH34" s="33">
        <f>IF(Buckets_11_23[[#This Row],[Capacity]]=0, 1, Buckets_11_23[[#This Row],[Final]]/Buckets_11_23[[#This Row],[Capacity]])</f>
        <v>1</v>
      </c>
      <c r="CJ34" s="40">
        <f>Buckets_11_23[[#This Row],[Final]]</f>
        <v>0</v>
      </c>
      <c r="CK34" s="40">
        <f>Buckets_11_23[[#This Row],[Capacity]]</f>
        <v>0</v>
      </c>
      <c r="CL34" s="41" t="b">
        <f t="shared" si="23"/>
        <v>0</v>
      </c>
      <c r="CM34" s="42"/>
      <c r="CN34" s="42"/>
      <c r="CO34" s="42" t="e">
        <f>NA()</f>
        <v>#N/A</v>
      </c>
      <c r="CP34" s="42"/>
      <c r="CQ34" s="43"/>
      <c r="CR34" s="40">
        <f t="shared" si="24"/>
        <v>0</v>
      </c>
      <c r="CS34" s="40">
        <f t="shared" si="3"/>
        <v>0</v>
      </c>
      <c r="CT34" s="41" t="b">
        <f t="shared" si="4"/>
        <v>0</v>
      </c>
      <c r="CV34" s="29">
        <f t="shared" si="25"/>
        <v>0</v>
      </c>
      <c r="CW34" s="29">
        <f>GetTransactionTotal(AggregateTable2023[], AggregateTable2023[Start], CV$1, AggregateTable2023[#Headers], $D34)</f>
        <v>0</v>
      </c>
      <c r="CX34" s="29">
        <f>Buckets_12_23[[#This Row],[Start]]+Buckets_12_23[[#This Row],[Transactions]]</f>
        <v>0</v>
      </c>
      <c r="CY34" s="29">
        <f t="shared" si="26"/>
        <v>0</v>
      </c>
      <c r="CZ34" s="29">
        <f>Buckets_12_23[[#This Row],[Capacity]]-Buckets_12_23[[#This Row],[After T]]</f>
        <v>0</v>
      </c>
      <c r="DA34" s="29">
        <f>MAX(-Buckets_12_23[[#This Row],[Cap Diff]], 0)</f>
        <v>0</v>
      </c>
      <c r="DB34" s="29">
        <f>Buckets_12_23[[#This Row],[After T]]-Buckets_12_23[[#This Row],[Slush]]</f>
        <v>0</v>
      </c>
      <c r="DC34" s="29">
        <f>Buckets_12_23[[#This Row],[Capacity]]-Buckets_12_23[[#This Row],[Before Fill]]</f>
        <v>0</v>
      </c>
      <c r="DD34" t="b">
        <f>OR(CT34, Buckets_12_23[[#This Row],[After T]]&lt;0)</f>
        <v>0</v>
      </c>
      <c r="DE34" s="29">
        <f>IF(Buckets_12_23[[#This Row],[Is Crit]], Buckets_12_23[[#This Row],[S Cap Diff]], 0)</f>
        <v>0</v>
      </c>
      <c r="DF34" s="29">
        <f>Buckets_12_23[[#This Row],[Before Fill]]+Buckets_12_23[[#This Row],[Crit To Fill]]</f>
        <v>0</v>
      </c>
      <c r="DG34" s="29">
        <f>IF(NOT(Buckets_12_23[[#This Row],[Is Crit]]), Buckets_12_23[[#This Row],[S Cap Diff]], 0)</f>
        <v>0</v>
      </c>
      <c r="DH34" s="31">
        <f>DF$41/Buckets_12_23[[#Totals],[NC To Fill]]*Buckets_12_23[[#This Row],[NC To Fill]]</f>
        <v>0</v>
      </c>
      <c r="DI34" s="31">
        <f>Buckets_12_23[[#This Row],[Crit Filled]]+Buckets_12_23[[#This Row],[Scaled]]</f>
        <v>0</v>
      </c>
      <c r="DJ34" s="31">
        <f>Buckets_12_23[[#This Row],[NC Filled]]</f>
        <v>0</v>
      </c>
      <c r="DK34" s="31">
        <f>Buckets_12_23[[#This Row],[Capacity]]-Buckets_12_23[[#This Row],[Final]]</f>
        <v>0</v>
      </c>
      <c r="DL34" s="33">
        <f>IF(Buckets_12_23[[#This Row],[Capacity]]=0, 1, Buckets_12_23[[#This Row],[Final]]/Buckets_12_23[[#This Row],[Capacity]])</f>
        <v>1</v>
      </c>
      <c r="DN34" s="40">
        <f>Buckets_12_23[[#This Row],[Final]]</f>
        <v>0</v>
      </c>
      <c r="DO34" s="40">
        <f>Buckets_12_23[[#This Row],[Capacity]]</f>
        <v>0</v>
      </c>
      <c r="DP34" s="41" t="b">
        <f t="shared" si="27"/>
        <v>0</v>
      </c>
      <c r="DQ34" s="42"/>
      <c r="DR34" s="42"/>
      <c r="DS34" s="42" t="e">
        <f>NA()</f>
        <v>#N/A</v>
      </c>
      <c r="DT34" s="42"/>
      <c r="DU34" s="43"/>
      <c r="DV34" s="40">
        <f t="shared" si="28"/>
        <v>0</v>
      </c>
      <c r="DW34" s="40">
        <f t="shared" si="5"/>
        <v>0</v>
      </c>
      <c r="DX34" s="41" t="b">
        <f t="shared" si="6"/>
        <v>0</v>
      </c>
      <c r="DZ34" s="29">
        <f t="shared" si="29"/>
        <v>0</v>
      </c>
      <c r="EA34" s="29">
        <f>GetTransactionTotal(AggregateTable2024[], AggregateTable2024[Start], DZ$1, AggregateTable2024[#Headers], $D34)</f>
        <v>0</v>
      </c>
      <c r="EB34" s="29">
        <f>Buckets_1_24[[#This Row],[Start]]+Buckets_1_24[[#This Row],[Transactions]]</f>
        <v>0</v>
      </c>
      <c r="EC34" s="29">
        <f t="shared" si="30"/>
        <v>0</v>
      </c>
      <c r="ED34" s="29">
        <f>Buckets_1_24[[#This Row],[Capacity]]-Buckets_1_24[[#This Row],[After T]]</f>
        <v>0</v>
      </c>
      <c r="EE34" s="29">
        <f>MAX(-Buckets_1_24[[#This Row],[Cap Diff]], 0)</f>
        <v>0</v>
      </c>
      <c r="EF34" s="29">
        <f>Buckets_1_24[[#This Row],[After T]]-Buckets_1_24[[#This Row],[Slush]]</f>
        <v>0</v>
      </c>
      <c r="EG34" s="29">
        <f>Buckets_1_24[[#This Row],[Capacity]]-Buckets_1_24[[#This Row],[Before Fill]]</f>
        <v>0</v>
      </c>
      <c r="EH34" t="b">
        <f>OR(DX34, Buckets_1_24[[#This Row],[After T]]&lt;0)</f>
        <v>0</v>
      </c>
      <c r="EI34" s="29">
        <f>IF(Buckets_1_24[[#This Row],[Is Crit]], Buckets_1_24[[#This Row],[S Cap Diff]], 0)</f>
        <v>0</v>
      </c>
      <c r="EJ34" s="29">
        <f>Buckets_1_24[[#This Row],[Before Fill]]+Buckets_1_24[[#This Row],[Crit To Fill]]</f>
        <v>0</v>
      </c>
      <c r="EK34" s="29">
        <f>IF(NOT(Buckets_1_24[[#This Row],[Is Crit]]), Buckets_1_24[[#This Row],[S Cap Diff]], 0)</f>
        <v>0</v>
      </c>
      <c r="EL34" s="31">
        <f>EJ$41/Buckets_1_24[[#Totals],[NC To Fill]]*Buckets_1_24[[#This Row],[NC To Fill]]</f>
        <v>0</v>
      </c>
      <c r="EM34" s="31">
        <f>Buckets_1_24[[#This Row],[Crit Filled]]+Buckets_1_24[[#This Row],[Scaled]]</f>
        <v>0</v>
      </c>
      <c r="EN34" s="31">
        <f>Buckets_1_24[[#This Row],[NC Filled]]</f>
        <v>0</v>
      </c>
      <c r="EO34" s="31">
        <f>Buckets_1_24[[#This Row],[Capacity]]-Buckets_1_24[[#This Row],[Final]]</f>
        <v>0</v>
      </c>
      <c r="EP34" s="33">
        <f>IF(Buckets_1_24[[#This Row],[Capacity]]=0, 1, Buckets_1_24[[#This Row],[Final]]/Buckets_1_24[[#This Row],[Capacity]])</f>
        <v>1</v>
      </c>
      <c r="ER34" s="40">
        <f>Buckets_1_24[[#This Row],[Final]]</f>
        <v>0</v>
      </c>
      <c r="ES34" s="40">
        <f>Buckets_1_24[[#This Row],[Capacity]]</f>
        <v>0</v>
      </c>
      <c r="ET34" s="41" t="b">
        <f t="shared" si="31"/>
        <v>0</v>
      </c>
      <c r="EU34" s="42"/>
      <c r="EV34" s="42"/>
      <c r="EW34" s="42"/>
      <c r="EX34" s="42"/>
      <c r="EY34" s="43"/>
      <c r="EZ34" s="40">
        <f t="shared" si="32"/>
        <v>0</v>
      </c>
      <c r="FA34" s="40">
        <f t="shared" si="33"/>
        <v>0</v>
      </c>
      <c r="FB34" s="41" t="b">
        <f t="shared" si="7"/>
        <v>0</v>
      </c>
      <c r="FD34" s="29">
        <f t="shared" si="34"/>
        <v>0</v>
      </c>
      <c r="FE34" s="29">
        <f>GetTransactionTotal(AggregateTable2024[], AggregateTable2024[Start], FD$1, AggregateTable2024[#Headers], $D34)</f>
        <v>0</v>
      </c>
      <c r="FF34" s="29">
        <f>Buckets_2_24[[#This Row],[Start]]+Buckets_2_24[[#This Row],[Transactions]]</f>
        <v>0</v>
      </c>
      <c r="FG34" s="29">
        <f t="shared" si="35"/>
        <v>0</v>
      </c>
      <c r="FH34" s="29">
        <f>Buckets_2_24[[#This Row],[Capacity]]-Buckets_2_24[[#This Row],[After T]]</f>
        <v>0</v>
      </c>
      <c r="FI34" s="29">
        <f>MAX(-Buckets_2_24[[#This Row],[Cap Diff]], 0)</f>
        <v>0</v>
      </c>
      <c r="FJ34" s="29">
        <f>Buckets_2_24[[#This Row],[After T]]-Buckets_2_24[[#This Row],[Slush]]</f>
        <v>0</v>
      </c>
      <c r="FK34" s="29">
        <f>Buckets_2_24[[#This Row],[Capacity]]-Buckets_2_24[[#This Row],[Before Fill]]</f>
        <v>0</v>
      </c>
      <c r="FL34" t="b">
        <f>OR(FB34, Buckets_2_24[[#This Row],[After T]]&lt;0)</f>
        <v>0</v>
      </c>
      <c r="FM34" s="29">
        <f>IF(Buckets_2_24[[#This Row],[Is Crit]], Buckets_2_24[[#This Row],[S Cap Diff]], 0)</f>
        <v>0</v>
      </c>
      <c r="FN34" s="29">
        <f>Buckets_2_24[[#This Row],[Before Fill]]+Buckets_2_24[[#This Row],[Crit To Fill]]</f>
        <v>0</v>
      </c>
      <c r="FO34" s="29">
        <f>IF(NOT(Buckets_2_24[[#This Row],[Is Crit]]), Buckets_2_24[[#This Row],[S Cap Diff]], 0)</f>
        <v>0</v>
      </c>
      <c r="FP34" s="31">
        <f>FN$41/Buckets_2_24[[#Totals],[NC To Fill]]*Buckets_2_24[[#This Row],[NC To Fill]]</f>
        <v>0</v>
      </c>
      <c r="FQ34" s="31">
        <f>Buckets_2_24[[#This Row],[Crit Filled]]+Buckets_2_24[[#This Row],[Scaled]]</f>
        <v>0</v>
      </c>
      <c r="FR34" s="31">
        <f>Buckets_2_24[[#This Row],[NC Filled]]</f>
        <v>0</v>
      </c>
      <c r="FS34" s="31">
        <f>Buckets_2_24[[#This Row],[Capacity]]-Buckets_2_24[[#This Row],[Final]]</f>
        <v>0</v>
      </c>
      <c r="FT34" s="33">
        <f>IF(Buckets_2_24[[#This Row],[Capacity]]=0, 1, Buckets_2_24[[#This Row],[Final]]/Buckets_2_24[[#This Row],[Capacity]])</f>
        <v>1</v>
      </c>
      <c r="FV34" s="40">
        <f>Buckets_2_24[[#This Row],[Final]]</f>
        <v>0</v>
      </c>
      <c r="FW34" s="40">
        <f>Buckets_2_24[[#This Row],[Capacity]]</f>
        <v>0</v>
      </c>
      <c r="FX34" s="41" t="b">
        <f t="shared" si="36"/>
        <v>0</v>
      </c>
      <c r="FY34" s="42"/>
      <c r="FZ34" s="42"/>
      <c r="GA34" s="42"/>
      <c r="GB34" s="42"/>
      <c r="GC34" s="43"/>
      <c r="GD34" s="40">
        <f t="shared" si="37"/>
        <v>0</v>
      </c>
      <c r="GE34" s="40">
        <f t="shared" si="38"/>
        <v>0</v>
      </c>
      <c r="GF34" s="41" t="b">
        <f t="shared" si="8"/>
        <v>0</v>
      </c>
      <c r="GH34" s="29">
        <f t="shared" si="39"/>
        <v>0</v>
      </c>
      <c r="GI34" s="29">
        <f>GetTransactionTotal(AggregateTable2024[], AggregateTable2024[Start], GH$1, AggregateTable2024[#Headers], $D34)</f>
        <v>0</v>
      </c>
      <c r="GJ34" s="29">
        <f>Buckets_3_24[[#This Row],[Start]]+Buckets_3_24[[#This Row],[Transactions]]</f>
        <v>0</v>
      </c>
      <c r="GK34" s="29">
        <f t="shared" si="40"/>
        <v>0</v>
      </c>
      <c r="GL34" s="29">
        <f>Buckets_3_24[[#This Row],[Capacity]]-Buckets_3_24[[#This Row],[After T]]</f>
        <v>0</v>
      </c>
      <c r="GM34" s="29">
        <f>MAX(-Buckets_3_24[[#This Row],[Cap Diff]], 0)</f>
        <v>0</v>
      </c>
      <c r="GN34" s="29">
        <f>Buckets_3_24[[#This Row],[After T]]-Buckets_3_24[[#This Row],[Slush]]</f>
        <v>0</v>
      </c>
      <c r="GO34" s="29">
        <f>Buckets_3_24[[#This Row],[Capacity]]-Buckets_3_24[[#This Row],[Before Fill]]</f>
        <v>0</v>
      </c>
      <c r="GP34" t="b">
        <f>OR(GF34, Buckets_3_24[[#This Row],[After T]]&lt;0)</f>
        <v>0</v>
      </c>
      <c r="GQ34" s="29">
        <f>IF(Buckets_3_24[[#This Row],[Is Crit]], Buckets_3_24[[#This Row],[S Cap Diff]], 0)</f>
        <v>0</v>
      </c>
      <c r="GR34" s="29">
        <f>Buckets_3_24[[#This Row],[Before Fill]]+Buckets_3_24[[#This Row],[Crit To Fill]]</f>
        <v>0</v>
      </c>
      <c r="GS34" s="29">
        <f>IF(NOT(Buckets_3_24[[#This Row],[Is Crit]]), Buckets_3_24[[#This Row],[S Cap Diff]], 0)</f>
        <v>0</v>
      </c>
      <c r="GT34" s="31">
        <f>GR$41/Buckets_3_24[[#Totals],[NC To Fill]]*Buckets_3_24[[#This Row],[NC To Fill]]</f>
        <v>0</v>
      </c>
      <c r="GU34" s="31">
        <f>Buckets_3_24[[#This Row],[Crit Filled]]+Buckets_3_24[[#This Row],[Scaled]]</f>
        <v>0</v>
      </c>
      <c r="GV34" s="31">
        <f>Buckets_3_24[[#This Row],[NC Filled]]</f>
        <v>0</v>
      </c>
      <c r="GW34" s="31">
        <f>Buckets_3_24[[#This Row],[Capacity]]-Buckets_3_24[[#This Row],[Final]]</f>
        <v>0</v>
      </c>
      <c r="GX34" s="33">
        <f>IF(Buckets_3_24[[#This Row],[Capacity]]=0, 1, Buckets_3_24[[#This Row],[Final]]/Buckets_3_24[[#This Row],[Capacity]])</f>
        <v>1</v>
      </c>
      <c r="GZ34" s="40">
        <f>Buckets_3_24[[#This Row],[Final]]</f>
        <v>0</v>
      </c>
      <c r="HA34" s="40">
        <f>Buckets_3_24[[#This Row],[Capacity]]</f>
        <v>0</v>
      </c>
      <c r="HB34" s="41" t="b">
        <f t="shared" si="41"/>
        <v>0</v>
      </c>
      <c r="HC34" s="42"/>
      <c r="HD34" s="42"/>
      <c r="HE34" s="42"/>
      <c r="HF34" s="42"/>
      <c r="HG34" s="43"/>
      <c r="HH34" s="40">
        <f t="shared" si="42"/>
        <v>0</v>
      </c>
      <c r="HI34" s="40">
        <f t="shared" si="43"/>
        <v>0</v>
      </c>
      <c r="HJ34" s="41" t="b">
        <f t="shared" si="9"/>
        <v>0</v>
      </c>
      <c r="HL34" s="29">
        <f t="shared" si="44"/>
        <v>0</v>
      </c>
      <c r="HM34" s="29">
        <f>GetTransactionTotal(AggregateTable2024[], AggregateTable2024[Start], HL$1, AggregateTable2024[#Headers], $D34)</f>
        <v>0</v>
      </c>
      <c r="HN34" s="29">
        <f>Buckets_4_24[[#This Row],[Start]]+Buckets_4_24[[#This Row],[Transactions]]</f>
        <v>0</v>
      </c>
      <c r="HO34" s="29">
        <f t="shared" si="45"/>
        <v>0</v>
      </c>
      <c r="HP34" s="29">
        <f>Buckets_4_24[[#This Row],[Capacity]]-Buckets_4_24[[#This Row],[After T]]</f>
        <v>0</v>
      </c>
      <c r="HQ34" s="29">
        <f>MAX(-Buckets_4_24[[#This Row],[Cap Diff]], 0)</f>
        <v>0</v>
      </c>
      <c r="HR34" s="29">
        <f>Buckets_4_24[[#This Row],[After T]]-Buckets_4_24[[#This Row],[Slush]]</f>
        <v>0</v>
      </c>
      <c r="HS34" s="29">
        <f>Buckets_4_24[[#This Row],[Capacity]]-Buckets_4_24[[#This Row],[Before Fill]]</f>
        <v>0</v>
      </c>
      <c r="HT34" t="b">
        <f>OR(HJ34, Buckets_4_24[[#This Row],[After T]]&lt;0)</f>
        <v>0</v>
      </c>
      <c r="HU34" s="29">
        <f>IF(Buckets_4_24[[#This Row],[Is Crit]], Buckets_4_24[[#This Row],[S Cap Diff]], 0)</f>
        <v>0</v>
      </c>
      <c r="HV34" s="29">
        <f>Buckets_4_24[[#This Row],[Before Fill]]+Buckets_4_24[[#This Row],[Crit To Fill]]</f>
        <v>0</v>
      </c>
      <c r="HW34" s="29">
        <f>IF(NOT(Buckets_4_24[[#This Row],[Is Crit]]), Buckets_4_24[[#This Row],[S Cap Diff]], 0)</f>
        <v>0</v>
      </c>
      <c r="HX34" s="31">
        <f>HV$41/Buckets_4_24[[#Totals],[NC To Fill]]*Buckets_4_24[[#This Row],[NC To Fill]]</f>
        <v>0</v>
      </c>
      <c r="HY34" s="31">
        <f>Buckets_4_24[[#This Row],[Crit Filled]]+Buckets_4_24[[#This Row],[Scaled]]</f>
        <v>0</v>
      </c>
      <c r="HZ34" s="31">
        <f>Buckets_4_24[[#This Row],[NC Filled]]</f>
        <v>0</v>
      </c>
      <c r="IA34" s="31">
        <f>Buckets_4_24[[#This Row],[Capacity]]-Buckets_4_24[[#This Row],[Final]]</f>
        <v>0</v>
      </c>
      <c r="IB34" s="33">
        <f>IF(Buckets_4_24[[#This Row],[Capacity]]=0, 1, Buckets_4_24[[#This Row],[Final]]/Buckets_4_24[[#This Row],[Capacity]])</f>
        <v>1</v>
      </c>
      <c r="ID34" s="40">
        <f>Buckets_4_24[[#This Row],[Final]]</f>
        <v>0</v>
      </c>
      <c r="IE34" s="40">
        <f>Buckets_4_24[[#This Row],[Capacity]]</f>
        <v>0</v>
      </c>
      <c r="IF34" s="41" t="b">
        <f t="shared" si="46"/>
        <v>0</v>
      </c>
      <c r="IG34" s="42"/>
      <c r="IH34" s="42"/>
      <c r="II34" s="42"/>
      <c r="IJ34" s="42"/>
      <c r="IK34" s="43"/>
      <c r="IL34" s="40">
        <f t="shared" si="47"/>
        <v>0</v>
      </c>
      <c r="IM34" s="40">
        <f t="shared" si="48"/>
        <v>0</v>
      </c>
      <c r="IN34" s="41" t="b">
        <f t="shared" si="10"/>
        <v>0</v>
      </c>
    </row>
    <row r="35" spans="1:248" ht="15.75" thickBot="1" x14ac:dyDescent="0.3">
      <c r="A35" s="48"/>
      <c r="B35" t="s">
        <v>308</v>
      </c>
      <c r="C35" t="s">
        <v>308</v>
      </c>
      <c r="D35" t="s">
        <v>308</v>
      </c>
      <c r="F35" s="30">
        <v>0</v>
      </c>
      <c r="G35" s="38">
        <v>0</v>
      </c>
      <c r="H35" t="b">
        <v>0</v>
      </c>
      <c r="J35" s="29">
        <f t="shared" si="11"/>
        <v>0</v>
      </c>
      <c r="K35" s="29">
        <f>GetTransactionTotal(AggregateTable2023[], AggregateTable2023[Start], J$1, AggregateTable2023[#Headers], $D35)</f>
        <v>0</v>
      </c>
      <c r="L35" s="29">
        <f>Buckets_9_23[[#This Row],[Start]]+Buckets_9_23[[#This Row],[Transactions]]</f>
        <v>0</v>
      </c>
      <c r="M35" s="29">
        <f t="shared" si="12"/>
        <v>0</v>
      </c>
      <c r="N35" s="29">
        <f>Buckets_9_23[[#This Row],[Capacity]]-Buckets_9_23[[#This Row],[After T]]</f>
        <v>0</v>
      </c>
      <c r="O35" s="29">
        <f>IF(Buckets_9_23[[#This Row],[After T]]&lt;0, Buckets_9_23[[#This Row],[After T]], IF(Buckets_9_23[[#This Row],[Cap Diff]]&lt;0, -Buckets_9_23[[#This Row],[Cap Diff]], 0))</f>
        <v>0</v>
      </c>
      <c r="P35" s="29">
        <f>Buckets_9_23[[#This Row],[After T]]-Buckets_9_23[[#This Row],[Slush]]</f>
        <v>0</v>
      </c>
      <c r="Q35" s="29">
        <f>Buckets_9_23[[#This Row],[Capacity]]-Buckets_9_23[[#This Row],[Before Fill]]</f>
        <v>0</v>
      </c>
      <c r="R35" t="b">
        <f t="shared" si="0"/>
        <v>0</v>
      </c>
      <c r="S35" s="29">
        <f>IF(Buckets_9_23[[#This Row],[Is Crit]], Buckets_9_23[[#This Row],[S Cap Diff]], 0)</f>
        <v>0</v>
      </c>
      <c r="T35" s="29">
        <f>Buckets_9_23[[#This Row],[Before Fill]]+Buckets_9_23[[#This Row],[Crit To Fill]]</f>
        <v>0</v>
      </c>
      <c r="U35" s="29">
        <f>IF(NOT(Buckets_9_23[[#This Row],[Is Crit]]), Buckets_9_23[[#This Row],[S Cap Diff]], 0)</f>
        <v>0</v>
      </c>
      <c r="V35" s="31">
        <f>T$41/Buckets_9_23[[#Totals],[NC To Fill]]*Buckets_9_23[[#This Row],[NC To Fill]]</f>
        <v>0</v>
      </c>
      <c r="W35" s="31">
        <f>Buckets_9_23[[#This Row],[Crit Filled]]+Buckets_9_23[[#This Row],[Scaled]]</f>
        <v>0</v>
      </c>
      <c r="X35" s="31">
        <f>Buckets_9_23[[#This Row],[NC Filled]]</f>
        <v>0</v>
      </c>
      <c r="Y35" s="31">
        <f>Buckets_9_23[[#This Row],[Capacity]]-Buckets_9_23[[#This Row],[Final]]</f>
        <v>0</v>
      </c>
      <c r="Z35" s="33">
        <f>IF(Buckets_9_23[[#This Row],[Capacity]]=0, 1, Buckets_9_23[[#This Row],[Final]]/Buckets_9_23[[#This Row],[Capacity]])</f>
        <v>1</v>
      </c>
      <c r="AB35" s="31">
        <f>Buckets_9_23[[#This Row],[Final]]</f>
        <v>0</v>
      </c>
      <c r="AC35" s="31">
        <f>Buckets_9_23[[#This Row],[Capacity]]</f>
        <v>0</v>
      </c>
      <c r="AD35" t="b">
        <f t="shared" si="13"/>
        <v>0</v>
      </c>
      <c r="AE35" s="43" t="e">
        <f>NA()</f>
        <v>#N/A</v>
      </c>
      <c r="AF35" s="42"/>
      <c r="AG35" s="43" t="e">
        <f>NA()</f>
        <v>#N/A</v>
      </c>
      <c r="AH35" s="42"/>
      <c r="AI35" s="43"/>
      <c r="AJ35" s="31">
        <f t="shared" si="14"/>
        <v>0</v>
      </c>
      <c r="AK35" s="31">
        <f t="shared" si="15"/>
        <v>0</v>
      </c>
      <c r="AL35" t="b">
        <f t="shared" si="16"/>
        <v>0</v>
      </c>
      <c r="AN35" s="29">
        <f t="shared" si="17"/>
        <v>0</v>
      </c>
      <c r="AO35" s="29">
        <f>GetTransactionTotal(AggregateTable2023[], AggregateTable2023[Start], AN$1, AggregateTable2023[#Headers], $D35)</f>
        <v>0</v>
      </c>
      <c r="AP35" s="29">
        <f>Buckets_10_23[[#This Row],[Start]]+Buckets_10_23[[#This Row],[Transactions]]</f>
        <v>0</v>
      </c>
      <c r="AQ35" s="29">
        <f t="shared" si="18"/>
        <v>0</v>
      </c>
      <c r="AR35" s="29">
        <f>Buckets_10_23[[#This Row],[Capacity]]-Buckets_10_23[[#This Row],[After T]]</f>
        <v>0</v>
      </c>
      <c r="AS35" s="29">
        <f>MAX(-Buckets_10_23[[#This Row],[Cap Diff]], 0)</f>
        <v>0</v>
      </c>
      <c r="AT35" s="29">
        <f>Buckets_10_23[[#This Row],[After T]]-Buckets_10_23[[#This Row],[Slush]]</f>
        <v>0</v>
      </c>
      <c r="AU35" s="29">
        <f>Buckets_10_23[[#This Row],[Capacity]]-Buckets_10_23[[#This Row],[Before Fill]]</f>
        <v>0</v>
      </c>
      <c r="AV35" t="b">
        <f>OR(AL35, Buckets_10_23[[#This Row],[After T]]&lt;0)</f>
        <v>0</v>
      </c>
      <c r="AW35" s="29">
        <f>IF(Buckets_10_23[[#This Row],[Is Crit]], Buckets_10_23[[#This Row],[S Cap Diff]], 0)</f>
        <v>0</v>
      </c>
      <c r="AX35" s="29">
        <f>Buckets_10_23[[#This Row],[Before Fill]]+Buckets_10_23[[#This Row],[Crit To Fill]]</f>
        <v>0</v>
      </c>
      <c r="AY35" s="29">
        <f>IF(NOT(Buckets_10_23[[#This Row],[Is Crit]]), Buckets_10_23[[#This Row],[S Cap Diff]], 0)</f>
        <v>0</v>
      </c>
      <c r="AZ35" s="31">
        <f>AX$41/Buckets_10_23[[#Totals],[NC To Fill]]*Buckets_10_23[[#This Row],[NC To Fill]]</f>
        <v>0</v>
      </c>
      <c r="BA35" s="31">
        <f>Buckets_10_23[[#This Row],[Crit Filled]]+Buckets_10_23[[#This Row],[Scaled]]</f>
        <v>0</v>
      </c>
      <c r="BB35" s="31">
        <f>Buckets_10_23[[#This Row],[NC Filled]]</f>
        <v>0</v>
      </c>
      <c r="BC35" s="31">
        <f>Buckets_10_23[[#This Row],[Capacity]]-Buckets_10_23[[#This Row],[Final]]</f>
        <v>0</v>
      </c>
      <c r="BD35" s="33">
        <f>IF(Buckets_10_23[[#This Row],[Capacity]]=0, 1, Buckets_10_23[[#This Row],[Final]]/Buckets_10_23[[#This Row],[Capacity]])</f>
        <v>1</v>
      </c>
      <c r="BF35" s="31">
        <f>Buckets_10_23[[#This Row],[Final]]</f>
        <v>0</v>
      </c>
      <c r="BG35" s="31">
        <f>Buckets_10_23[[#This Row],[Capacity]]</f>
        <v>0</v>
      </c>
      <c r="BH35" t="b">
        <f t="shared" si="19"/>
        <v>0</v>
      </c>
      <c r="BI35" s="43" t="e">
        <f>NA()</f>
        <v>#N/A</v>
      </c>
      <c r="BJ35" s="42"/>
      <c r="BK35" s="43" t="e">
        <f>NA()</f>
        <v>#N/A</v>
      </c>
      <c r="BL35" s="42"/>
      <c r="BM35" s="43"/>
      <c r="BN35" s="31">
        <f t="shared" si="20"/>
        <v>0</v>
      </c>
      <c r="BO35" s="31">
        <f t="shared" si="1"/>
        <v>0</v>
      </c>
      <c r="BP35" t="b">
        <f t="shared" si="2"/>
        <v>0</v>
      </c>
      <c r="BR35" s="29">
        <f t="shared" si="21"/>
        <v>0</v>
      </c>
      <c r="BS35" s="29">
        <f>GetTransactionTotal(AggregateTable2023[], AggregateTable2023[Start], BR$1, AggregateTable2023[#Headers], $D35)</f>
        <v>0</v>
      </c>
      <c r="BT35" s="29">
        <f>Buckets_11_23[[#This Row],[Start]]+Buckets_11_23[[#This Row],[Transactions]]</f>
        <v>0</v>
      </c>
      <c r="BU35" s="29">
        <f t="shared" si="22"/>
        <v>0</v>
      </c>
      <c r="BV35" s="29">
        <f>Buckets_11_23[[#This Row],[Capacity]]-Buckets_11_23[[#This Row],[After T]]</f>
        <v>0</v>
      </c>
      <c r="BW35" s="29">
        <f>MAX(-Buckets_11_23[[#This Row],[Cap Diff]], 0)</f>
        <v>0</v>
      </c>
      <c r="BX35" s="29">
        <f>Buckets_11_23[[#This Row],[After T]]-Buckets_11_23[[#This Row],[Slush]]</f>
        <v>0</v>
      </c>
      <c r="BY35" s="29">
        <f>Buckets_11_23[[#This Row],[Capacity]]-Buckets_11_23[[#This Row],[Before Fill]]</f>
        <v>0</v>
      </c>
      <c r="BZ35" t="b">
        <f>OR(BP35, Buckets_11_23[[#This Row],[After T]]&lt;0)</f>
        <v>0</v>
      </c>
      <c r="CA35" s="29">
        <f>IF(Buckets_11_23[[#This Row],[Is Crit]], Buckets_11_23[[#This Row],[S Cap Diff]], 0)</f>
        <v>0</v>
      </c>
      <c r="CB35" s="29">
        <f>Buckets_11_23[[#This Row],[Before Fill]]+Buckets_11_23[[#This Row],[Crit To Fill]]</f>
        <v>0</v>
      </c>
      <c r="CC35" s="29">
        <f>IF(NOT(Buckets_11_23[[#This Row],[Is Crit]]), Buckets_11_23[[#This Row],[S Cap Diff]], 0)</f>
        <v>0</v>
      </c>
      <c r="CD35" s="31">
        <f>CB$41/Buckets_11_23[[#Totals],[NC To Fill]]*Buckets_11_23[[#This Row],[NC To Fill]]</f>
        <v>0</v>
      </c>
      <c r="CE35" s="31">
        <f>Buckets_11_23[[#This Row],[Crit Filled]]+Buckets_11_23[[#This Row],[Scaled]]</f>
        <v>0</v>
      </c>
      <c r="CF35" s="31">
        <f>Buckets_11_23[[#This Row],[NC Filled]]</f>
        <v>0</v>
      </c>
      <c r="CG35" s="31">
        <f>Buckets_11_23[[#This Row],[Capacity]]-Buckets_11_23[[#This Row],[Final]]</f>
        <v>0</v>
      </c>
      <c r="CH35" s="33">
        <f>IF(Buckets_11_23[[#This Row],[Capacity]]=0, 1, Buckets_11_23[[#This Row],[Final]]/Buckets_11_23[[#This Row],[Capacity]])</f>
        <v>1</v>
      </c>
      <c r="CJ35" s="40">
        <f>Buckets_11_23[[#This Row],[Final]]</f>
        <v>0</v>
      </c>
      <c r="CK35" s="40">
        <f>Buckets_11_23[[#This Row],[Capacity]]</f>
        <v>0</v>
      </c>
      <c r="CL35" s="41" t="b">
        <f t="shared" si="23"/>
        <v>0</v>
      </c>
      <c r="CM35" s="42"/>
      <c r="CN35" s="42"/>
      <c r="CO35" s="42" t="e">
        <f>NA()</f>
        <v>#N/A</v>
      </c>
      <c r="CP35" s="42"/>
      <c r="CQ35" s="43"/>
      <c r="CR35" s="40">
        <f t="shared" si="24"/>
        <v>0</v>
      </c>
      <c r="CS35" s="40">
        <f t="shared" si="3"/>
        <v>0</v>
      </c>
      <c r="CT35" s="41" t="b">
        <f t="shared" si="4"/>
        <v>0</v>
      </c>
      <c r="CV35" s="29">
        <f t="shared" si="25"/>
        <v>0</v>
      </c>
      <c r="CW35" s="29">
        <f>GetTransactionTotal(AggregateTable2023[], AggregateTable2023[Start], CV$1, AggregateTable2023[#Headers], $D35)</f>
        <v>0</v>
      </c>
      <c r="CX35" s="29">
        <f>Buckets_12_23[[#This Row],[Start]]+Buckets_12_23[[#This Row],[Transactions]]</f>
        <v>0</v>
      </c>
      <c r="CY35" s="29">
        <f t="shared" si="26"/>
        <v>0</v>
      </c>
      <c r="CZ35" s="29">
        <f>Buckets_12_23[[#This Row],[Capacity]]-Buckets_12_23[[#This Row],[After T]]</f>
        <v>0</v>
      </c>
      <c r="DA35" s="29">
        <f>MAX(-Buckets_12_23[[#This Row],[Cap Diff]], 0)</f>
        <v>0</v>
      </c>
      <c r="DB35" s="29">
        <f>Buckets_12_23[[#This Row],[After T]]-Buckets_12_23[[#This Row],[Slush]]</f>
        <v>0</v>
      </c>
      <c r="DC35" s="29">
        <f>Buckets_12_23[[#This Row],[Capacity]]-Buckets_12_23[[#This Row],[Before Fill]]</f>
        <v>0</v>
      </c>
      <c r="DD35" t="b">
        <f>OR(CT35, Buckets_12_23[[#This Row],[After T]]&lt;0)</f>
        <v>0</v>
      </c>
      <c r="DE35" s="29">
        <f>IF(Buckets_12_23[[#This Row],[Is Crit]], Buckets_12_23[[#This Row],[S Cap Diff]], 0)</f>
        <v>0</v>
      </c>
      <c r="DF35" s="29">
        <f>Buckets_12_23[[#This Row],[Before Fill]]+Buckets_12_23[[#This Row],[Crit To Fill]]</f>
        <v>0</v>
      </c>
      <c r="DG35" s="29">
        <f>IF(NOT(Buckets_12_23[[#This Row],[Is Crit]]), Buckets_12_23[[#This Row],[S Cap Diff]], 0)</f>
        <v>0</v>
      </c>
      <c r="DH35" s="31">
        <f>DF$41/Buckets_12_23[[#Totals],[NC To Fill]]*Buckets_12_23[[#This Row],[NC To Fill]]</f>
        <v>0</v>
      </c>
      <c r="DI35" s="31">
        <f>Buckets_12_23[[#This Row],[Crit Filled]]+Buckets_12_23[[#This Row],[Scaled]]</f>
        <v>0</v>
      </c>
      <c r="DJ35" s="31">
        <f>Buckets_12_23[[#This Row],[NC Filled]]</f>
        <v>0</v>
      </c>
      <c r="DK35" s="31">
        <f>Buckets_12_23[[#This Row],[Capacity]]-Buckets_12_23[[#This Row],[Final]]</f>
        <v>0</v>
      </c>
      <c r="DL35" s="33">
        <f>IF(Buckets_12_23[[#This Row],[Capacity]]=0, 1, Buckets_12_23[[#This Row],[Final]]/Buckets_12_23[[#This Row],[Capacity]])</f>
        <v>1</v>
      </c>
      <c r="DN35" s="40">
        <f>Buckets_12_23[[#This Row],[Final]]</f>
        <v>0</v>
      </c>
      <c r="DO35" s="40">
        <f>Buckets_12_23[[#This Row],[Capacity]]</f>
        <v>0</v>
      </c>
      <c r="DP35" s="41" t="b">
        <f t="shared" si="27"/>
        <v>0</v>
      </c>
      <c r="DQ35" s="42"/>
      <c r="DR35" s="42"/>
      <c r="DS35" s="42" t="e">
        <f>NA()</f>
        <v>#N/A</v>
      </c>
      <c r="DT35" s="42"/>
      <c r="DU35" s="43"/>
      <c r="DV35" s="40">
        <f t="shared" si="28"/>
        <v>0</v>
      </c>
      <c r="DW35" s="40">
        <f t="shared" si="5"/>
        <v>0</v>
      </c>
      <c r="DX35" s="41" t="b">
        <f t="shared" si="6"/>
        <v>0</v>
      </c>
      <c r="DZ35" s="29">
        <f t="shared" si="29"/>
        <v>0</v>
      </c>
      <c r="EA35" s="29">
        <f>GetTransactionTotal(AggregateTable2024[], AggregateTable2024[Start], DZ$1, AggregateTable2024[#Headers], $D35)</f>
        <v>0</v>
      </c>
      <c r="EB35" s="29">
        <f>Buckets_1_24[[#This Row],[Start]]+Buckets_1_24[[#This Row],[Transactions]]</f>
        <v>0</v>
      </c>
      <c r="EC35" s="29">
        <f t="shared" si="30"/>
        <v>0</v>
      </c>
      <c r="ED35" s="29">
        <f>Buckets_1_24[[#This Row],[Capacity]]-Buckets_1_24[[#This Row],[After T]]</f>
        <v>0</v>
      </c>
      <c r="EE35" s="29">
        <f>MAX(-Buckets_1_24[[#This Row],[Cap Diff]], 0)</f>
        <v>0</v>
      </c>
      <c r="EF35" s="29">
        <f>Buckets_1_24[[#This Row],[After T]]-Buckets_1_24[[#This Row],[Slush]]</f>
        <v>0</v>
      </c>
      <c r="EG35" s="29">
        <f>Buckets_1_24[[#This Row],[Capacity]]-Buckets_1_24[[#This Row],[Before Fill]]</f>
        <v>0</v>
      </c>
      <c r="EH35" t="b">
        <f>OR(DX35, Buckets_1_24[[#This Row],[After T]]&lt;0)</f>
        <v>0</v>
      </c>
      <c r="EI35" s="29">
        <f>IF(Buckets_1_24[[#This Row],[Is Crit]], Buckets_1_24[[#This Row],[S Cap Diff]], 0)</f>
        <v>0</v>
      </c>
      <c r="EJ35" s="29">
        <f>Buckets_1_24[[#This Row],[Before Fill]]+Buckets_1_24[[#This Row],[Crit To Fill]]</f>
        <v>0</v>
      </c>
      <c r="EK35" s="29">
        <f>IF(NOT(Buckets_1_24[[#This Row],[Is Crit]]), Buckets_1_24[[#This Row],[S Cap Diff]], 0)</f>
        <v>0</v>
      </c>
      <c r="EL35" s="31">
        <f>EJ$41/Buckets_1_24[[#Totals],[NC To Fill]]*Buckets_1_24[[#This Row],[NC To Fill]]</f>
        <v>0</v>
      </c>
      <c r="EM35" s="31">
        <f>Buckets_1_24[[#This Row],[Crit Filled]]+Buckets_1_24[[#This Row],[Scaled]]</f>
        <v>0</v>
      </c>
      <c r="EN35" s="31">
        <f>Buckets_1_24[[#This Row],[NC Filled]]</f>
        <v>0</v>
      </c>
      <c r="EO35" s="31">
        <f>Buckets_1_24[[#This Row],[Capacity]]-Buckets_1_24[[#This Row],[Final]]</f>
        <v>0</v>
      </c>
      <c r="EP35" s="33">
        <f>IF(Buckets_1_24[[#This Row],[Capacity]]=0, 1, Buckets_1_24[[#This Row],[Final]]/Buckets_1_24[[#This Row],[Capacity]])</f>
        <v>1</v>
      </c>
      <c r="ER35" s="40">
        <f>Buckets_1_24[[#This Row],[Final]]</f>
        <v>0</v>
      </c>
      <c r="ES35" s="40">
        <f>Buckets_1_24[[#This Row],[Capacity]]</f>
        <v>0</v>
      </c>
      <c r="ET35" s="41" t="b">
        <f t="shared" si="31"/>
        <v>0</v>
      </c>
      <c r="EU35" s="42"/>
      <c r="EV35" s="42"/>
      <c r="EW35" s="42"/>
      <c r="EX35" s="42"/>
      <c r="EY35" s="43"/>
      <c r="EZ35" s="40">
        <f t="shared" si="32"/>
        <v>0</v>
      </c>
      <c r="FA35" s="40">
        <f t="shared" si="33"/>
        <v>0</v>
      </c>
      <c r="FB35" s="41" t="b">
        <f t="shared" si="7"/>
        <v>0</v>
      </c>
      <c r="FD35" s="29">
        <f t="shared" si="34"/>
        <v>0</v>
      </c>
      <c r="FE35" s="29">
        <f>GetTransactionTotal(AggregateTable2024[], AggregateTable2024[Start], FD$1, AggregateTable2024[#Headers], $D35)</f>
        <v>0</v>
      </c>
      <c r="FF35" s="29">
        <f>Buckets_2_24[[#This Row],[Start]]+Buckets_2_24[[#This Row],[Transactions]]</f>
        <v>0</v>
      </c>
      <c r="FG35" s="29">
        <f t="shared" si="35"/>
        <v>0</v>
      </c>
      <c r="FH35" s="29">
        <f>Buckets_2_24[[#This Row],[Capacity]]-Buckets_2_24[[#This Row],[After T]]</f>
        <v>0</v>
      </c>
      <c r="FI35" s="29">
        <f>MAX(-Buckets_2_24[[#This Row],[Cap Diff]], 0)</f>
        <v>0</v>
      </c>
      <c r="FJ35" s="29">
        <f>Buckets_2_24[[#This Row],[After T]]-Buckets_2_24[[#This Row],[Slush]]</f>
        <v>0</v>
      </c>
      <c r="FK35" s="29">
        <f>Buckets_2_24[[#This Row],[Capacity]]-Buckets_2_24[[#This Row],[Before Fill]]</f>
        <v>0</v>
      </c>
      <c r="FL35" t="b">
        <f>OR(FB35, Buckets_2_24[[#This Row],[After T]]&lt;0)</f>
        <v>0</v>
      </c>
      <c r="FM35" s="29">
        <f>IF(Buckets_2_24[[#This Row],[Is Crit]], Buckets_2_24[[#This Row],[S Cap Diff]], 0)</f>
        <v>0</v>
      </c>
      <c r="FN35" s="29">
        <f>Buckets_2_24[[#This Row],[Before Fill]]+Buckets_2_24[[#This Row],[Crit To Fill]]</f>
        <v>0</v>
      </c>
      <c r="FO35" s="29">
        <f>IF(NOT(Buckets_2_24[[#This Row],[Is Crit]]), Buckets_2_24[[#This Row],[S Cap Diff]], 0)</f>
        <v>0</v>
      </c>
      <c r="FP35" s="31">
        <f>FN$41/Buckets_2_24[[#Totals],[NC To Fill]]*Buckets_2_24[[#This Row],[NC To Fill]]</f>
        <v>0</v>
      </c>
      <c r="FQ35" s="31">
        <f>Buckets_2_24[[#This Row],[Crit Filled]]+Buckets_2_24[[#This Row],[Scaled]]</f>
        <v>0</v>
      </c>
      <c r="FR35" s="31">
        <f>Buckets_2_24[[#This Row],[NC Filled]]</f>
        <v>0</v>
      </c>
      <c r="FS35" s="31">
        <f>Buckets_2_24[[#This Row],[Capacity]]-Buckets_2_24[[#This Row],[Final]]</f>
        <v>0</v>
      </c>
      <c r="FT35" s="33">
        <f>IF(Buckets_2_24[[#This Row],[Capacity]]=0, 1, Buckets_2_24[[#This Row],[Final]]/Buckets_2_24[[#This Row],[Capacity]])</f>
        <v>1</v>
      </c>
      <c r="FV35" s="40">
        <f>Buckets_2_24[[#This Row],[Final]]</f>
        <v>0</v>
      </c>
      <c r="FW35" s="40">
        <f>Buckets_2_24[[#This Row],[Capacity]]</f>
        <v>0</v>
      </c>
      <c r="FX35" s="41" t="b">
        <f t="shared" si="36"/>
        <v>0</v>
      </c>
      <c r="FY35" s="42"/>
      <c r="FZ35" s="42"/>
      <c r="GA35" s="42"/>
      <c r="GB35" s="42"/>
      <c r="GC35" s="43"/>
      <c r="GD35" s="40">
        <f t="shared" si="37"/>
        <v>0</v>
      </c>
      <c r="GE35" s="40">
        <f t="shared" si="38"/>
        <v>0</v>
      </c>
      <c r="GF35" s="41" t="b">
        <f t="shared" si="8"/>
        <v>0</v>
      </c>
      <c r="GH35" s="29">
        <f t="shared" si="39"/>
        <v>0</v>
      </c>
      <c r="GI35" s="29">
        <f>GetTransactionTotal(AggregateTable2024[], AggregateTable2024[Start], GH$1, AggregateTable2024[#Headers], $D35)</f>
        <v>0</v>
      </c>
      <c r="GJ35" s="29">
        <f>Buckets_3_24[[#This Row],[Start]]+Buckets_3_24[[#This Row],[Transactions]]</f>
        <v>0</v>
      </c>
      <c r="GK35" s="29">
        <f t="shared" si="40"/>
        <v>0</v>
      </c>
      <c r="GL35" s="29">
        <f>Buckets_3_24[[#This Row],[Capacity]]-Buckets_3_24[[#This Row],[After T]]</f>
        <v>0</v>
      </c>
      <c r="GM35" s="29">
        <f>MAX(-Buckets_3_24[[#This Row],[Cap Diff]], 0)</f>
        <v>0</v>
      </c>
      <c r="GN35" s="29">
        <f>Buckets_3_24[[#This Row],[After T]]-Buckets_3_24[[#This Row],[Slush]]</f>
        <v>0</v>
      </c>
      <c r="GO35" s="29">
        <f>Buckets_3_24[[#This Row],[Capacity]]-Buckets_3_24[[#This Row],[Before Fill]]</f>
        <v>0</v>
      </c>
      <c r="GP35" t="b">
        <f>OR(GF35, Buckets_3_24[[#This Row],[After T]]&lt;0)</f>
        <v>0</v>
      </c>
      <c r="GQ35" s="29">
        <f>IF(Buckets_3_24[[#This Row],[Is Crit]], Buckets_3_24[[#This Row],[S Cap Diff]], 0)</f>
        <v>0</v>
      </c>
      <c r="GR35" s="29">
        <f>Buckets_3_24[[#This Row],[Before Fill]]+Buckets_3_24[[#This Row],[Crit To Fill]]</f>
        <v>0</v>
      </c>
      <c r="GS35" s="29">
        <f>IF(NOT(Buckets_3_24[[#This Row],[Is Crit]]), Buckets_3_24[[#This Row],[S Cap Diff]], 0)</f>
        <v>0</v>
      </c>
      <c r="GT35" s="31">
        <f>GR$41/Buckets_3_24[[#Totals],[NC To Fill]]*Buckets_3_24[[#This Row],[NC To Fill]]</f>
        <v>0</v>
      </c>
      <c r="GU35" s="31">
        <f>Buckets_3_24[[#This Row],[Crit Filled]]+Buckets_3_24[[#This Row],[Scaled]]</f>
        <v>0</v>
      </c>
      <c r="GV35" s="31">
        <f>Buckets_3_24[[#This Row],[NC Filled]]</f>
        <v>0</v>
      </c>
      <c r="GW35" s="31">
        <f>Buckets_3_24[[#This Row],[Capacity]]-Buckets_3_24[[#This Row],[Final]]</f>
        <v>0</v>
      </c>
      <c r="GX35" s="33">
        <f>IF(Buckets_3_24[[#This Row],[Capacity]]=0, 1, Buckets_3_24[[#This Row],[Final]]/Buckets_3_24[[#This Row],[Capacity]])</f>
        <v>1</v>
      </c>
      <c r="GZ35" s="40">
        <f>Buckets_3_24[[#This Row],[Final]]</f>
        <v>0</v>
      </c>
      <c r="HA35" s="40">
        <f>Buckets_3_24[[#This Row],[Capacity]]</f>
        <v>0</v>
      </c>
      <c r="HB35" s="41" t="b">
        <f t="shared" si="41"/>
        <v>0</v>
      </c>
      <c r="HC35" s="42"/>
      <c r="HD35" s="42"/>
      <c r="HE35" s="42"/>
      <c r="HF35" s="42"/>
      <c r="HG35" s="43"/>
      <c r="HH35" s="40">
        <f t="shared" si="42"/>
        <v>0</v>
      </c>
      <c r="HI35" s="40">
        <f t="shared" si="43"/>
        <v>0</v>
      </c>
      <c r="HJ35" s="41" t="b">
        <f t="shared" si="9"/>
        <v>0</v>
      </c>
      <c r="HL35" s="29">
        <f t="shared" si="44"/>
        <v>0</v>
      </c>
      <c r="HM35" s="29">
        <f>GetTransactionTotal(AggregateTable2024[], AggregateTable2024[Start], HL$1, AggregateTable2024[#Headers], $D35)</f>
        <v>0</v>
      </c>
      <c r="HN35" s="29">
        <f>Buckets_4_24[[#This Row],[Start]]+Buckets_4_24[[#This Row],[Transactions]]</f>
        <v>0</v>
      </c>
      <c r="HO35" s="29">
        <f t="shared" si="45"/>
        <v>0</v>
      </c>
      <c r="HP35" s="29">
        <f>Buckets_4_24[[#This Row],[Capacity]]-Buckets_4_24[[#This Row],[After T]]</f>
        <v>0</v>
      </c>
      <c r="HQ35" s="29">
        <f>MAX(-Buckets_4_24[[#This Row],[Cap Diff]], 0)</f>
        <v>0</v>
      </c>
      <c r="HR35" s="29">
        <f>Buckets_4_24[[#This Row],[After T]]-Buckets_4_24[[#This Row],[Slush]]</f>
        <v>0</v>
      </c>
      <c r="HS35" s="29">
        <f>Buckets_4_24[[#This Row],[Capacity]]-Buckets_4_24[[#This Row],[Before Fill]]</f>
        <v>0</v>
      </c>
      <c r="HT35" t="b">
        <f>OR(HJ35, Buckets_4_24[[#This Row],[After T]]&lt;0)</f>
        <v>0</v>
      </c>
      <c r="HU35" s="29">
        <f>IF(Buckets_4_24[[#This Row],[Is Crit]], Buckets_4_24[[#This Row],[S Cap Diff]], 0)</f>
        <v>0</v>
      </c>
      <c r="HV35" s="29">
        <f>Buckets_4_24[[#This Row],[Before Fill]]+Buckets_4_24[[#This Row],[Crit To Fill]]</f>
        <v>0</v>
      </c>
      <c r="HW35" s="29">
        <f>IF(NOT(Buckets_4_24[[#This Row],[Is Crit]]), Buckets_4_24[[#This Row],[S Cap Diff]], 0)</f>
        <v>0</v>
      </c>
      <c r="HX35" s="31">
        <f>HV$41/Buckets_4_24[[#Totals],[NC To Fill]]*Buckets_4_24[[#This Row],[NC To Fill]]</f>
        <v>0</v>
      </c>
      <c r="HY35" s="31">
        <f>Buckets_4_24[[#This Row],[Crit Filled]]+Buckets_4_24[[#This Row],[Scaled]]</f>
        <v>0</v>
      </c>
      <c r="HZ35" s="31">
        <f>Buckets_4_24[[#This Row],[NC Filled]]</f>
        <v>0</v>
      </c>
      <c r="IA35" s="31">
        <f>Buckets_4_24[[#This Row],[Capacity]]-Buckets_4_24[[#This Row],[Final]]</f>
        <v>0</v>
      </c>
      <c r="IB35" s="33">
        <f>IF(Buckets_4_24[[#This Row],[Capacity]]=0, 1, Buckets_4_24[[#This Row],[Final]]/Buckets_4_24[[#This Row],[Capacity]])</f>
        <v>1</v>
      </c>
      <c r="ID35" s="40">
        <f>Buckets_4_24[[#This Row],[Final]]</f>
        <v>0</v>
      </c>
      <c r="IE35" s="40">
        <f>Buckets_4_24[[#This Row],[Capacity]]</f>
        <v>0</v>
      </c>
      <c r="IF35" s="41" t="b">
        <f t="shared" si="46"/>
        <v>0</v>
      </c>
      <c r="IG35" s="42"/>
      <c r="IH35" s="42"/>
      <c r="II35" s="42"/>
      <c r="IJ35" s="42"/>
      <c r="IK35" s="43"/>
      <c r="IL35" s="40">
        <f t="shared" si="47"/>
        <v>0</v>
      </c>
      <c r="IM35" s="40">
        <f t="shared" si="48"/>
        <v>0</v>
      </c>
      <c r="IN35" s="41" t="b">
        <f t="shared" si="10"/>
        <v>0</v>
      </c>
    </row>
    <row r="36" spans="1:248" ht="15.75" thickTop="1" x14ac:dyDescent="0.25">
      <c r="A36" s="24"/>
      <c r="F36" s="37">
        <f>SUM(F4:F35)</f>
        <v>3570</v>
      </c>
      <c r="G36" s="37">
        <f>SUM(G4:G35)</f>
        <v>11890</v>
      </c>
      <c r="J36" s="31">
        <f>SUBTOTAL(9, Buckets_9_23[Start])</f>
        <v>3570</v>
      </c>
      <c r="K36" s="31">
        <f>SUBTOTAL(9, Buckets_9_23[Transactions])</f>
        <v>7336.66</v>
      </c>
      <c r="L36" s="31">
        <f>SUBTOTAL(9, Buckets_9_23[After T])</f>
        <v>10906.66</v>
      </c>
      <c r="M36" s="31">
        <f>SUBTOTAL(9, Buckets_9_23[Capacity])</f>
        <v>11890</v>
      </c>
      <c r="N36" s="31">
        <f>SUBTOTAL(9, Buckets_9_23[Cap Diff])</f>
        <v>983.33999999999946</v>
      </c>
      <c r="O36" s="31">
        <f>SUBTOTAL(9, Buckets_9_23[Slush])</f>
        <v>10271.949999999999</v>
      </c>
      <c r="S36" s="31">
        <f>SUBTOTAL(9, Buckets_9_23[Crit To Fill])</f>
        <v>3523.5600000000004</v>
      </c>
      <c r="U36" s="31">
        <f>SUBTOTAL(9,Buckets_9_23[NC To Fill])</f>
        <v>7731.7300000000005</v>
      </c>
      <c r="V36" s="31">
        <f>SUBTOTAL(9, Buckets_9_23[Scaled])</f>
        <v>6748.3899999999985</v>
      </c>
      <c r="X36" s="31">
        <f>SUBTOTAL(9, Buckets_9_23[Final])</f>
        <v>10906.660000000002</v>
      </c>
      <c r="Y36" s="31">
        <f>SUBTOTAL(9, Buckets_9_23[Unfilled])</f>
        <v>983.34000000000162</v>
      </c>
      <c r="Z36" s="33">
        <f>Buckets_9_23[[#Totals],[Final]]/Buckets_9_23[[#Totals],[Capacity]]</f>
        <v>0.9172968881412954</v>
      </c>
      <c r="AB36" s="39">
        <f>SUM(AB4:AB35)</f>
        <v>10906.660000000002</v>
      </c>
      <c r="AC36" s="39">
        <f>SUM(AC4:AC35)</f>
        <v>11890</v>
      </c>
      <c r="AF36" s="31"/>
      <c r="AG36" s="31"/>
      <c r="AH36" s="31"/>
      <c r="AJ36" s="39">
        <f>SUM(AJ4:AJ35)</f>
        <v>10906.660000000002</v>
      </c>
      <c r="AK36" s="39">
        <f>SUM(AK4:AK35)</f>
        <v>12890</v>
      </c>
      <c r="AN36" s="31">
        <f>SUBTOTAL(9, Buckets_10_23[Start])</f>
        <v>10906.660000000002</v>
      </c>
      <c r="AO36" s="31">
        <f>SUBTOTAL(9, Buckets_10_23[Transactions])</f>
        <v>588.02999999999895</v>
      </c>
      <c r="AP36" s="31">
        <f>SUBTOTAL(9, Buckets_10_23[After T])</f>
        <v>11494.689999999997</v>
      </c>
      <c r="AQ36" s="31">
        <f>SUBTOTAL(9, Buckets_10_23[Capacity])</f>
        <v>12890</v>
      </c>
      <c r="AR36" s="31">
        <f>SUBTOTAL(9, Buckets_10_23[Cap Diff])</f>
        <v>1395.3100000000004</v>
      </c>
      <c r="AS36" s="31">
        <f>SUBTOTAL(9, Buckets_10_23[Slush])</f>
        <v>5604.0599999999995</v>
      </c>
      <c r="AW36" s="31">
        <f>SUBTOTAL(9, Buckets_10_23[Crit To Fill])</f>
        <v>3562.88</v>
      </c>
      <c r="AY36" s="31">
        <f>SUBTOTAL(9,Buckets_10_23[NC To Fill])</f>
        <v>3436.4900000000011</v>
      </c>
      <c r="AZ36" s="31">
        <f>SUBTOTAL(9, Buckets_10_23[Scaled])</f>
        <v>2041.1799999999996</v>
      </c>
      <c r="BB36" s="31">
        <f>SUBTOTAL(9, Buckets_10_23[Final])</f>
        <v>11494.69</v>
      </c>
      <c r="BC36" s="31">
        <f>SUBTOTAL(9, Buckets_10_23[Unfilled])</f>
        <v>1395.310000000002</v>
      </c>
      <c r="BD36" s="33">
        <f>Buckets_10_23[[#Totals],[Final]]/Buckets_10_23[[#Totals],[Capacity]]</f>
        <v>0.89175252133436778</v>
      </c>
      <c r="BF36" s="39">
        <f>SUM(BF4:BF35)</f>
        <v>11494.69</v>
      </c>
      <c r="BG36" s="39">
        <f>SUM(BG4:BG35)</f>
        <v>12890</v>
      </c>
      <c r="BJ36" s="31"/>
      <c r="BK36" s="31"/>
      <c r="BL36" s="31"/>
      <c r="BN36" s="39">
        <f>SUM(BN4:BN35)</f>
        <v>11494.69</v>
      </c>
      <c r="BO36" s="39">
        <f>SUM(BO4:BO35)</f>
        <v>13390</v>
      </c>
      <c r="BR36" s="31">
        <f>SUBTOTAL(9, Buckets_11_23[Start])</f>
        <v>11494.69</v>
      </c>
      <c r="BS36" s="31">
        <f>SUBTOTAL(9, Buckets_11_23[Transactions])</f>
        <v>1849.1100000000008</v>
      </c>
      <c r="BT36" s="31">
        <f>SUBTOTAL(9, Buckets_11_23[After T])</f>
        <v>13343.8</v>
      </c>
      <c r="BU36" s="31">
        <f>SUBTOTAL(9, Buckets_11_23[Capacity])</f>
        <v>13390</v>
      </c>
      <c r="BV36" s="31">
        <f>SUBTOTAL(9, Buckets_11_23[Cap Diff])</f>
        <v>46.200000000001346</v>
      </c>
      <c r="BW36" s="31">
        <f>SUBTOTAL(9, Buckets_11_23[Slush])</f>
        <v>6344.03</v>
      </c>
      <c r="CA36" s="31">
        <f>SUBTOTAL(9, Buckets_11_23[Crit To Fill])</f>
        <v>3041.6659716125487</v>
      </c>
      <c r="CC36" s="31">
        <f>SUBTOTAL(9,Buckets_11_23[NC To Fill])</f>
        <v>3348.5640283874532</v>
      </c>
      <c r="CD36" s="31">
        <f>SUBTOTAL(9, Buckets_11_23[Scaled])</f>
        <v>3302.3640283874511</v>
      </c>
      <c r="CF36" s="31">
        <f>SUBTOTAL(9, Buckets_11_23[Final])</f>
        <v>13343.8</v>
      </c>
      <c r="CG36" s="31">
        <f>SUBTOTAL(9, Buckets_11_23[Unfilled])</f>
        <v>46.200000000002234</v>
      </c>
      <c r="CH36" s="33">
        <f>Buckets_11_23[[#Totals],[Final]]/Buckets_11_23[[#Totals],[Capacity]]</f>
        <v>0.99654966392830469</v>
      </c>
      <c r="CJ36" s="39">
        <f>SUM(CJ4:CJ35)</f>
        <v>13343.8</v>
      </c>
      <c r="CK36" s="31">
        <f>SUM(CK4:CK35)</f>
        <v>13390</v>
      </c>
      <c r="CM36" s="31"/>
      <c r="CN36" s="31"/>
      <c r="CO36" s="31"/>
      <c r="CP36" s="31"/>
      <c r="CR36" s="39">
        <f>SUM(CR4:CR35)</f>
        <v>13343.8</v>
      </c>
      <c r="CS36" s="31">
        <f>SUM(CS4:CS35)</f>
        <v>15590</v>
      </c>
      <c r="CV36" s="31">
        <f>SUBTOTAL(9, Buckets_12_23[Start])</f>
        <v>13343.8</v>
      </c>
      <c r="CW36" s="31">
        <f>SUBTOTAL(9, Buckets_12_23[Transactions])</f>
        <v>-47.700000000000657</v>
      </c>
      <c r="CX36" s="31">
        <f>SUBTOTAL(9, Buckets_12_23[After T])</f>
        <v>13296.099999999999</v>
      </c>
      <c r="CY36" s="31">
        <f>SUBTOTAL(9, Buckets_12_23[Capacity])</f>
        <v>15590</v>
      </c>
      <c r="CZ36" s="31">
        <f>SUBTOTAL(9, Buckets_12_23[Cap Diff])</f>
        <v>2293.9000000000015</v>
      </c>
      <c r="DA36" s="31">
        <f>SUBTOTAL(9, Buckets_12_23[Slush])</f>
        <v>5629.18</v>
      </c>
      <c r="DE36" s="31">
        <f>SUBTOTAL(9, Buckets_12_23[Crit To Fill])</f>
        <v>3696.8736761767104</v>
      </c>
      <c r="DG36" s="31">
        <f>SUBTOTAL(9,Buckets_12_23[NC To Fill])</f>
        <v>4226.2063238232913</v>
      </c>
      <c r="DH36" s="31">
        <f>SUBTOTAL(9, Buckets_12_23[Scaled])</f>
        <v>1932.3063238232901</v>
      </c>
      <c r="DJ36" s="31">
        <f>SUBTOTAL(9, Buckets_12_23[Final])</f>
        <v>13296.099999999995</v>
      </c>
      <c r="DK36" s="31">
        <f>SUBTOTAL(9, Buckets_12_23[Unfilled])</f>
        <v>2293.9000000000019</v>
      </c>
      <c r="DL36" s="33">
        <f>Buckets_12_23[[#Totals],[Final]]/Buckets_12_23[[#Totals],[Capacity]]</f>
        <v>0.8528608082103909</v>
      </c>
      <c r="DN36" s="39">
        <f>SUM(DN4:DN35)</f>
        <v>13296.099999999995</v>
      </c>
      <c r="DO36" s="31">
        <f>SUM(DO4:DO35)</f>
        <v>15590</v>
      </c>
      <c r="DQ36" s="31"/>
      <c r="DR36" s="31"/>
      <c r="DS36" s="31"/>
      <c r="DT36" s="31"/>
      <c r="DV36" s="39">
        <f>SUM(DV4:DV35)</f>
        <v>13296.099999999995</v>
      </c>
      <c r="DW36" s="31">
        <f>SUM(DW4:DW35)</f>
        <v>16190</v>
      </c>
      <c r="DZ36" s="31">
        <f>SUBTOTAL(9, Buckets_1_24[Start])</f>
        <v>13296.099999999995</v>
      </c>
      <c r="EA36" s="31">
        <f>SUBTOTAL(9, Buckets_1_24[Transactions])</f>
        <v>1723.2199999999993</v>
      </c>
      <c r="EB36" s="31">
        <f>SUBTOTAL(9, Buckets_1_24[After T])</f>
        <v>15019.319999999998</v>
      </c>
      <c r="EC36" s="31">
        <f>SUBTOTAL(9, Buckets_1_24[Capacity])</f>
        <v>16190</v>
      </c>
      <c r="ED36" s="31">
        <f>SUBTOTAL(9, Buckets_1_24[Cap Diff])</f>
        <v>1170.6800000000017</v>
      </c>
      <c r="EE36" s="31">
        <f>SUBTOTAL(9, Buckets_1_24[Slush])</f>
        <v>5616.14</v>
      </c>
      <c r="EI36" s="31">
        <f>SUBTOTAL(9, Buckets_1_24[Crit To Fill])</f>
        <v>3754.0298128138274</v>
      </c>
      <c r="EK36" s="31">
        <f>SUBTOTAL(9,Buckets_1_24[NC To Fill])</f>
        <v>3032.790187186175</v>
      </c>
      <c r="EL36" s="31">
        <f>SUBTOTAL(9, Buckets_1_24[Scaled])</f>
        <v>1862.1101871861731</v>
      </c>
      <c r="EN36" s="31">
        <f>SUBTOTAL(9, Buckets_1_24[Final])</f>
        <v>15019.319999999996</v>
      </c>
      <c r="EO36" s="31">
        <f>SUBTOTAL(9, Buckets_1_24[Unfilled])</f>
        <v>1170.6800000000021</v>
      </c>
      <c r="EP36" s="33">
        <f>Buckets_1_24[[#Totals],[Final]]/Buckets_1_24[[#Totals],[Capacity]]</f>
        <v>0.92769116738727586</v>
      </c>
      <c r="ER36" s="39">
        <f>SUM(ER4:ER35)</f>
        <v>15019.319999999996</v>
      </c>
      <c r="ES36" s="31">
        <f>SUM(ES4:ES35)</f>
        <v>16190</v>
      </c>
      <c r="EU36" s="31"/>
      <c r="EV36" s="31"/>
      <c r="EW36" s="31"/>
      <c r="EX36" s="31"/>
      <c r="EZ36" s="39">
        <f>SUM(EZ4:EZ35)</f>
        <v>15019.319999999996</v>
      </c>
      <c r="FA36" s="31">
        <f>SUM(FA4:FA35)</f>
        <v>18650</v>
      </c>
      <c r="FD36" s="31">
        <f>SUBTOTAL(9, Buckets_2_24[Start])</f>
        <v>15019.319999999996</v>
      </c>
      <c r="FE36" s="31">
        <f>SUBTOTAL(9, Buckets_2_24[Transactions])</f>
        <v>3444.9399999999996</v>
      </c>
      <c r="FF36" s="31">
        <f>SUBTOTAL(9, Buckets_2_24[After T])</f>
        <v>18464.259999999995</v>
      </c>
      <c r="FG36" s="31">
        <f>SUBTOTAL(9, Buckets_2_24[Capacity])</f>
        <v>18650</v>
      </c>
      <c r="FH36" s="31">
        <f>SUBTOTAL(9, Buckets_2_24[Cap Diff])</f>
        <v>185.74000000000274</v>
      </c>
      <c r="FI36" s="31">
        <f>SUBTOTAL(9, Buckets_2_24[Slush])</f>
        <v>7450.96</v>
      </c>
      <c r="FM36" s="31">
        <f>SUBTOTAL(9, Buckets_2_24[Crit To Fill])</f>
        <v>2569.35</v>
      </c>
      <c r="FO36" s="31">
        <f>SUBTOTAL(9,Buckets_2_24[NC To Fill])</f>
        <v>5067.3500000000022</v>
      </c>
      <c r="FP36" s="31">
        <f>SUBTOTAL(9, Buckets_2_24[Scaled])</f>
        <v>4881.6100000000006</v>
      </c>
      <c r="FR36" s="31">
        <f>SUBTOTAL(9, Buckets_2_24[Final])</f>
        <v>18464.260000000002</v>
      </c>
      <c r="FS36" s="31">
        <f>SUBTOTAL(9, Buckets_2_24[Unfilled])</f>
        <v>185.74000000000152</v>
      </c>
      <c r="FT36" s="33">
        <f>Buckets_2_24[[#Totals],[Final]]/Buckets_2_24[[#Totals],[Capacity]]</f>
        <v>0.99004075067024144</v>
      </c>
      <c r="FV36" s="39">
        <f>SUM(FV4:FV35)</f>
        <v>18464.260000000002</v>
      </c>
      <c r="FW36" s="31">
        <f>SUM(FW4:FW35)</f>
        <v>18650</v>
      </c>
      <c r="FY36" s="31"/>
      <c r="FZ36" s="31"/>
      <c r="GA36" s="31"/>
      <c r="GB36" s="31"/>
      <c r="GD36" s="39">
        <f>SUM(GD4:GD35)</f>
        <v>18464.260000000002</v>
      </c>
      <c r="GE36" s="31">
        <f>SUM(GE4:GE35)</f>
        <v>20650</v>
      </c>
      <c r="GH36" s="31">
        <f>SUBTOTAL(9, Buckets_3_24[Start])</f>
        <v>18464.260000000002</v>
      </c>
      <c r="GI36" s="31">
        <f>SUBTOTAL(9, Buckets_3_24[Transactions])</f>
        <v>2120.89</v>
      </c>
      <c r="GJ36" s="31">
        <f>SUBTOTAL(9, Buckets_3_24[After T])</f>
        <v>20585.149999999998</v>
      </c>
      <c r="GK36" s="31">
        <f>SUBTOTAL(9, Buckets_3_24[Capacity])</f>
        <v>20650</v>
      </c>
      <c r="GL36" s="31">
        <f>SUBTOTAL(9, Buckets_3_24[Cap Diff])</f>
        <v>64.85000000000116</v>
      </c>
      <c r="GM36" s="31">
        <f>SUBTOTAL(9, Buckets_3_24[Slush])</f>
        <v>5616.16</v>
      </c>
      <c r="GQ36" s="31">
        <f>SUBTOTAL(9, Buckets_3_24[Crit To Fill])</f>
        <v>3426.2371335115986</v>
      </c>
      <c r="GS36" s="31">
        <f>SUBTOTAL(9,Buckets_3_24[NC To Fill])</f>
        <v>2254.7728664884025</v>
      </c>
      <c r="GT36" s="31">
        <f>SUBTOTAL(9, Buckets_3_24[Scaled])</f>
        <v>2189.9228664884013</v>
      </c>
      <c r="GV36" s="31">
        <f>SUBTOTAL(9, Buckets_3_24[Final])</f>
        <v>20585.149999999998</v>
      </c>
      <c r="GW36" s="31">
        <f>SUBTOTAL(9, Buckets_3_24[Unfilled])</f>
        <v>64.850000000001074</v>
      </c>
      <c r="GX36" s="33">
        <f>Buckets_3_24[[#Totals],[Final]]/Buckets_3_24[[#Totals],[Capacity]]</f>
        <v>0.99685956416464883</v>
      </c>
      <c r="GZ36" s="39">
        <f>SUM(GZ4:GZ35)</f>
        <v>20585.149999999998</v>
      </c>
      <c r="HA36" s="31">
        <f>SUM(HA4:HA35)</f>
        <v>20650</v>
      </c>
      <c r="HC36" s="31"/>
      <c r="HD36" s="31"/>
      <c r="HE36" s="31"/>
      <c r="HF36" s="31"/>
      <c r="HH36" s="39">
        <f>SUM(HH4:HH35)</f>
        <v>20585.149999999998</v>
      </c>
      <c r="HI36" s="31">
        <f>SUM(HI4:HI35)</f>
        <v>22250</v>
      </c>
      <c r="HL36" s="31">
        <f>SUBTOTAL(9, Buckets_4_24[Start])</f>
        <v>20585.149999999998</v>
      </c>
      <c r="HM36" s="31">
        <f>SUBTOTAL(9, Buckets_4_24[Transactions])</f>
        <v>770.51000000000022</v>
      </c>
      <c r="HN36" s="31">
        <f>SUBTOTAL(9, Buckets_4_24[After T])</f>
        <v>21355.66</v>
      </c>
      <c r="HO36" s="31">
        <f>SUBTOTAL(9, Buckets_4_24[Capacity])</f>
        <v>22250</v>
      </c>
      <c r="HP36" s="31">
        <f>SUBTOTAL(9, Buckets_4_24[Cap Diff])</f>
        <v>894.34000000000196</v>
      </c>
      <c r="HQ36" s="31">
        <f>SUBTOTAL(9, Buckets_4_24[Slush])</f>
        <v>10899.17</v>
      </c>
      <c r="HU36" s="31">
        <f>SUBTOTAL(9, Buckets_4_24[Crit To Fill])</f>
        <v>9219.2799999999988</v>
      </c>
      <c r="HW36" s="31">
        <f>SUBTOTAL(9,Buckets_4_24[NC To Fill])</f>
        <v>2574.2300000000009</v>
      </c>
      <c r="HX36" s="31">
        <f>SUBTOTAL(9, Buckets_4_24[Scaled])</f>
        <v>1679.890000000001</v>
      </c>
      <c r="HZ36" s="31">
        <f>SUBTOTAL(9, Buckets_4_24[Final])</f>
        <v>21355.659999999996</v>
      </c>
      <c r="IA36" s="31">
        <f>SUBTOTAL(9, Buckets_4_24[Unfilled])</f>
        <v>894.33999999999935</v>
      </c>
      <c r="IB36" s="33">
        <f>Buckets_4_24[[#Totals],[Final]]/Buckets_4_24[[#Totals],[Capacity]]</f>
        <v>0.95980494382022452</v>
      </c>
      <c r="ID36" s="39">
        <f>SUM(ID4:ID35)</f>
        <v>21355.659999999996</v>
      </c>
      <c r="IE36" s="31">
        <f>SUM(IE4:IE35)</f>
        <v>22250</v>
      </c>
      <c r="IG36" s="31"/>
      <c r="IH36" s="31"/>
      <c r="II36" s="31"/>
      <c r="IJ36" s="31"/>
      <c r="IL36" s="39">
        <f>SUM(IL4:IL35)</f>
        <v>21355.659999999996</v>
      </c>
      <c r="IM36" s="31">
        <f>SUM(IM4:IM35)</f>
        <v>22850</v>
      </c>
    </row>
    <row r="37" spans="1:248" x14ac:dyDescent="0.25">
      <c r="J37" s="29"/>
      <c r="K37" s="29"/>
      <c r="L37" s="29"/>
      <c r="M37" s="29"/>
      <c r="N37" s="29"/>
      <c r="O37" s="29"/>
      <c r="P37" s="29"/>
      <c r="Q37" s="29"/>
      <c r="S37" s="29"/>
      <c r="T37" s="29"/>
      <c r="U37" s="29"/>
      <c r="V37" s="31"/>
      <c r="W37" s="31"/>
      <c r="X37" s="31"/>
      <c r="Y37" s="31"/>
      <c r="Z37" s="33"/>
      <c r="AN37" s="29"/>
      <c r="AO37" s="29"/>
      <c r="AP37" s="29"/>
      <c r="AQ37" s="29"/>
      <c r="AR37" s="29"/>
      <c r="AS37" s="29"/>
      <c r="AT37" s="29"/>
      <c r="AU37" s="29"/>
      <c r="AW37" s="29"/>
      <c r="AX37" s="29"/>
      <c r="AY37" s="29"/>
      <c r="AZ37" s="31"/>
      <c r="BA37" s="31"/>
      <c r="BB37" s="31"/>
      <c r="BC37" s="31"/>
      <c r="BD37" s="33"/>
      <c r="BR37" s="29"/>
      <c r="BS37" s="29"/>
      <c r="BT37" s="29"/>
      <c r="BU37" s="29"/>
      <c r="BV37" s="29"/>
      <c r="BW37" s="29"/>
      <c r="BX37" s="29"/>
      <c r="BY37" s="29"/>
      <c r="CA37" s="29"/>
      <c r="CB37" s="29"/>
      <c r="CC37" s="29"/>
      <c r="CD37" s="31"/>
      <c r="CE37" s="31"/>
      <c r="CF37" s="31"/>
      <c r="CG37" s="31"/>
      <c r="CH37" s="33"/>
      <c r="CV37" s="29"/>
      <c r="CW37" s="29"/>
      <c r="CX37" s="29"/>
      <c r="CY37" s="29"/>
      <c r="CZ37" s="29"/>
      <c r="DA37" s="29"/>
      <c r="DB37" s="29"/>
      <c r="DC37" s="29"/>
      <c r="DE37" s="29"/>
      <c r="DF37" s="29"/>
      <c r="DG37" s="29"/>
      <c r="DH37" s="31"/>
      <c r="DI37" s="31"/>
      <c r="DJ37" s="31"/>
      <c r="DK37" s="31"/>
      <c r="DL37" s="33"/>
      <c r="DZ37" s="29"/>
      <c r="EA37" s="29"/>
      <c r="EB37" s="29"/>
      <c r="EC37" s="29"/>
      <c r="ED37" s="29"/>
      <c r="EE37" s="29"/>
      <c r="EF37" s="29"/>
      <c r="EG37" s="29"/>
      <c r="EI37" s="29"/>
      <c r="EJ37" s="29"/>
      <c r="EK37" s="29"/>
      <c r="EL37" s="31"/>
      <c r="EM37" s="31"/>
      <c r="EN37" s="31"/>
      <c r="EO37" s="31"/>
      <c r="EP37" s="33"/>
      <c r="FD37" s="29"/>
      <c r="FE37" s="29"/>
      <c r="FF37" s="29"/>
      <c r="FG37" s="29"/>
      <c r="FH37" s="29"/>
      <c r="FI37" s="29"/>
      <c r="FJ37" s="29"/>
      <c r="FK37" s="29"/>
      <c r="FM37" s="29"/>
      <c r="FN37" s="29"/>
      <c r="FO37" s="29"/>
      <c r="FP37" s="31"/>
      <c r="FQ37" s="31"/>
      <c r="FR37" s="31"/>
      <c r="FS37" s="31"/>
      <c r="FT37" s="33"/>
      <c r="GH37" s="29"/>
      <c r="GI37" s="29"/>
      <c r="GJ37" s="29"/>
      <c r="GK37" s="29"/>
      <c r="GL37" s="29"/>
      <c r="GM37" s="29"/>
      <c r="GN37" s="29"/>
      <c r="GO37" s="29"/>
      <c r="GQ37" s="29"/>
      <c r="GR37" s="29"/>
      <c r="GS37" s="29"/>
      <c r="GT37" s="31"/>
      <c r="GU37" s="31"/>
      <c r="GV37" s="31"/>
      <c r="GW37" s="31"/>
      <c r="GX37" s="33"/>
      <c r="HL37" s="29"/>
      <c r="HM37" s="29"/>
      <c r="HN37" s="29"/>
      <c r="HO37" s="29"/>
      <c r="HP37" s="29"/>
      <c r="HQ37" s="29"/>
      <c r="HR37" s="29"/>
      <c r="HS37" s="29"/>
      <c r="HU37" s="29"/>
      <c r="HV37" s="29"/>
      <c r="HW37" s="29"/>
      <c r="HX37" s="31"/>
      <c r="HY37" s="31"/>
      <c r="HZ37" s="31"/>
      <c r="IA37" s="31"/>
      <c r="IB37" s="33"/>
    </row>
    <row r="38" spans="1:248" ht="3.75" customHeight="1" x14ac:dyDescent="0.25">
      <c r="J38" s="34"/>
      <c r="K38" s="34"/>
      <c r="L38" s="34"/>
      <c r="M38" s="34"/>
      <c r="N38" s="34"/>
      <c r="O38" s="34"/>
      <c r="P38" s="35"/>
      <c r="Q38" s="35"/>
      <c r="R38" s="35"/>
      <c r="S38" s="36"/>
      <c r="T38" s="35"/>
      <c r="U38" s="36"/>
      <c r="V38" s="36"/>
      <c r="W38" s="35"/>
      <c r="X38" s="35"/>
      <c r="Y38" s="35"/>
      <c r="Z38" s="35"/>
      <c r="AN38" s="34"/>
      <c r="AO38" s="34"/>
      <c r="AP38" s="34"/>
      <c r="AQ38" s="34"/>
      <c r="AR38" s="34"/>
      <c r="AS38" s="34"/>
      <c r="AT38" s="35"/>
      <c r="AU38" s="35"/>
      <c r="AV38" s="35"/>
      <c r="AW38" s="36"/>
      <c r="AX38" s="35"/>
      <c r="AY38" s="36"/>
      <c r="AZ38" s="36"/>
      <c r="BA38" s="35"/>
      <c r="BB38" s="35"/>
      <c r="BC38" s="35"/>
      <c r="BD38" s="35"/>
      <c r="BR38" s="34"/>
      <c r="BS38" s="34"/>
      <c r="BT38" s="34"/>
      <c r="BU38" s="34"/>
      <c r="BV38" s="34"/>
      <c r="BW38" s="34"/>
      <c r="BX38" s="35"/>
      <c r="BY38" s="35"/>
      <c r="BZ38" s="35"/>
      <c r="CA38" s="36"/>
      <c r="CB38" s="35"/>
      <c r="CC38" s="36"/>
      <c r="CD38" s="36"/>
      <c r="CE38" s="35"/>
      <c r="CF38" s="35"/>
      <c r="CG38" s="35"/>
      <c r="CH38" s="35"/>
      <c r="CV38" s="34"/>
      <c r="CW38" s="34"/>
      <c r="CX38" s="34"/>
      <c r="CY38" s="34"/>
      <c r="CZ38" s="34"/>
      <c r="DA38" s="34"/>
      <c r="DB38" s="35"/>
      <c r="DC38" s="35"/>
      <c r="DD38" s="35"/>
      <c r="DE38" s="36"/>
      <c r="DF38" s="35"/>
      <c r="DG38" s="36"/>
      <c r="DH38" s="36"/>
      <c r="DI38" s="35"/>
      <c r="DJ38" s="35"/>
      <c r="DK38" s="35"/>
      <c r="DL38" s="35"/>
      <c r="DZ38" s="34"/>
      <c r="EA38" s="34"/>
      <c r="EB38" s="34"/>
      <c r="EC38" s="34"/>
      <c r="ED38" s="34"/>
      <c r="EE38" s="34"/>
      <c r="EF38" s="35"/>
      <c r="EG38" s="35"/>
      <c r="EH38" s="35"/>
      <c r="EI38" s="36"/>
      <c r="EJ38" s="35"/>
      <c r="EK38" s="36"/>
      <c r="EL38" s="36"/>
      <c r="EM38" s="35"/>
      <c r="EN38" s="35"/>
      <c r="EO38" s="35"/>
      <c r="EP38" s="35"/>
      <c r="FD38" s="34"/>
      <c r="FE38" s="34"/>
      <c r="FF38" s="34"/>
      <c r="FG38" s="34"/>
      <c r="FH38" s="34"/>
      <c r="FI38" s="34"/>
      <c r="FJ38" s="35"/>
      <c r="FK38" s="35"/>
      <c r="FL38" s="35"/>
      <c r="FM38" s="36"/>
      <c r="FN38" s="35"/>
      <c r="FO38" s="36"/>
      <c r="FP38" s="36"/>
      <c r="FQ38" s="35"/>
      <c r="FR38" s="35"/>
      <c r="FS38" s="35"/>
      <c r="FT38" s="35"/>
      <c r="GH38" s="34"/>
      <c r="GI38" s="34"/>
      <c r="GJ38" s="34"/>
      <c r="GK38" s="34"/>
      <c r="GL38" s="34"/>
      <c r="GM38" s="34"/>
      <c r="GN38" s="35"/>
      <c r="GO38" s="35"/>
      <c r="GP38" s="35"/>
      <c r="GQ38" s="36"/>
      <c r="GR38" s="35"/>
      <c r="GS38" s="36"/>
      <c r="GT38" s="36"/>
      <c r="GU38" s="35"/>
      <c r="GV38" s="35"/>
      <c r="GW38" s="35"/>
      <c r="GX38" s="35"/>
      <c r="HL38" s="34"/>
      <c r="HM38" s="34"/>
      <c r="HN38" s="34"/>
      <c r="HO38" s="34"/>
      <c r="HP38" s="34"/>
      <c r="HQ38" s="34"/>
      <c r="HR38" s="35"/>
      <c r="HS38" s="35"/>
      <c r="HT38" s="35"/>
      <c r="HU38" s="36"/>
      <c r="HV38" s="35"/>
      <c r="HW38" s="36"/>
      <c r="HX38" s="36"/>
      <c r="HY38" s="35"/>
      <c r="HZ38" s="35"/>
      <c r="IA38" s="35"/>
      <c r="IB38" s="35"/>
    </row>
    <row r="39" spans="1:248" x14ac:dyDescent="0.25">
      <c r="J39" s="32" t="s">
        <v>393</v>
      </c>
      <c r="AN39" s="32" t="s">
        <v>393</v>
      </c>
      <c r="BR39" s="32" t="s">
        <v>393</v>
      </c>
      <c r="CV39" s="32" t="s">
        <v>393</v>
      </c>
      <c r="DZ39" s="32" t="s">
        <v>393</v>
      </c>
      <c r="FD39" s="32" t="s">
        <v>393</v>
      </c>
      <c r="GH39" s="32" t="s">
        <v>393</v>
      </c>
      <c r="HL39" s="32" t="s">
        <v>393</v>
      </c>
    </row>
    <row r="40" spans="1:248" x14ac:dyDescent="0.25">
      <c r="T40" t="s">
        <v>384</v>
      </c>
      <c r="AX40" t="s">
        <v>384</v>
      </c>
      <c r="CB40" t="s">
        <v>384</v>
      </c>
      <c r="DF40" t="s">
        <v>384</v>
      </c>
      <c r="EJ40" t="s">
        <v>384</v>
      </c>
      <c r="FN40" t="s">
        <v>384</v>
      </c>
      <c r="GR40" t="s">
        <v>384</v>
      </c>
      <c r="HV40" t="s">
        <v>384</v>
      </c>
    </row>
    <row r="41" spans="1:248" x14ac:dyDescent="0.25">
      <c r="T41" s="31">
        <f>Buckets_9_23[[#Totals],[Slush]] - Buckets_9_23[[#Totals],[Crit To Fill]]</f>
        <v>6748.3899999999985</v>
      </c>
      <c r="AX41" s="31">
        <f>Buckets_10_23[[#Totals],[Slush]] - Buckets_10_23[[#Totals],[Crit To Fill]]</f>
        <v>2041.1799999999994</v>
      </c>
      <c r="CB41" s="31">
        <f>Buckets_11_23[[#Totals],[Slush]] - Buckets_11_23[[#Totals],[Crit To Fill]]</f>
        <v>3302.3640283874511</v>
      </c>
      <c r="DF41" s="31">
        <f>Buckets_12_23[[#Totals],[Slush]] - Buckets_12_23[[#Totals],[Crit To Fill]]</f>
        <v>1932.3063238232899</v>
      </c>
      <c r="EJ41" s="31">
        <f>Buckets_1_24[[#Totals],[Slush]] - Buckets_1_24[[#Totals],[Crit To Fill]]</f>
        <v>1862.1101871861729</v>
      </c>
      <c r="FN41" s="31">
        <f>Buckets_2_24[[#Totals],[Slush]] - Buckets_2_24[[#Totals],[Crit To Fill]]</f>
        <v>4881.6100000000006</v>
      </c>
      <c r="GR41" s="31">
        <f>Buckets_3_24[[#Totals],[Slush]] - Buckets_3_24[[#Totals],[Crit To Fill]]</f>
        <v>2189.9228664884013</v>
      </c>
      <c r="HV41" s="31">
        <f>Buckets_4_24[[#Totals],[Slush]] - Buckets_4_24[[#Totals],[Crit To Fill]]</f>
        <v>1679.8900000000012</v>
      </c>
    </row>
    <row r="42" spans="1:248" ht="3.75" customHeight="1" x14ac:dyDescent="0.25">
      <c r="J42" s="35"/>
      <c r="K42" s="35"/>
      <c r="L42" s="35"/>
      <c r="M42" s="35"/>
      <c r="N42" s="35"/>
      <c r="O42" s="35"/>
      <c r="P42" s="35"/>
      <c r="Q42" s="35"/>
      <c r="R42" s="35"/>
      <c r="S42" s="35"/>
      <c r="T42" s="36"/>
      <c r="U42" s="35"/>
      <c r="V42" s="35"/>
      <c r="W42" s="35"/>
      <c r="X42" s="35"/>
      <c r="Y42" s="35"/>
      <c r="Z42" s="35"/>
      <c r="AN42" s="35"/>
      <c r="AO42" s="35"/>
      <c r="AP42" s="35"/>
      <c r="AQ42" s="35"/>
      <c r="AR42" s="35"/>
      <c r="AS42" s="35"/>
      <c r="AT42" s="35"/>
      <c r="AU42" s="35"/>
      <c r="AV42" s="35"/>
      <c r="AW42" s="35"/>
      <c r="AX42" s="36"/>
      <c r="AY42" s="35"/>
      <c r="AZ42" s="35"/>
      <c r="BA42" s="35"/>
      <c r="BB42" s="35"/>
      <c r="BC42" s="35"/>
      <c r="BD42" s="35"/>
      <c r="BR42" s="35"/>
      <c r="BS42" s="35"/>
      <c r="BT42" s="35"/>
      <c r="BU42" s="35"/>
      <c r="BV42" s="35"/>
      <c r="BW42" s="35"/>
      <c r="BX42" s="35"/>
      <c r="BY42" s="35"/>
      <c r="BZ42" s="35"/>
      <c r="CA42" s="35"/>
      <c r="CB42" s="36"/>
      <c r="CC42" s="35"/>
      <c r="CD42" s="35"/>
      <c r="CE42" s="35"/>
      <c r="CF42" s="35"/>
      <c r="CG42" s="35"/>
      <c r="CH42" s="35"/>
      <c r="CV42" s="35"/>
      <c r="CW42" s="35"/>
      <c r="CX42" s="35"/>
      <c r="CY42" s="35"/>
      <c r="CZ42" s="35"/>
      <c r="DA42" s="35"/>
      <c r="DB42" s="35"/>
      <c r="DC42" s="35"/>
      <c r="DD42" s="35"/>
      <c r="DE42" s="35"/>
      <c r="DF42" s="36"/>
      <c r="DG42" s="35"/>
      <c r="DH42" s="35"/>
      <c r="DI42" s="35"/>
      <c r="DJ42" s="35"/>
      <c r="DK42" s="35"/>
      <c r="DL42" s="35"/>
      <c r="DZ42" s="35"/>
      <c r="EA42" s="35"/>
      <c r="EB42" s="35"/>
      <c r="EC42" s="35"/>
      <c r="ED42" s="35"/>
      <c r="EE42" s="35"/>
      <c r="EF42" s="35"/>
      <c r="EG42" s="35"/>
      <c r="EH42" s="35"/>
      <c r="EI42" s="35"/>
      <c r="EJ42" s="36"/>
      <c r="EK42" s="35"/>
      <c r="EL42" s="35"/>
      <c r="EM42" s="35"/>
      <c r="EN42" s="35"/>
      <c r="EO42" s="35"/>
      <c r="EP42" s="35"/>
      <c r="FD42" s="35"/>
      <c r="FE42" s="35"/>
      <c r="FF42" s="35"/>
      <c r="FG42" s="35"/>
      <c r="FH42" s="35"/>
      <c r="FI42" s="35"/>
      <c r="FJ42" s="35"/>
      <c r="FK42" s="35"/>
      <c r="FL42" s="35"/>
      <c r="FM42" s="35"/>
      <c r="FN42" s="36"/>
      <c r="FO42" s="35"/>
      <c r="FP42" s="35"/>
      <c r="FQ42" s="35"/>
      <c r="FR42" s="35"/>
      <c r="FS42" s="35"/>
      <c r="FT42" s="35"/>
      <c r="GH42" s="35"/>
      <c r="GI42" s="35"/>
      <c r="GJ42" s="35"/>
      <c r="GK42" s="35"/>
      <c r="GL42" s="35"/>
      <c r="GM42" s="35"/>
      <c r="GN42" s="35"/>
      <c r="GO42" s="35"/>
      <c r="GP42" s="35"/>
      <c r="GQ42" s="35"/>
      <c r="GR42" s="36"/>
      <c r="GS42" s="35"/>
      <c r="GT42" s="35"/>
      <c r="GU42" s="35"/>
      <c r="GV42" s="35"/>
      <c r="GW42" s="35"/>
      <c r="GX42" s="35"/>
      <c r="HL42" s="35"/>
      <c r="HM42" s="35"/>
      <c r="HN42" s="35"/>
      <c r="HO42" s="35"/>
      <c r="HP42" s="35"/>
      <c r="HQ42" s="35"/>
      <c r="HR42" s="35"/>
      <c r="HS42" s="35"/>
      <c r="HT42" s="35"/>
      <c r="HU42" s="35"/>
      <c r="HV42" s="36"/>
      <c r="HW42" s="35"/>
      <c r="HX42" s="35"/>
      <c r="HY42" s="35"/>
      <c r="HZ42" s="35"/>
      <c r="IA42" s="35"/>
      <c r="IB42" s="35"/>
    </row>
    <row r="43" spans="1:248" x14ac:dyDescent="0.25">
      <c r="J43" s="32" t="s">
        <v>371</v>
      </c>
      <c r="AJ43" s="32" t="s">
        <v>371</v>
      </c>
      <c r="AN43" s="32" t="s">
        <v>371</v>
      </c>
      <c r="BN43" s="32" t="s">
        <v>371</v>
      </c>
      <c r="BR43" s="32" t="s">
        <v>371</v>
      </c>
      <c r="CR43" s="32" t="s">
        <v>371</v>
      </c>
      <c r="CV43" s="32" t="s">
        <v>371</v>
      </c>
      <c r="DV43" s="32" t="s">
        <v>371</v>
      </c>
      <c r="DZ43" s="32" t="s">
        <v>371</v>
      </c>
      <c r="EZ43" s="32" t="s">
        <v>371</v>
      </c>
      <c r="FD43" s="32" t="s">
        <v>371</v>
      </c>
      <c r="GD43" s="32" t="s">
        <v>371</v>
      </c>
      <c r="GH43" s="32" t="s">
        <v>371</v>
      </c>
      <c r="HH43" s="32" t="s">
        <v>371</v>
      </c>
      <c r="HL43" s="32" t="s">
        <v>371</v>
      </c>
      <c r="IL43" s="32" t="s">
        <v>371</v>
      </c>
    </row>
    <row r="44" spans="1:248" x14ac:dyDescent="0.25">
      <c r="J44" t="s">
        <v>366</v>
      </c>
      <c r="K44" t="s">
        <v>317</v>
      </c>
      <c r="O44" t="s">
        <v>368</v>
      </c>
      <c r="S44" t="s">
        <v>367</v>
      </c>
      <c r="T44" t="s">
        <v>384</v>
      </c>
      <c r="U44" t="s">
        <v>387</v>
      </c>
      <c r="V44" t="s">
        <v>389</v>
      </c>
      <c r="X44" t="s">
        <v>394</v>
      </c>
      <c r="AJ44" t="s">
        <v>364</v>
      </c>
      <c r="AN44" t="s">
        <v>366</v>
      </c>
      <c r="AO44" t="s">
        <v>317</v>
      </c>
      <c r="AS44" t="s">
        <v>368</v>
      </c>
      <c r="AW44" t="s">
        <v>367</v>
      </c>
      <c r="AX44" t="s">
        <v>384</v>
      </c>
      <c r="AY44" t="s">
        <v>387</v>
      </c>
      <c r="AZ44" t="s">
        <v>389</v>
      </c>
      <c r="BB44" t="s">
        <v>394</v>
      </c>
      <c r="BN44" t="s">
        <v>364</v>
      </c>
      <c r="BR44" t="s">
        <v>366</v>
      </c>
      <c r="BS44" t="s">
        <v>317</v>
      </c>
      <c r="BW44" t="s">
        <v>368</v>
      </c>
      <c r="CA44" t="s">
        <v>367</v>
      </c>
      <c r="CB44" t="s">
        <v>384</v>
      </c>
      <c r="CC44" t="s">
        <v>387</v>
      </c>
      <c r="CD44" t="s">
        <v>389</v>
      </c>
      <c r="CF44" t="s">
        <v>394</v>
      </c>
      <c r="CR44" t="s">
        <v>364</v>
      </c>
      <c r="CV44" t="s">
        <v>366</v>
      </c>
      <c r="CW44" t="s">
        <v>317</v>
      </c>
      <c r="DA44" t="s">
        <v>368</v>
      </c>
      <c r="DE44" t="s">
        <v>367</v>
      </c>
      <c r="DF44" t="s">
        <v>384</v>
      </c>
      <c r="DG44" t="s">
        <v>387</v>
      </c>
      <c r="DH44" t="s">
        <v>389</v>
      </c>
      <c r="DJ44" t="s">
        <v>394</v>
      </c>
      <c r="DV44" t="s">
        <v>364</v>
      </c>
      <c r="DZ44" t="s">
        <v>366</v>
      </c>
      <c r="EA44" t="s">
        <v>317</v>
      </c>
      <c r="EE44" t="s">
        <v>368</v>
      </c>
      <c r="EI44" t="s">
        <v>367</v>
      </c>
      <c r="EJ44" t="s">
        <v>384</v>
      </c>
      <c r="EK44" t="s">
        <v>387</v>
      </c>
      <c r="EL44" t="s">
        <v>389</v>
      </c>
      <c r="EN44" t="s">
        <v>394</v>
      </c>
      <c r="EZ44" t="s">
        <v>364</v>
      </c>
      <c r="FD44" t="s">
        <v>366</v>
      </c>
      <c r="FE44" t="s">
        <v>317</v>
      </c>
      <c r="FI44" t="s">
        <v>368</v>
      </c>
      <c r="FM44" t="s">
        <v>367</v>
      </c>
      <c r="FN44" t="s">
        <v>384</v>
      </c>
      <c r="FO44" t="s">
        <v>387</v>
      </c>
      <c r="FP44" t="s">
        <v>389</v>
      </c>
      <c r="FR44" t="s">
        <v>394</v>
      </c>
      <c r="GD44" t="s">
        <v>364</v>
      </c>
      <c r="GH44" t="s">
        <v>366</v>
      </c>
      <c r="GI44" t="s">
        <v>317</v>
      </c>
      <c r="GM44" t="s">
        <v>368</v>
      </c>
      <c r="GQ44" t="s">
        <v>367</v>
      </c>
      <c r="GR44" t="s">
        <v>384</v>
      </c>
      <c r="GS44" t="s">
        <v>387</v>
      </c>
      <c r="GT44" t="s">
        <v>389</v>
      </c>
      <c r="GV44" t="s">
        <v>394</v>
      </c>
      <c r="HH44" t="s">
        <v>364</v>
      </c>
      <c r="HL44" t="s">
        <v>366</v>
      </c>
      <c r="HM44" t="s">
        <v>317</v>
      </c>
      <c r="HQ44" t="s">
        <v>368</v>
      </c>
      <c r="HU44" t="s">
        <v>367</v>
      </c>
      <c r="HV44" t="s">
        <v>384</v>
      </c>
      <c r="HW44" t="s">
        <v>387</v>
      </c>
      <c r="HX44" t="s">
        <v>389</v>
      </c>
      <c r="HZ44" t="s">
        <v>394</v>
      </c>
      <c r="IL44" t="s">
        <v>364</v>
      </c>
    </row>
    <row r="45" spans="1:248" x14ac:dyDescent="0.25">
      <c r="J45" t="str">
        <f>IF(Buckets_9_23[[#Totals],[Start]]&lt;0, "ERROR: Underwater", "good")</f>
        <v>good</v>
      </c>
      <c r="K45" t="str">
        <f>IF(COUNTIF(K34:K35, "&lt;&gt;0") &gt; 0, "ERROR: Unbalanced internal transfers", "good")</f>
        <v>good</v>
      </c>
      <c r="O45" t="str">
        <f>IF(Buckets_9_23[[#Totals],[Slush]]&lt;0, "ERROR: No slush fund", "good")</f>
        <v>good</v>
      </c>
      <c r="S45" t="str">
        <f>IF(Buckets_9_23[[#Totals],[Crit To Fill]]&gt;Buckets_9_23[[#Totals],[Slush]], "ERROR: Can't refill critical buckets", "good")</f>
        <v>good</v>
      </c>
      <c r="T45" t="str">
        <f>IF(T41&lt;0, "ERROR: Can't refill non-critical buckets", "good")</f>
        <v>good</v>
      </c>
      <c r="U45" t="str">
        <f>IF(Buckets_9_23[[#Totals],[NC To Fill]]&lt;T41, "ERROR: Unused slush funds", "good")</f>
        <v>good</v>
      </c>
      <c r="V45" t="str">
        <f>IF(Buckets_9_23[[#Totals],[Scaled]]&lt;&gt;T41, "ERROR: Scaled doesn't match slush fund", "good")</f>
        <v>good</v>
      </c>
      <c r="X45" t="str">
        <f>IF(Buckets_9_23[[#Totals],[Final]]&lt;&gt;Buckets_9_23[[#Totals],[After T]], "ERROR: Refilling changed the total", "good")</f>
        <v>good</v>
      </c>
      <c r="AJ45" t="str">
        <f>IF(AJ36&lt;&gt;AB36, "ERROR: Totals changed", "good")</f>
        <v>good</v>
      </c>
      <c r="AN45" t="str">
        <f>IF(Buckets_10_23[[#Totals],[Start]]&lt;0, "ERROR: Underwater", "good")</f>
        <v>good</v>
      </c>
      <c r="AO45" t="str">
        <f>IF(COUNTIF(AO34:AO35, "&lt;&gt;0") &gt; 0, "ERROR: Unbalanced internal transfers", "good")</f>
        <v>good</v>
      </c>
      <c r="AS45" t="str">
        <f>IF(Buckets_10_23[[#Totals],[Slush]]&lt;0, "ERROR: No slush fund", "good")</f>
        <v>good</v>
      </c>
      <c r="AW45" t="str">
        <f>IF(Buckets_10_23[[#Totals],[Crit To Fill]]&gt;Buckets_10_23[[#Totals],[Slush]], "ERROR: Can't refill critical buckets", "good")</f>
        <v>good</v>
      </c>
      <c r="AX45" t="str">
        <f>IF(AX41&lt;0, "ERROR: Can't refill non-critical buckets", "good")</f>
        <v>good</v>
      </c>
      <c r="AY45" t="str">
        <f>IF(Buckets_10_23[[#Totals],[NC To Fill]]&lt;AX41, "ERROR: Unused slush funds", "good")</f>
        <v>good</v>
      </c>
      <c r="AZ45" t="str">
        <f>IF(Buckets_10_23[[#Totals],[Scaled]]&lt;&gt;AX41, "ERROR: Scaled doesn't match slush fund", "good")</f>
        <v>good</v>
      </c>
      <c r="BB45" t="str">
        <f>IF(Buckets_10_23[[#Totals],[Final]]&lt;&gt;Buckets_10_23[[#Totals],[After T]], "ERROR: Refilling changed the total", "good")</f>
        <v>good</v>
      </c>
      <c r="BN45" t="str">
        <f>IF(BN36&lt;&gt;BF36, "ERROR: Totals changed", "good")</f>
        <v>good</v>
      </c>
      <c r="BR45" t="str">
        <f>IF(Buckets_11_23[[#Totals],[Start]]&lt;0, "ERROR: Underwater", "good")</f>
        <v>good</v>
      </c>
      <c r="BS45" t="str">
        <f>IF(COUNTIF(BS34:BS35, "&lt;&gt;0") &gt; 0, "ERROR: Unbalanced internal transfers", "good")</f>
        <v>good</v>
      </c>
      <c r="BW45" t="str">
        <f>IF(Buckets_11_23[[#Totals],[Slush]]&lt;0, "ERROR: No slush fund", "good")</f>
        <v>good</v>
      </c>
      <c r="CA45" t="str">
        <f>IF(Buckets_11_23[[#Totals],[Crit To Fill]]&gt;Buckets_11_23[[#Totals],[Slush]], "ERROR: Can't refill critical buckets", "good")</f>
        <v>good</v>
      </c>
      <c r="CB45" t="str">
        <f>IF(CB41&lt;0, "ERROR: Can't refill non-critical buckets", "good")</f>
        <v>good</v>
      </c>
      <c r="CC45" t="str">
        <f>IF(Buckets_11_23[[#Totals],[NC To Fill]]&lt;CB41, "ERROR: Unused slush funds", "good")</f>
        <v>good</v>
      </c>
      <c r="CD45" t="str">
        <f>IF(Buckets_11_23[[#Totals],[Scaled]]&lt;&gt;CB41, "ERROR: Scaled doesn't match slush fund", "good")</f>
        <v>good</v>
      </c>
      <c r="CF45" t="str">
        <f>IF(Buckets_11_23[[#Totals],[Final]]&lt;&gt;Buckets_11_23[[#Totals],[After T]], "ERROR: Refilling changed the total", "good")</f>
        <v>good</v>
      </c>
      <c r="CR45" t="str">
        <f>IF(CR36&lt;&gt;CJ36, "ERROR: Totals changed", "good")</f>
        <v>good</v>
      </c>
      <c r="CV45" t="str">
        <f>IF(Buckets_12_23[[#Totals],[Start]]&lt;0, "ERROR: Underwater", "good")</f>
        <v>good</v>
      </c>
      <c r="CW45" t="str">
        <f>IF(COUNTIF(CW34:CW35, "&lt;&gt;0") &gt; 0, "ERROR: Unbalanced internal transfers", "good")</f>
        <v>good</v>
      </c>
      <c r="DA45" t="str">
        <f>IF(Buckets_12_23[[#Totals],[Slush]]&lt;0, "ERROR: No slush fund", "good")</f>
        <v>good</v>
      </c>
      <c r="DE45" t="str">
        <f>IF(Buckets_12_23[[#Totals],[Crit To Fill]]&gt;Buckets_12_23[[#Totals],[Slush]], "ERROR: Can't refill critical buckets", "good")</f>
        <v>good</v>
      </c>
      <c r="DF45" t="str">
        <f>IF(DF41&lt;0, "ERROR: Can't refill non-critical buckets", "good")</f>
        <v>good</v>
      </c>
      <c r="DG45" t="str">
        <f>IF(Buckets_12_23[[#Totals],[NC To Fill]]&lt;DF41, "ERROR: Unused slush funds", "good")</f>
        <v>good</v>
      </c>
      <c r="DH45" t="str">
        <f>IF(Buckets_12_23[[#Totals],[Scaled]]&lt;&gt;DF41, "ERROR: Scaled doesn't match slush fund", "good")</f>
        <v>good</v>
      </c>
      <c r="DJ45" t="str">
        <f>IF(Buckets_12_23[[#Totals],[Final]]&lt;&gt;Buckets_12_23[[#Totals],[After T]], "ERROR: Refilling changed the total", "good")</f>
        <v>good</v>
      </c>
      <c r="DV45" t="str">
        <f>IF(DV36&lt;&gt;DN36, "ERROR: Totals changed", "good")</f>
        <v>good</v>
      </c>
      <c r="DZ45" t="str">
        <f>IF(Buckets_1_24[[#Totals],[Start]]&lt;0, "ERROR: Underwater", "good")</f>
        <v>good</v>
      </c>
      <c r="EA45" t="str">
        <f>IF(COUNTIF(EA34:EA35, "&lt;&gt;0") &gt; 0, "ERROR: Unbalanced internal transfers", "good")</f>
        <v>good</v>
      </c>
      <c r="EE45" t="str">
        <f>IF(Buckets_1_24[[#Totals],[Slush]]&lt;0, "ERROR: No slush fund", "good")</f>
        <v>good</v>
      </c>
      <c r="EI45" t="str">
        <f>IF(Buckets_1_24[[#Totals],[Crit To Fill]]&gt;Buckets_1_24[[#Totals],[Slush]], "ERROR: Can't refill critical buckets", "good")</f>
        <v>good</v>
      </c>
      <c r="EJ45" t="str">
        <f>IF(EJ41&lt;0, "ERROR: Can't refill non-critical buckets", "good")</f>
        <v>good</v>
      </c>
      <c r="EK45" t="str">
        <f>IF(Buckets_1_24[[#Totals],[NC To Fill]]&lt;EJ41, "ERROR: Unused slush funds", "good")</f>
        <v>good</v>
      </c>
      <c r="EL45" t="str">
        <f>IF(Buckets_1_24[[#Totals],[Scaled]]&lt;&gt;EJ41, "ERROR: Scaled doesn't match slush fund", "good")</f>
        <v>good</v>
      </c>
      <c r="EN45" t="str">
        <f>IF(Buckets_1_24[[#Totals],[Final]]&lt;&gt;Buckets_1_24[[#Totals],[After T]], "ERROR: Refilling changed the total", "good")</f>
        <v>good</v>
      </c>
      <c r="EZ45" t="str">
        <f>IF(EZ36&lt;&gt;ER36, "ERROR: Totals changed", "good")</f>
        <v>good</v>
      </c>
      <c r="FD45" t="str">
        <f>IF(Buckets_2_24[[#Totals],[Start]]&lt;0, "ERROR: Underwater", "good")</f>
        <v>good</v>
      </c>
      <c r="FE45" t="str">
        <f>IF(COUNTIF(FE34:FE35, "&lt;&gt;0") &gt; 0, "ERROR: Unbalanced internal transfers", "good")</f>
        <v>good</v>
      </c>
      <c r="FI45" t="str">
        <f>IF(Buckets_2_24[[#Totals],[Slush]]&lt;0, "ERROR: No slush fund", "good")</f>
        <v>good</v>
      </c>
      <c r="FM45" t="str">
        <f>IF(Buckets_2_24[[#Totals],[Crit To Fill]]&gt;Buckets_2_24[[#Totals],[Slush]], "ERROR: Can't refill critical buckets", "good")</f>
        <v>good</v>
      </c>
      <c r="FN45" t="str">
        <f>IF(FN41&lt;0, "ERROR: Can't refill non-critical buckets", "good")</f>
        <v>good</v>
      </c>
      <c r="FO45" t="str">
        <f>IF(Buckets_2_24[[#Totals],[NC To Fill]]&lt;FN41, "ERROR: Unused slush funds", "good")</f>
        <v>good</v>
      </c>
      <c r="FP45" t="str">
        <f>IF(Buckets_2_24[[#Totals],[Scaled]]&lt;&gt;FN41, "ERROR: Scaled doesn't match slush fund", "good")</f>
        <v>good</v>
      </c>
      <c r="FR45" t="str">
        <f>IF(Buckets_2_24[[#Totals],[Final]]&lt;&gt;Buckets_2_24[[#Totals],[After T]], "ERROR: Refilling changed the total", "good")</f>
        <v>good</v>
      </c>
      <c r="GD45" t="str">
        <f>IF(GD36&lt;&gt;FV36, "ERROR: Totals changed", "good")</f>
        <v>good</v>
      </c>
      <c r="GH45" t="str">
        <f>IF(Buckets_3_24[[#Totals],[Start]]&lt;0, "ERROR: Underwater", "good")</f>
        <v>good</v>
      </c>
      <c r="GI45" t="str">
        <f>IF(COUNTIF(GI34:GI35, "&lt;&gt;0") &gt; 0, "ERROR: Unbalanced internal transfers", "good")</f>
        <v>good</v>
      </c>
      <c r="GM45" t="str">
        <f>IF(Buckets_3_24[[#Totals],[Slush]]&lt;0, "ERROR: No slush fund", "good")</f>
        <v>good</v>
      </c>
      <c r="GQ45" t="str">
        <f>IF(Buckets_3_24[[#Totals],[Crit To Fill]]&gt;Buckets_3_24[[#Totals],[Slush]], "ERROR: Can't refill critical buckets", "good")</f>
        <v>good</v>
      </c>
      <c r="GR45" t="str">
        <f>IF(GR41&lt;0, "ERROR: Can't refill non-critical buckets", "good")</f>
        <v>good</v>
      </c>
      <c r="GS45" t="str">
        <f>IF(Buckets_3_24[[#Totals],[NC To Fill]]&lt;GR41, "ERROR: Unused slush funds", "good")</f>
        <v>good</v>
      </c>
      <c r="GT45" t="str">
        <f>IF(Buckets_3_24[[#Totals],[Scaled]]&lt;&gt;GR41, "ERROR: Scaled doesn't match slush fund", "good")</f>
        <v>good</v>
      </c>
      <c r="GV45" t="str">
        <f>IF(Buckets_3_24[[#Totals],[Final]]&lt;&gt;Buckets_3_24[[#Totals],[After T]], "ERROR: Refilling changed the total", "good")</f>
        <v>good</v>
      </c>
      <c r="HH45" t="str">
        <f>IF(HH36&lt;&gt;GZ36, "ERROR: Totals changed", "good")</f>
        <v>good</v>
      </c>
      <c r="HL45" t="str">
        <f>IF(Buckets_4_24[[#Totals],[Start]]&lt;0, "ERROR: Underwater", "good")</f>
        <v>good</v>
      </c>
      <c r="HM45" t="str">
        <f>IF(COUNTIF(HM34:HM35, "&lt;&gt;0") &gt; 0, "ERROR: Unbalanced internal transfers", "good")</f>
        <v>good</v>
      </c>
      <c r="HQ45" t="str">
        <f>IF(Buckets_4_24[[#Totals],[Slush]]&lt;0, "ERROR: No slush fund", "good")</f>
        <v>good</v>
      </c>
      <c r="HU45" t="str">
        <f>IF(Buckets_4_24[[#Totals],[Crit To Fill]]&gt;Buckets_4_24[[#Totals],[Slush]], "ERROR: Can't refill critical buckets", "good")</f>
        <v>good</v>
      </c>
      <c r="HV45" t="str">
        <f>IF(HV41&lt;0, "ERROR: Can't refill non-critical buckets", "good")</f>
        <v>good</v>
      </c>
      <c r="HW45" t="str">
        <f>IF(Buckets_4_24[[#Totals],[NC To Fill]]&lt;HV41, "ERROR: Unused slush funds", "good")</f>
        <v>good</v>
      </c>
      <c r="HX45" t="str">
        <f>IF(Buckets_4_24[[#Totals],[Scaled]]&lt;&gt;HV41, "ERROR: Scaled doesn't match slush fund", "good")</f>
        <v>good</v>
      </c>
      <c r="HZ45" t="str">
        <f>IF(Buckets_4_24[[#Totals],[Final]]&lt;&gt;Buckets_4_24[[#Totals],[After T]], "ERROR: Refilling changed the total", "good")</f>
        <v>good</v>
      </c>
      <c r="IL45" t="str">
        <f>IF(IL36&lt;&gt;ID36, "ERROR: Totals changed", "good")</f>
        <v>good</v>
      </c>
    </row>
    <row r="46" spans="1:248" ht="3.75" customHeight="1" x14ac:dyDescent="0.25">
      <c r="J46" s="34"/>
      <c r="K46" s="34"/>
      <c r="L46" s="34"/>
      <c r="M46" s="34"/>
      <c r="N46" s="34"/>
      <c r="O46" s="34"/>
      <c r="P46" s="35"/>
      <c r="Q46" s="35"/>
      <c r="R46" s="35"/>
      <c r="S46" s="36"/>
      <c r="T46" s="35"/>
      <c r="U46" s="36"/>
      <c r="V46" s="36"/>
      <c r="W46" s="35"/>
      <c r="X46" s="35"/>
      <c r="Y46" s="35"/>
      <c r="Z46" s="35"/>
      <c r="AN46" s="34"/>
      <c r="AO46" s="34"/>
      <c r="AP46" s="34"/>
      <c r="AQ46" s="34"/>
      <c r="AR46" s="34"/>
      <c r="AS46" s="34"/>
      <c r="AT46" s="35"/>
      <c r="AU46" s="35"/>
      <c r="AV46" s="35"/>
      <c r="AW46" s="36"/>
      <c r="AX46" s="35"/>
      <c r="AY46" s="36"/>
      <c r="AZ46" s="36"/>
      <c r="BA46" s="35"/>
      <c r="BB46" s="35"/>
      <c r="BC46" s="35"/>
      <c r="BD46" s="35"/>
      <c r="BR46" s="34"/>
      <c r="BS46" s="34"/>
      <c r="BT46" s="34"/>
      <c r="BU46" s="34"/>
      <c r="BV46" s="34"/>
      <c r="BW46" s="34"/>
      <c r="BX46" s="35"/>
      <c r="BY46" s="35"/>
      <c r="BZ46" s="35"/>
      <c r="CA46" s="36"/>
      <c r="CB46" s="35"/>
      <c r="CC46" s="36"/>
      <c r="CD46" s="36"/>
      <c r="CE46" s="35"/>
      <c r="CF46" s="35"/>
      <c r="CG46" s="35"/>
      <c r="CH46" s="35"/>
      <c r="CV46" s="34"/>
      <c r="CW46" s="34"/>
      <c r="CX46" s="34"/>
      <c r="CY46" s="34"/>
      <c r="CZ46" s="34"/>
      <c r="DA46" s="34"/>
      <c r="DB46" s="35"/>
      <c r="DC46" s="35"/>
      <c r="DD46" s="35"/>
      <c r="DE46" s="36"/>
      <c r="DF46" s="35"/>
      <c r="DG46" s="36"/>
      <c r="DH46" s="36"/>
      <c r="DI46" s="35"/>
      <c r="DJ46" s="35"/>
      <c r="DK46" s="35"/>
      <c r="DL46" s="35"/>
      <c r="DZ46" s="34"/>
      <c r="EA46" s="34"/>
      <c r="EB46" s="34"/>
      <c r="EC46" s="34"/>
      <c r="ED46" s="34"/>
      <c r="EE46" s="34"/>
      <c r="EF46" s="35"/>
      <c r="EG46" s="35"/>
      <c r="EH46" s="35"/>
      <c r="EI46" s="36"/>
      <c r="EJ46" s="35"/>
      <c r="EK46" s="36"/>
      <c r="EL46" s="36"/>
      <c r="EM46" s="35"/>
      <c r="EN46" s="35"/>
      <c r="EO46" s="35"/>
      <c r="EP46" s="35"/>
      <c r="FD46" s="34"/>
      <c r="FE46" s="34"/>
      <c r="FF46" s="34"/>
      <c r="FG46" s="34"/>
      <c r="FH46" s="34"/>
      <c r="FI46" s="34"/>
      <c r="FJ46" s="35"/>
      <c r="FK46" s="35"/>
      <c r="FL46" s="35"/>
      <c r="FM46" s="36"/>
      <c r="FN46" s="35"/>
      <c r="FO46" s="36"/>
      <c r="FP46" s="36"/>
      <c r="FQ46" s="35"/>
      <c r="FR46" s="35"/>
      <c r="FS46" s="35"/>
      <c r="FT46" s="35"/>
      <c r="GH46" s="34"/>
      <c r="GI46" s="34"/>
      <c r="GJ46" s="34"/>
      <c r="GK46" s="34"/>
      <c r="GL46" s="34"/>
      <c r="GM46" s="34"/>
      <c r="GN46" s="35"/>
      <c r="GO46" s="35"/>
      <c r="GP46" s="35"/>
      <c r="GQ46" s="36"/>
      <c r="GR46" s="35"/>
      <c r="GS46" s="36"/>
      <c r="GT46" s="36"/>
      <c r="GU46" s="35"/>
      <c r="GV46" s="35"/>
      <c r="GW46" s="35"/>
      <c r="GX46" s="35"/>
      <c r="HL46" s="34"/>
      <c r="HM46" s="34"/>
      <c r="HN46" s="34"/>
      <c r="HO46" s="34"/>
      <c r="HP46" s="34"/>
      <c r="HQ46" s="34"/>
      <c r="HR46" s="35"/>
      <c r="HS46" s="35"/>
      <c r="HT46" s="35"/>
      <c r="HU46" s="36"/>
      <c r="HV46" s="35"/>
      <c r="HW46" s="36"/>
      <c r="HX46" s="36"/>
      <c r="HY46" s="35"/>
      <c r="HZ46" s="35"/>
      <c r="IA46" s="35"/>
      <c r="IB46" s="35"/>
    </row>
  </sheetData>
  <mergeCells count="28">
    <mergeCell ref="EU2:EY2"/>
    <mergeCell ref="ER2:ET2"/>
    <mergeCell ref="AE2:AI2"/>
    <mergeCell ref="BI2:BM2"/>
    <mergeCell ref="CM2:CQ2"/>
    <mergeCell ref="DQ2:DU2"/>
    <mergeCell ref="FV2:FX2"/>
    <mergeCell ref="FY2:GC2"/>
    <mergeCell ref="GD2:GF2"/>
    <mergeCell ref="EZ2:FB2"/>
    <mergeCell ref="A34:A35"/>
    <mergeCell ref="AB2:AD2"/>
    <mergeCell ref="CJ2:CL2"/>
    <mergeCell ref="AJ2:AL2"/>
    <mergeCell ref="F2:H2"/>
    <mergeCell ref="BF2:BH2"/>
    <mergeCell ref="BN2:BP2"/>
    <mergeCell ref="DN2:DP2"/>
    <mergeCell ref="DV2:DX2"/>
    <mergeCell ref="A4:A30"/>
    <mergeCell ref="A31:A33"/>
    <mergeCell ref="CR2:CT2"/>
    <mergeCell ref="IL2:IN2"/>
    <mergeCell ref="GZ2:HB2"/>
    <mergeCell ref="HC2:HG2"/>
    <mergeCell ref="HH2:HJ2"/>
    <mergeCell ref="ID2:IF2"/>
    <mergeCell ref="IG2:IK2"/>
  </mergeCells>
  <pageMargins left="0.7" right="0.7" top="0.75" bottom="0.75" header="0.3" footer="0.3"/>
  <pageSetup orientation="portrait" r:id="rId1"/>
  <tableParts count="8">
    <tablePart r:id="rId2"/>
    <tablePart r:id="rId3"/>
    <tablePart r:id="rId4"/>
    <tablePart r:id="rId5"/>
    <tablePart r:id="rId6"/>
    <tablePart r:id="rId7"/>
    <tablePart r:id="rId8"/>
    <tablePart r:id="rId9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Log 2023</vt:lpstr>
      <vt:lpstr>Aggregate 2023</vt:lpstr>
      <vt:lpstr>Checksums 2023</vt:lpstr>
      <vt:lpstr>Log 2024</vt:lpstr>
      <vt:lpstr>Aggregate 2024</vt:lpstr>
      <vt:lpstr>Buckets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Brian</dc:creator>
  <cp:lastModifiedBy>Brian Glassman</cp:lastModifiedBy>
  <dcterms:created xsi:type="dcterms:W3CDTF">2015-06-05T18:17:20Z</dcterms:created>
  <dcterms:modified xsi:type="dcterms:W3CDTF">2024-06-30T19:50:51Z</dcterms:modified>
</cp:coreProperties>
</file>